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mappings'!$A$4:$M$333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4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LME_035 — Gulf of Thailand</t>
        </is>
      </c>
    </row>
    <row r="2">
      <c r="A2" s="2" t="inlineStr">
        <is>
          <t>Ecopath model: 35_412_Gulf_of_Thailande_(1963)</t>
        </is>
      </c>
    </row>
    <row r="3">
      <c r="A3" s="3" t="inlineStr">
        <is>
          <t>Model identity conflict: Ecobase 412 payload and 11 published biomass comparisons identify the overexploited 1980 Gulf of Thailand model. The inherited filename says 1963; it is preserved for joins, not accepted as the scientific model period. Coefficients are fixed across catch years. 35_412_Gulf_of_Thailande_(1963)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9.84089</t>
        </is>
      </c>
    </row>
    <row r="7">
      <c r="A7" t="inlineStr">
        <is>
          <t>longitude</t>
        </is>
      </c>
      <c r="B7" t="inlineStr">
        <is>
          <t>102.08249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247</v>
      </c>
    </row>
    <row r="10">
      <c r="A10" t="inlineStr">
        <is>
          <t>taxa apportioned across groups</t>
        </is>
      </c>
      <c r="B10" t="n">
        <v>63</v>
      </c>
    </row>
    <row r="11">
      <c r="A11" t="inlineStr">
        <is>
          <t>taxa unresolved</t>
        </is>
      </c>
      <c r="B11" t="n">
        <v>9</v>
      </c>
    </row>
    <row r="12">
      <c r="A12" t="inlineStr">
        <is>
          <t>catch tonnage on a named group, %</t>
        </is>
      </c>
      <c r="B12" t="n">
        <v>100</v>
      </c>
    </row>
    <row r="13">
      <c r="A13" t="inlineStr">
        <is>
          <t>SPPR methods</t>
        </is>
      </c>
      <c r="B13" t="n">
        <v>22</v>
      </c>
    </row>
    <row r="14">
      <c r="A14" t="inlineStr">
        <is>
          <t>methods flagged as unusable</t>
        </is>
      </c>
      <c r="B14" t="n">
        <v>6</v>
      </c>
    </row>
    <row r="15">
      <c r="A15" t="inlineStr">
        <is>
          <t>headline method below</t>
        </is>
      </c>
      <c r="B15" t="inlineStr">
        <is>
          <t>new_TE_EEfix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ppr_new_TE_EEfix</t>
        </is>
      </c>
      <c r="E17" s="4" t="inlineStr">
        <is>
          <t>ppr_simple / NPP %</t>
        </is>
      </c>
      <c r="F17" s="4" t="inlineStr">
        <is>
          <t>ppr_new_TE_EEfix / NPP %</t>
        </is>
      </c>
    </row>
    <row r="18">
      <c r="A18" t="n">
        <v>1950</v>
      </c>
      <c r="B18" t="n">
        <v>483665.727</v>
      </c>
      <c r="C18" t="n">
        <v>165954321.04</v>
      </c>
      <c r="D18" t="n">
        <v>62435868.558</v>
      </c>
    </row>
    <row r="19">
      <c r="A19" t="n">
        <v>1951</v>
      </c>
      <c r="B19" t="n">
        <v>490432.663</v>
      </c>
      <c r="C19" t="n">
        <v>167645100.018</v>
      </c>
      <c r="D19" t="n">
        <v>61605283.236</v>
      </c>
    </row>
    <row r="20">
      <c r="A20" t="n">
        <v>1952</v>
      </c>
      <c r="B20" t="n">
        <v>500637.205</v>
      </c>
      <c r="C20" t="n">
        <v>167960831.719</v>
      </c>
      <c r="D20" t="n">
        <v>62002432.937</v>
      </c>
    </row>
    <row r="21">
      <c r="A21" t="n">
        <v>1953</v>
      </c>
      <c r="B21" t="n">
        <v>507592.607</v>
      </c>
      <c r="C21" t="n">
        <v>169493530.158</v>
      </c>
      <c r="D21" t="n">
        <v>63026703.223</v>
      </c>
    </row>
    <row r="22">
      <c r="A22" t="n">
        <v>1954</v>
      </c>
      <c r="B22" t="n">
        <v>543749.687</v>
      </c>
      <c r="C22" t="n">
        <v>203944965.644</v>
      </c>
      <c r="D22" t="n">
        <v>71312025.41599999</v>
      </c>
    </row>
    <row r="23">
      <c r="A23" t="n">
        <v>1955</v>
      </c>
      <c r="B23" t="n">
        <v>582852.468</v>
      </c>
      <c r="C23" t="n">
        <v>235215293.271</v>
      </c>
      <c r="D23" t="n">
        <v>79271295.873</v>
      </c>
    </row>
    <row r="24">
      <c r="A24" t="n">
        <v>1956</v>
      </c>
      <c r="B24" t="n">
        <v>601118.2879999999</v>
      </c>
      <c r="C24" t="n">
        <v>245909484.801</v>
      </c>
      <c r="D24" t="n">
        <v>82481105.742</v>
      </c>
    </row>
    <row r="25">
      <c r="A25" t="n">
        <v>1957</v>
      </c>
      <c r="B25" t="n">
        <v>618137.626</v>
      </c>
      <c r="C25" t="n">
        <v>253903329.794</v>
      </c>
      <c r="D25" t="n">
        <v>85684328.433</v>
      </c>
    </row>
    <row r="26">
      <c r="A26" t="n">
        <v>1958</v>
      </c>
      <c r="B26" t="n">
        <v>647105.778</v>
      </c>
      <c r="C26" t="n">
        <v>289097340.399</v>
      </c>
      <c r="D26" t="n">
        <v>97707234.266</v>
      </c>
    </row>
    <row r="27">
      <c r="A27" t="n">
        <v>1959</v>
      </c>
      <c r="B27" t="n">
        <v>679356.802</v>
      </c>
      <c r="C27" t="n">
        <v>325515691.108</v>
      </c>
      <c r="D27" t="n">
        <v>109328853.799</v>
      </c>
    </row>
    <row r="28">
      <c r="A28" t="n">
        <v>1960</v>
      </c>
      <c r="B28" t="n">
        <v>731519.899</v>
      </c>
      <c r="C28" t="n">
        <v>377465790.078</v>
      </c>
      <c r="D28" t="n">
        <v>128581823.036</v>
      </c>
    </row>
    <row r="29">
      <c r="A29" t="n">
        <v>1961</v>
      </c>
      <c r="B29" t="n">
        <v>769225.3540000001</v>
      </c>
      <c r="C29" t="n">
        <v>436969273.218</v>
      </c>
      <c r="D29" t="n">
        <v>155251494.495</v>
      </c>
    </row>
    <row r="30">
      <c r="A30" t="n">
        <v>1962</v>
      </c>
      <c r="B30" t="n">
        <v>848514.4840000001</v>
      </c>
      <c r="C30" t="n">
        <v>501383497.859</v>
      </c>
      <c r="D30" t="n">
        <v>182446700.987</v>
      </c>
    </row>
    <row r="31">
      <c r="A31" t="n">
        <v>1963</v>
      </c>
      <c r="B31" t="n">
        <v>936950.4889999999</v>
      </c>
      <c r="C31" t="n">
        <v>599535420.02</v>
      </c>
      <c r="D31" t="n">
        <v>233734620.949</v>
      </c>
    </row>
    <row r="32">
      <c r="A32" t="n">
        <v>1964</v>
      </c>
      <c r="B32" t="n">
        <v>1054009.26</v>
      </c>
      <c r="C32" t="n">
        <v>690444478.941</v>
      </c>
      <c r="D32" t="n">
        <v>279189483.817</v>
      </c>
    </row>
    <row r="33">
      <c r="A33" t="n">
        <v>1965</v>
      </c>
      <c r="B33" t="n">
        <v>1318756.162</v>
      </c>
      <c r="C33" t="n">
        <v>862040384.2029999</v>
      </c>
      <c r="D33" t="n">
        <v>373823482.546</v>
      </c>
    </row>
    <row r="34">
      <c r="A34" t="n">
        <v>1966</v>
      </c>
      <c r="B34" t="n">
        <v>1474416.369</v>
      </c>
      <c r="C34" t="n">
        <v>902676158.234</v>
      </c>
      <c r="D34" t="n">
        <v>414238982.818</v>
      </c>
    </row>
    <row r="35">
      <c r="A35" t="n">
        <v>1967</v>
      </c>
      <c r="B35" t="n">
        <v>1598845.811</v>
      </c>
      <c r="C35" t="n">
        <v>986924298.641</v>
      </c>
      <c r="D35" t="n">
        <v>475389389.828</v>
      </c>
    </row>
    <row r="36">
      <c r="A36" t="n">
        <v>1968</v>
      </c>
      <c r="B36" t="n">
        <v>1785615.078</v>
      </c>
      <c r="C36" t="n">
        <v>1050353465.903</v>
      </c>
      <c r="D36" t="n">
        <v>536665433.635</v>
      </c>
    </row>
    <row r="37">
      <c r="A37" t="n">
        <v>1969</v>
      </c>
      <c r="B37" t="n">
        <v>1902945.209</v>
      </c>
      <c r="C37" t="n">
        <v>1139816860.642</v>
      </c>
      <c r="D37" t="n">
        <v>614794355.9349999</v>
      </c>
    </row>
    <row r="38">
      <c r="A38" t="n">
        <v>1970</v>
      </c>
      <c r="B38" t="n">
        <v>2149291.084</v>
      </c>
      <c r="C38" t="n">
        <v>1235461314.81</v>
      </c>
      <c r="D38" t="n">
        <v>698470958.914</v>
      </c>
    </row>
    <row r="39">
      <c r="A39" t="n">
        <v>1971</v>
      </c>
      <c r="B39" t="n">
        <v>2318325.998</v>
      </c>
      <c r="C39" t="n">
        <v>1329645454.764</v>
      </c>
      <c r="D39" t="n">
        <v>755039172.485</v>
      </c>
    </row>
    <row r="40">
      <c r="A40" t="n">
        <v>1972</v>
      </c>
      <c r="B40" t="n">
        <v>2446297.943</v>
      </c>
      <c r="C40" t="n">
        <v>1563252815.71</v>
      </c>
      <c r="D40" t="n">
        <v>910939650.492</v>
      </c>
    </row>
    <row r="41">
      <c r="A41" t="n">
        <v>1973</v>
      </c>
      <c r="B41" t="n">
        <v>2498029.184</v>
      </c>
      <c r="C41" t="n">
        <v>1552833034.517</v>
      </c>
      <c r="D41" t="n">
        <v>879096174.099</v>
      </c>
    </row>
    <row r="42">
      <c r="A42" t="n">
        <v>1974</v>
      </c>
      <c r="B42" t="n">
        <v>2230694.729</v>
      </c>
      <c r="C42" t="n">
        <v>1380314618.141</v>
      </c>
      <c r="D42" t="n">
        <v>788507032.059</v>
      </c>
    </row>
    <row r="43">
      <c r="A43" t="n">
        <v>1975</v>
      </c>
      <c r="B43" t="n">
        <v>2174428.394</v>
      </c>
      <c r="C43" t="n">
        <v>1322619052.817</v>
      </c>
      <c r="D43" t="n">
        <v>746559379.999</v>
      </c>
    </row>
    <row r="44">
      <c r="A44" t="n">
        <v>1976</v>
      </c>
      <c r="B44" t="n">
        <v>2218740.346</v>
      </c>
      <c r="C44" t="n">
        <v>1340186243.941</v>
      </c>
      <c r="D44" t="n">
        <v>743132592.298</v>
      </c>
    </row>
    <row r="45">
      <c r="A45" t="n">
        <v>1977</v>
      </c>
      <c r="B45" t="n">
        <v>2739750.128</v>
      </c>
      <c r="C45" t="n">
        <v>1604335052.701</v>
      </c>
      <c r="D45" t="n">
        <v>867615004.336</v>
      </c>
    </row>
    <row r="46">
      <c r="A46" t="n">
        <v>1978</v>
      </c>
      <c r="B46" t="n">
        <v>2669240.992</v>
      </c>
      <c r="C46" t="n">
        <v>1589097801.986</v>
      </c>
      <c r="D46" t="n">
        <v>877693054.3940001</v>
      </c>
    </row>
    <row r="47">
      <c r="A47" t="n">
        <v>1979</v>
      </c>
      <c r="B47" t="n">
        <v>2428654.344</v>
      </c>
      <c r="C47" t="n">
        <v>1415461628.892</v>
      </c>
      <c r="D47" t="n">
        <v>782491940.628</v>
      </c>
    </row>
    <row r="48">
      <c r="A48" t="n">
        <v>1980</v>
      </c>
      <c r="B48" t="n">
        <v>2311020.408</v>
      </c>
      <c r="C48" t="n">
        <v>1417802537.092</v>
      </c>
      <c r="D48" t="n">
        <v>771609373.633</v>
      </c>
    </row>
    <row r="49">
      <c r="A49" t="n">
        <v>1981</v>
      </c>
      <c r="B49" t="n">
        <v>2501688.783</v>
      </c>
      <c r="C49" t="n">
        <v>1515916865.108</v>
      </c>
      <c r="D49" t="n">
        <v>801129784.3789999</v>
      </c>
    </row>
    <row r="50">
      <c r="A50" t="n">
        <v>1982</v>
      </c>
      <c r="B50" t="n">
        <v>2613444</v>
      </c>
      <c r="C50" t="n">
        <v>1541404823.465</v>
      </c>
      <c r="D50" t="n">
        <v>826376308.499</v>
      </c>
    </row>
    <row r="51">
      <c r="A51" t="n">
        <v>1983</v>
      </c>
      <c r="B51" t="n">
        <v>2734254.135</v>
      </c>
      <c r="C51" t="n">
        <v>1694291449.265</v>
      </c>
      <c r="D51" t="n">
        <v>833302935.794</v>
      </c>
    </row>
    <row r="52">
      <c r="A52" t="n">
        <v>1984</v>
      </c>
      <c r="B52" t="n">
        <v>2469559.097</v>
      </c>
      <c r="C52" t="n">
        <v>1512520657.945</v>
      </c>
      <c r="D52" t="n">
        <v>765742029.6569999</v>
      </c>
    </row>
    <row r="53">
      <c r="A53" t="n">
        <v>1985</v>
      </c>
      <c r="B53" t="n">
        <v>2604867.9</v>
      </c>
      <c r="C53" t="n">
        <v>1578542778.18</v>
      </c>
      <c r="D53" t="n">
        <v>797448680.919</v>
      </c>
    </row>
    <row r="54">
      <c r="A54" t="n">
        <v>1986</v>
      </c>
      <c r="B54" t="n">
        <v>2765557.296</v>
      </c>
      <c r="C54" t="n">
        <v>1741338192.618</v>
      </c>
      <c r="D54" t="n">
        <v>888986644.091</v>
      </c>
    </row>
    <row r="55">
      <c r="A55" t="n">
        <v>1987</v>
      </c>
      <c r="B55" t="n">
        <v>3083151.303</v>
      </c>
      <c r="C55" t="n">
        <v>1911548020.949</v>
      </c>
      <c r="D55" t="n">
        <v>998856651.182</v>
      </c>
    </row>
    <row r="56">
      <c r="A56" t="n">
        <v>1988</v>
      </c>
      <c r="B56" t="n">
        <v>2933282.429</v>
      </c>
      <c r="C56" t="n">
        <v>1851170956.064</v>
      </c>
      <c r="D56" t="n">
        <v>938150543.869</v>
      </c>
    </row>
    <row r="57">
      <c r="A57" t="n">
        <v>1989</v>
      </c>
      <c r="B57" t="n">
        <v>2859772.429</v>
      </c>
      <c r="C57" t="n">
        <v>1776522815.484</v>
      </c>
      <c r="D57" t="n">
        <v>894758398.723</v>
      </c>
    </row>
    <row r="58">
      <c r="A58" t="n">
        <v>1990</v>
      </c>
      <c r="B58" t="n">
        <v>2830423.463</v>
      </c>
      <c r="C58" t="n">
        <v>1830996148.409</v>
      </c>
      <c r="D58" t="n">
        <v>931911962.3380001</v>
      </c>
    </row>
    <row r="59">
      <c r="A59" t="n">
        <v>1991</v>
      </c>
      <c r="B59" t="n">
        <v>2726195.411</v>
      </c>
      <c r="C59" t="n">
        <v>1718196231.15</v>
      </c>
      <c r="D59" t="n">
        <v>869674686.3660001</v>
      </c>
    </row>
    <row r="60">
      <c r="A60" t="n">
        <v>1992</v>
      </c>
      <c r="B60" t="n">
        <v>2992337.079</v>
      </c>
      <c r="C60" t="n">
        <v>1849865275.088</v>
      </c>
      <c r="D60" t="n">
        <v>925614015.0779999</v>
      </c>
    </row>
    <row r="61">
      <c r="A61" t="n">
        <v>1993</v>
      </c>
      <c r="B61" t="n">
        <v>2875530.67</v>
      </c>
      <c r="C61" t="n">
        <v>1851877923.138</v>
      </c>
      <c r="D61" t="n">
        <v>947566211.351</v>
      </c>
    </row>
    <row r="62">
      <c r="A62" t="n">
        <v>1994</v>
      </c>
      <c r="B62" t="n">
        <v>3030223.921</v>
      </c>
      <c r="C62" t="n">
        <v>1928071510.067</v>
      </c>
      <c r="D62" t="n">
        <v>986202122.601</v>
      </c>
    </row>
    <row r="63">
      <c r="A63" t="n">
        <v>1995</v>
      </c>
      <c r="B63" t="n">
        <v>2987281.49</v>
      </c>
      <c r="C63" t="n">
        <v>1907930359.995</v>
      </c>
      <c r="D63" t="n">
        <v>974712353.624</v>
      </c>
    </row>
    <row r="64">
      <c r="A64" t="n">
        <v>1996</v>
      </c>
      <c r="B64" t="n">
        <v>2905613.004</v>
      </c>
      <c r="C64" t="n">
        <v>1828625425.159</v>
      </c>
      <c r="D64" t="n">
        <v>930041882.013</v>
      </c>
    </row>
    <row r="65">
      <c r="A65" t="n">
        <v>1997</v>
      </c>
      <c r="B65" t="n">
        <v>2825530.148</v>
      </c>
      <c r="C65" t="n">
        <v>1821349869.602</v>
      </c>
      <c r="D65" t="n">
        <v>910795768.1160001</v>
      </c>
    </row>
    <row r="66">
      <c r="A66" t="n">
        <v>1998</v>
      </c>
      <c r="B66" t="n">
        <v>2943771.059</v>
      </c>
      <c r="C66" t="n">
        <v>1831886668.509</v>
      </c>
      <c r="D66" t="n">
        <v>922422782.6900001</v>
      </c>
      <c r="E66" t="n">
        <v>153.5532</v>
      </c>
      <c r="F66" t="n">
        <v>77.3197</v>
      </c>
    </row>
    <row r="67">
      <c r="A67" t="n">
        <v>1999</v>
      </c>
      <c r="B67" t="n">
        <v>3115320.436</v>
      </c>
      <c r="C67" t="n">
        <v>2062090770.438</v>
      </c>
      <c r="D67" t="n">
        <v>1000615494.097</v>
      </c>
      <c r="E67" t="n">
        <v>173.5836</v>
      </c>
      <c r="F67" t="n">
        <v>84.2303</v>
      </c>
    </row>
    <row r="68">
      <c r="A68" t="n">
        <v>2000</v>
      </c>
      <c r="B68" t="n">
        <v>3268073.321</v>
      </c>
      <c r="C68" t="n">
        <v>2122317183.341</v>
      </c>
      <c r="D68" t="n">
        <v>1030519835.671</v>
      </c>
      <c r="E68" t="n">
        <v>171.9094</v>
      </c>
      <c r="F68" t="n">
        <v>83.4729</v>
      </c>
    </row>
    <row r="69">
      <c r="A69" t="n">
        <v>2001</v>
      </c>
      <c r="B69" t="n">
        <v>2969299.606</v>
      </c>
      <c r="C69" t="n">
        <v>2022028682.891</v>
      </c>
      <c r="D69" t="n">
        <v>987410414.539</v>
      </c>
      <c r="E69" t="n">
        <v>163.1992</v>
      </c>
      <c r="F69" t="n">
        <v>79.69450000000001</v>
      </c>
    </row>
    <row r="70">
      <c r="A70" t="n">
        <v>2002</v>
      </c>
      <c r="B70" t="n">
        <v>2874596.11</v>
      </c>
      <c r="C70" t="n">
        <v>1994489756.468</v>
      </c>
      <c r="D70" t="n">
        <v>970361693.702</v>
      </c>
      <c r="E70" t="n">
        <v>156.4598</v>
      </c>
      <c r="F70" t="n">
        <v>76.121</v>
      </c>
    </row>
    <row r="71">
      <c r="A71" t="n">
        <v>2003</v>
      </c>
      <c r="B71" t="n">
        <v>2949482.511</v>
      </c>
      <c r="C71" t="n">
        <v>2044029604.158</v>
      </c>
      <c r="D71" t="n">
        <v>994061307.803</v>
      </c>
      <c r="E71" t="n">
        <v>151.6683</v>
      </c>
      <c r="F71" t="n">
        <v>73.76000000000001</v>
      </c>
    </row>
    <row r="72">
      <c r="A72" t="n">
        <v>2004</v>
      </c>
      <c r="B72" t="n">
        <v>2839140.715</v>
      </c>
      <c r="C72" t="n">
        <v>1964975856.005</v>
      </c>
      <c r="D72" t="n">
        <v>958915829.9349999</v>
      </c>
      <c r="E72" t="n">
        <v>150.4978</v>
      </c>
      <c r="F72" t="n">
        <v>73.4435</v>
      </c>
    </row>
    <row r="73">
      <c r="A73" t="n">
        <v>2005</v>
      </c>
      <c r="B73" t="n">
        <v>2882938.138</v>
      </c>
      <c r="C73" t="n">
        <v>1990709686.164</v>
      </c>
      <c r="D73" t="n">
        <v>961640152.497</v>
      </c>
      <c r="E73" t="n">
        <v>155.2742</v>
      </c>
      <c r="F73" t="n">
        <v>75.0074</v>
      </c>
    </row>
    <row r="74">
      <c r="A74" t="n">
        <v>2006</v>
      </c>
      <c r="B74" t="n">
        <v>2868696.889</v>
      </c>
      <c r="C74" t="n">
        <v>1980077226.809</v>
      </c>
      <c r="D74" t="n">
        <v>945980529.349</v>
      </c>
      <c r="E74" t="n">
        <v>157.078</v>
      </c>
      <c r="F74" t="n">
        <v>75.04389999999999</v>
      </c>
    </row>
    <row r="75">
      <c r="A75" t="n">
        <v>2007</v>
      </c>
      <c r="B75" t="n">
        <v>2611879.215</v>
      </c>
      <c r="C75" t="n">
        <v>1826725015.355</v>
      </c>
      <c r="D75" t="n">
        <v>867848215.505</v>
      </c>
      <c r="E75" t="n">
        <v>140.128</v>
      </c>
      <c r="F75" t="n">
        <v>66.57259999999999</v>
      </c>
    </row>
    <row r="76">
      <c r="A76" t="n">
        <v>2008</v>
      </c>
      <c r="B76" t="n">
        <v>2533250.525</v>
      </c>
      <c r="C76" t="n">
        <v>1656512113.753</v>
      </c>
      <c r="D76" t="n">
        <v>781298574.442</v>
      </c>
      <c r="E76" t="n">
        <v>130.566</v>
      </c>
      <c r="F76" t="n">
        <v>61.5818</v>
      </c>
    </row>
    <row r="77">
      <c r="A77" t="n">
        <v>2009</v>
      </c>
      <c r="B77" t="n">
        <v>2432132.306</v>
      </c>
      <c r="C77" t="n">
        <v>1651430616.159</v>
      </c>
      <c r="D77" t="n">
        <v>794934518.193</v>
      </c>
      <c r="E77" t="n">
        <v>129.2825</v>
      </c>
      <c r="F77" t="n">
        <v>62.2316</v>
      </c>
    </row>
    <row r="78">
      <c r="A78" t="n">
        <v>2010</v>
      </c>
      <c r="B78" t="n">
        <v>2457883.336</v>
      </c>
      <c r="C78" t="n">
        <v>1686680473.087</v>
      </c>
      <c r="D78" t="n">
        <v>796777069.5549999</v>
      </c>
      <c r="E78" t="n">
        <v>128.5851</v>
      </c>
      <c r="F78" t="n">
        <v>60.7428</v>
      </c>
    </row>
    <row r="79">
      <c r="A79" t="n">
        <v>2011</v>
      </c>
      <c r="B79" t="n">
        <v>2554535.368</v>
      </c>
      <c r="C79" t="n">
        <v>1789665735.26</v>
      </c>
      <c r="D79" t="n">
        <v>820342761.836</v>
      </c>
      <c r="E79" t="n">
        <v>134.0933</v>
      </c>
      <c r="F79" t="n">
        <v>61.4654</v>
      </c>
    </row>
    <row r="80">
      <c r="A80" t="n">
        <v>2012</v>
      </c>
      <c r="B80" t="n">
        <v>2589067.494</v>
      </c>
      <c r="C80" t="n">
        <v>1847926162.559</v>
      </c>
      <c r="D80" t="n">
        <v>860404279.118</v>
      </c>
      <c r="E80" t="n">
        <v>150.4702</v>
      </c>
      <c r="F80" t="n">
        <v>70.05970000000001</v>
      </c>
    </row>
    <row r="81">
      <c r="A81" t="n">
        <v>2013</v>
      </c>
      <c r="B81" t="n">
        <v>2709693.69</v>
      </c>
      <c r="C81" t="n">
        <v>1940026702.526</v>
      </c>
      <c r="D81" t="n">
        <v>907587474.506</v>
      </c>
      <c r="E81" t="n">
        <v>153.2859</v>
      </c>
      <c r="F81" t="n">
        <v>71.7105</v>
      </c>
    </row>
    <row r="82">
      <c r="A82" t="n">
        <v>2014</v>
      </c>
      <c r="B82" t="n">
        <v>2661171.015</v>
      </c>
      <c r="C82" t="n">
        <v>1873430026.294</v>
      </c>
      <c r="D82" t="n">
        <v>873326776.845</v>
      </c>
      <c r="E82" t="n">
        <v>150.9496</v>
      </c>
      <c r="F82" t="n">
        <v>70.3673</v>
      </c>
    </row>
    <row r="83">
      <c r="A83" t="n">
        <v>2015</v>
      </c>
      <c r="B83" t="n">
        <v>2500155.848</v>
      </c>
      <c r="C83" t="n">
        <v>1865970939.505</v>
      </c>
      <c r="D83" t="n">
        <v>848213048.776</v>
      </c>
      <c r="E83" t="n">
        <v>147.2716</v>
      </c>
      <c r="F83" t="n">
        <v>66.9452</v>
      </c>
    </row>
    <row r="84">
      <c r="A84" t="n">
        <v>2016</v>
      </c>
      <c r="B84" t="n">
        <v>2533072.837</v>
      </c>
      <c r="C84" t="n">
        <v>1877969099.692</v>
      </c>
      <c r="D84" t="n">
        <v>843022695.5930001</v>
      </c>
      <c r="E84" t="n">
        <v>141.2964</v>
      </c>
      <c r="F84" t="n">
        <v>63.4281</v>
      </c>
    </row>
    <row r="85">
      <c r="A85" t="n">
        <v>2017</v>
      </c>
      <c r="B85" t="n">
        <v>2467089.457</v>
      </c>
      <c r="C85" t="n">
        <v>1861400912.24</v>
      </c>
      <c r="D85" t="n">
        <v>841529905.456</v>
      </c>
      <c r="E85" t="n">
        <v>142.3663</v>
      </c>
      <c r="F85" t="n">
        <v>64.3631</v>
      </c>
    </row>
    <row r="86">
      <c r="A86" t="n">
        <v>2018</v>
      </c>
      <c r="B86" t="n">
        <v>2588487.436</v>
      </c>
      <c r="C86" t="n">
        <v>1947833779.69</v>
      </c>
      <c r="D86" t="n">
        <v>869819234.073</v>
      </c>
      <c r="E86" t="n">
        <v>149.732</v>
      </c>
      <c r="F86" t="n">
        <v>66.8639</v>
      </c>
    </row>
    <row r="87">
      <c r="A87" t="n">
        <v>2019</v>
      </c>
      <c r="B87" t="n">
        <v>2615825.061</v>
      </c>
      <c r="C87" t="n">
        <v>1868893902.312</v>
      </c>
      <c r="D87" t="n">
        <v>861740335.919</v>
      </c>
      <c r="E87" t="n">
        <v>139.2142</v>
      </c>
      <c r="F87" t="n">
        <v>64.19119999999999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669.74</v>
      </c>
      <c r="F2" t="n">
        <v>659.617</v>
      </c>
      <c r="G2" t="n">
        <v>676.353</v>
      </c>
      <c r="H2" t="n">
        <v>674.272</v>
      </c>
      <c r="I2" t="n">
        <v>670.576</v>
      </c>
      <c r="J2" t="n">
        <v>680.1079999999999</v>
      </c>
      <c r="K2" t="n">
        <v>686.028</v>
      </c>
      <c r="L2" t="n">
        <v>681.255</v>
      </c>
      <c r="M2" t="n">
        <v>679.869</v>
      </c>
      <c r="N2" t="n">
        <v>656.477</v>
      </c>
      <c r="O2" t="n">
        <v>660.759</v>
      </c>
      <c r="P2" t="n">
        <v>8365.442999999999</v>
      </c>
      <c r="Q2" t="n">
        <v>17555.206</v>
      </c>
      <c r="R2" t="n">
        <v>34072.081</v>
      </c>
      <c r="S2" t="n">
        <v>58117.628</v>
      </c>
      <c r="T2" t="n">
        <v>105506.462</v>
      </c>
      <c r="U2" t="n">
        <v>135593.417</v>
      </c>
      <c r="V2" t="n">
        <v>184094.201</v>
      </c>
      <c r="W2" t="n">
        <v>231356.41</v>
      </c>
      <c r="X2" t="n">
        <v>302861.838</v>
      </c>
      <c r="Y2" t="n">
        <v>329425.391</v>
      </c>
      <c r="Z2" t="n">
        <v>356042.739</v>
      </c>
      <c r="AA2" t="n">
        <v>451586.896</v>
      </c>
      <c r="AB2" t="n">
        <v>420033.915</v>
      </c>
      <c r="AC2" t="n">
        <v>354675.538</v>
      </c>
      <c r="AD2" t="n">
        <v>328720.573</v>
      </c>
      <c r="AE2" t="n">
        <v>320380.704</v>
      </c>
      <c r="AF2" t="n">
        <v>365466.693</v>
      </c>
      <c r="AG2" t="n">
        <v>372042.527</v>
      </c>
      <c r="AH2" t="n">
        <v>333084.659</v>
      </c>
      <c r="AI2" t="n">
        <v>329099.415</v>
      </c>
      <c r="AJ2" t="n">
        <v>318760.818</v>
      </c>
      <c r="AK2" t="n">
        <v>332719.694</v>
      </c>
      <c r="AL2" t="n">
        <v>318109.141</v>
      </c>
      <c r="AM2" t="n">
        <v>291180.966</v>
      </c>
      <c r="AN2" t="n">
        <v>303703.479</v>
      </c>
      <c r="AO2" t="n">
        <v>360240.261</v>
      </c>
      <c r="AP2" t="n">
        <v>408680.81</v>
      </c>
      <c r="AQ2" t="n">
        <v>356221.624</v>
      </c>
      <c r="AR2" t="n">
        <v>326191.241</v>
      </c>
      <c r="AS2" t="n">
        <v>331128.93</v>
      </c>
      <c r="AT2" t="n">
        <v>296429.68</v>
      </c>
      <c r="AU2" t="n">
        <v>323580.315</v>
      </c>
      <c r="AV2" t="n">
        <v>321246.884</v>
      </c>
      <c r="AW2" t="n">
        <v>326277.897</v>
      </c>
      <c r="AX2" t="n">
        <v>318775.221</v>
      </c>
      <c r="AY2" t="n">
        <v>287534.976</v>
      </c>
      <c r="AZ2" t="n">
        <v>268106.962</v>
      </c>
      <c r="BA2" t="n">
        <v>260617.135</v>
      </c>
      <c r="BB2" t="n">
        <v>269136.753</v>
      </c>
      <c r="BC2" t="n">
        <v>286121.873</v>
      </c>
      <c r="BD2" t="n">
        <v>270491.843</v>
      </c>
      <c r="BE2" t="n">
        <v>254059.16</v>
      </c>
      <c r="BF2" t="n">
        <v>259021.909</v>
      </c>
      <c r="BG2" t="n">
        <v>229837.916</v>
      </c>
      <c r="BH2" t="n">
        <v>245664.285</v>
      </c>
      <c r="BI2" t="n">
        <v>230234.595</v>
      </c>
      <c r="BJ2" t="n">
        <v>200722.991</v>
      </c>
      <c r="BK2" t="n">
        <v>163933.15</v>
      </c>
      <c r="BL2" t="n">
        <v>160536.697</v>
      </c>
      <c r="BM2" t="n">
        <v>149499.812</v>
      </c>
      <c r="BN2" t="n">
        <v>159805.478</v>
      </c>
      <c r="BO2" t="n">
        <v>164336.701</v>
      </c>
      <c r="BP2" t="n">
        <v>181933.067</v>
      </c>
      <c r="BQ2" t="n">
        <v>169338.392</v>
      </c>
      <c r="BR2" t="n">
        <v>143918.373</v>
      </c>
      <c r="BS2" t="n">
        <v>125735.734</v>
      </c>
      <c r="BT2" t="n">
        <v>124036.2</v>
      </c>
      <c r="BU2" t="n">
        <v>141035.921</v>
      </c>
      <c r="BV2" t="n">
        <v>141173.15</v>
      </c>
    </row>
    <row r="3">
      <c r="A3" t="inlineStr">
        <is>
          <t>Synodontidae</t>
        </is>
      </c>
      <c r="B3" t="inlineStr">
        <is>
          <t>Lizardfishes, sauries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489.091</v>
      </c>
      <c r="F3" t="n">
        <v>550.227</v>
      </c>
      <c r="G3" t="n">
        <v>611.364</v>
      </c>
      <c r="H3" t="n">
        <v>672.5</v>
      </c>
      <c r="I3" t="n">
        <v>1724.046</v>
      </c>
      <c r="J3" t="n">
        <v>2900.921</v>
      </c>
      <c r="K3" t="n">
        <v>3420.824</v>
      </c>
      <c r="L3" t="n">
        <v>3963.287</v>
      </c>
      <c r="M3" t="n">
        <v>4658.286</v>
      </c>
      <c r="N3" t="n">
        <v>6346.339</v>
      </c>
      <c r="O3" t="n">
        <v>9653.127</v>
      </c>
      <c r="P3" t="n">
        <v>14393.818</v>
      </c>
      <c r="Q3" t="n">
        <v>22947.189</v>
      </c>
      <c r="R3" t="n">
        <v>35502.624</v>
      </c>
      <c r="S3" t="n">
        <v>49734.417</v>
      </c>
      <c r="T3" t="n">
        <v>75447.016</v>
      </c>
      <c r="U3" t="n">
        <v>91649.387</v>
      </c>
      <c r="V3" t="n">
        <v>117867.997</v>
      </c>
      <c r="W3" t="n">
        <v>143453.952</v>
      </c>
      <c r="X3" t="n">
        <v>182206.734</v>
      </c>
      <c r="Y3" t="n">
        <v>184833.914</v>
      </c>
      <c r="Z3" t="n">
        <v>198616.169</v>
      </c>
      <c r="AA3" t="n">
        <v>249025.156</v>
      </c>
      <c r="AB3" t="n">
        <v>231617.634</v>
      </c>
      <c r="AC3" t="n">
        <v>196990.052</v>
      </c>
      <c r="AD3" t="n">
        <v>181595.923</v>
      </c>
      <c r="AE3" t="n">
        <v>184077.963</v>
      </c>
      <c r="AF3" t="n">
        <v>209311.551</v>
      </c>
      <c r="AG3" t="n">
        <v>210726.792</v>
      </c>
      <c r="AH3" t="n">
        <v>195294.215</v>
      </c>
      <c r="AI3" t="n">
        <v>193065.431</v>
      </c>
      <c r="AJ3" t="n">
        <v>184650.979</v>
      </c>
      <c r="AK3" t="n">
        <v>198635.621</v>
      </c>
      <c r="AL3" t="n">
        <v>200963.601</v>
      </c>
      <c r="AM3" t="n">
        <v>187478.779</v>
      </c>
      <c r="AN3" t="n">
        <v>193118.725</v>
      </c>
      <c r="AO3" t="n">
        <v>227156.658</v>
      </c>
      <c r="AP3" t="n">
        <v>252514.167</v>
      </c>
      <c r="AQ3" t="n">
        <v>228080.227</v>
      </c>
      <c r="AR3" t="n">
        <v>215959.2</v>
      </c>
      <c r="AS3" t="n">
        <v>219969.891</v>
      </c>
      <c r="AT3" t="n">
        <v>205762.356</v>
      </c>
      <c r="AU3" t="n">
        <v>218661.947</v>
      </c>
      <c r="AV3" t="n">
        <v>223828.794</v>
      </c>
      <c r="AW3" t="n">
        <v>233830.494</v>
      </c>
      <c r="AX3" t="n">
        <v>229242.161</v>
      </c>
      <c r="AY3" t="n">
        <v>227298.024</v>
      </c>
      <c r="AZ3" t="n">
        <v>227349.895</v>
      </c>
      <c r="BA3" t="n">
        <v>220398.101</v>
      </c>
      <c r="BB3" t="n">
        <v>246628.065</v>
      </c>
      <c r="BC3" t="n">
        <v>246796.71</v>
      </c>
      <c r="BD3" t="n">
        <v>248163.7</v>
      </c>
      <c r="BE3" t="n">
        <v>239891.397</v>
      </c>
      <c r="BF3" t="n">
        <v>244026.074</v>
      </c>
      <c r="BG3" t="n">
        <v>237389.578</v>
      </c>
      <c r="BH3" t="n">
        <v>243901.959</v>
      </c>
      <c r="BI3" t="n">
        <v>242308.612</v>
      </c>
      <c r="BJ3" t="n">
        <v>234413.613</v>
      </c>
      <c r="BK3" t="n">
        <v>238374.01</v>
      </c>
      <c r="BL3" t="n">
        <v>240759.211</v>
      </c>
      <c r="BM3" t="n">
        <v>236004.001</v>
      </c>
      <c r="BN3" t="n">
        <v>232000.238</v>
      </c>
      <c r="BO3" t="n">
        <v>239704.102</v>
      </c>
      <c r="BP3" t="n">
        <v>244489.354</v>
      </c>
      <c r="BQ3" t="n">
        <v>247653.03</v>
      </c>
      <c r="BR3" t="n">
        <v>249933.858</v>
      </c>
      <c r="BS3" t="n">
        <v>241031.909</v>
      </c>
      <c r="BT3" t="n">
        <v>251863.575</v>
      </c>
      <c r="BU3" t="n">
        <v>271230.206</v>
      </c>
      <c r="BV3" t="n">
        <v>253046.829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630.111</v>
      </c>
      <c r="F4" t="n">
        <v>693.423</v>
      </c>
      <c r="G4" t="n">
        <v>961.978</v>
      </c>
      <c r="H4" t="n">
        <v>948.487</v>
      </c>
      <c r="I4" t="n">
        <v>918.607</v>
      </c>
      <c r="J4" t="n">
        <v>1005.532</v>
      </c>
      <c r="K4" t="n">
        <v>1087.376</v>
      </c>
      <c r="L4" t="n">
        <v>1157.017</v>
      </c>
      <c r="M4" t="n">
        <v>1304.941</v>
      </c>
      <c r="N4" t="n">
        <v>1624.614</v>
      </c>
      <c r="O4" t="n">
        <v>2401.352</v>
      </c>
      <c r="P4" t="n">
        <v>6931.884</v>
      </c>
      <c r="Q4" t="n">
        <v>11813.44</v>
      </c>
      <c r="R4" t="n">
        <v>20417.877</v>
      </c>
      <c r="S4" t="n">
        <v>31756.18</v>
      </c>
      <c r="T4" t="n">
        <v>53781.896</v>
      </c>
      <c r="U4" t="n">
        <v>68317.639</v>
      </c>
      <c r="V4" t="n">
        <v>90517.61</v>
      </c>
      <c r="W4" t="n">
        <v>112399.424</v>
      </c>
      <c r="X4" t="n">
        <v>144458.725</v>
      </c>
      <c r="Y4" t="n">
        <v>150002.68</v>
      </c>
      <c r="Z4" t="n">
        <v>165006.865</v>
      </c>
      <c r="AA4" t="n">
        <v>209504.121</v>
      </c>
      <c r="AB4" t="n">
        <v>199546.195</v>
      </c>
      <c r="AC4" t="n">
        <v>172676.12</v>
      </c>
      <c r="AD4" t="n">
        <v>160665.042</v>
      </c>
      <c r="AE4" t="n">
        <v>162088.194</v>
      </c>
      <c r="AF4" t="n">
        <v>188369.905</v>
      </c>
      <c r="AG4" t="n">
        <v>193309.015</v>
      </c>
      <c r="AH4" t="n">
        <v>178069.786</v>
      </c>
      <c r="AI4" t="n">
        <v>181198.596</v>
      </c>
      <c r="AJ4" t="n">
        <v>180843.405</v>
      </c>
      <c r="AK4" t="n">
        <v>194796.307</v>
      </c>
      <c r="AL4" t="n">
        <v>194455.068</v>
      </c>
      <c r="AM4" t="n">
        <v>183280.489</v>
      </c>
      <c r="AN4" t="n">
        <v>194700.85</v>
      </c>
      <c r="AO4" t="n">
        <v>230026.693</v>
      </c>
      <c r="AP4" t="n">
        <v>263864.926</v>
      </c>
      <c r="AQ4" t="n">
        <v>238222.644</v>
      </c>
      <c r="AR4" t="n">
        <v>224987.637</v>
      </c>
      <c r="AS4" t="n">
        <v>237843.851</v>
      </c>
      <c r="AT4" t="n">
        <v>213974.397</v>
      </c>
      <c r="AU4" t="n">
        <v>224412.071</v>
      </c>
      <c r="AV4" t="n">
        <v>226053.979</v>
      </c>
      <c r="AW4" t="n">
        <v>238977.087</v>
      </c>
      <c r="AX4" t="n">
        <v>230576.487</v>
      </c>
      <c r="AY4" t="n">
        <v>221397.508</v>
      </c>
      <c r="AZ4" t="n">
        <v>211854.921</v>
      </c>
      <c r="BA4" t="n">
        <v>213173.189</v>
      </c>
      <c r="BB4" t="n">
        <v>223818.914</v>
      </c>
      <c r="BC4" t="n">
        <v>231923.895</v>
      </c>
      <c r="BD4" t="n">
        <v>220615.349</v>
      </c>
      <c r="BE4" t="n">
        <v>204039.625</v>
      </c>
      <c r="BF4" t="n">
        <v>206635.625</v>
      </c>
      <c r="BG4" t="n">
        <v>195543.455</v>
      </c>
      <c r="BH4" t="n">
        <v>202627.848</v>
      </c>
      <c r="BI4" t="n">
        <v>193205.274</v>
      </c>
      <c r="BJ4" t="n">
        <v>180252.993</v>
      </c>
      <c r="BK4" t="n">
        <v>178538.628</v>
      </c>
      <c r="BL4" t="n">
        <v>177918.128</v>
      </c>
      <c r="BM4" t="n">
        <v>173516.756</v>
      </c>
      <c r="BN4" t="n">
        <v>176027.371</v>
      </c>
      <c r="BO4" t="n">
        <v>177428.047</v>
      </c>
      <c r="BP4" t="n">
        <v>181996.479</v>
      </c>
      <c r="BQ4" t="n">
        <v>178646.356</v>
      </c>
      <c r="BR4" t="n">
        <v>174965.751</v>
      </c>
      <c r="BS4" t="n">
        <v>169051.975</v>
      </c>
      <c r="BT4" t="n">
        <v>163328.572</v>
      </c>
      <c r="BU4" t="n">
        <v>192333.862</v>
      </c>
      <c r="BV4" t="n">
        <v>250763.589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121431.769</v>
      </c>
      <c r="F5" t="n">
        <v>154728.937</v>
      </c>
      <c r="G5" t="n">
        <v>146167.005</v>
      </c>
      <c r="H5" t="n">
        <v>146516.278</v>
      </c>
      <c r="I5" t="n">
        <v>152908.604</v>
      </c>
      <c r="J5" t="n">
        <v>151403.468</v>
      </c>
      <c r="K5" t="n">
        <v>155058.491</v>
      </c>
      <c r="L5" t="n">
        <v>171872.684</v>
      </c>
      <c r="M5" t="n">
        <v>155549.302</v>
      </c>
      <c r="N5" t="n">
        <v>131756.198</v>
      </c>
      <c r="O5" t="n">
        <v>109789.84</v>
      </c>
      <c r="P5" t="n">
        <v>55344.005</v>
      </c>
      <c r="Q5" t="n">
        <v>78613.36199999999</v>
      </c>
      <c r="R5" t="n">
        <v>45739.151</v>
      </c>
      <c r="S5" t="n">
        <v>77078.79700000001</v>
      </c>
      <c r="T5" t="n">
        <v>106056.418</v>
      </c>
      <c r="U5" t="n">
        <v>131355.646</v>
      </c>
      <c r="V5" t="n">
        <v>125431.689</v>
      </c>
      <c r="W5" t="n">
        <v>174468.923</v>
      </c>
      <c r="X5" t="n">
        <v>145513.383</v>
      </c>
      <c r="Y5" t="n">
        <v>116716.482</v>
      </c>
      <c r="Z5" t="n">
        <v>127503.955</v>
      </c>
      <c r="AA5" t="n">
        <v>61989.994</v>
      </c>
      <c r="AB5" t="n">
        <v>88092.94500000001</v>
      </c>
      <c r="AC5" t="n">
        <v>68920.889</v>
      </c>
      <c r="AD5" t="n">
        <v>101839.001</v>
      </c>
      <c r="AE5" t="n">
        <v>84590.299</v>
      </c>
      <c r="AF5" t="n">
        <v>65738.251</v>
      </c>
      <c r="AG5" t="n">
        <v>88119.66099999999</v>
      </c>
      <c r="AH5" t="n">
        <v>124590.393</v>
      </c>
      <c r="AI5" t="n">
        <v>88153.463</v>
      </c>
      <c r="AJ5" t="n">
        <v>99809.455</v>
      </c>
      <c r="AK5" t="n">
        <v>106920.431</v>
      </c>
      <c r="AL5" t="n">
        <v>130220.701</v>
      </c>
      <c r="AM5" t="n">
        <v>160058.912</v>
      </c>
      <c r="AN5" t="n">
        <v>156199.581</v>
      </c>
      <c r="AO5" t="n">
        <v>152478.819</v>
      </c>
      <c r="AP5" t="n">
        <v>153576.092</v>
      </c>
      <c r="AQ5" t="n">
        <v>129261.311</v>
      </c>
      <c r="AR5" t="n">
        <v>141502.997</v>
      </c>
      <c r="AS5" t="n">
        <v>108422.413</v>
      </c>
      <c r="AT5" t="n">
        <v>88219.572</v>
      </c>
      <c r="AU5" t="n">
        <v>135574.225</v>
      </c>
      <c r="AV5" t="n">
        <v>119241.013</v>
      </c>
      <c r="AW5" t="n">
        <v>139340.226</v>
      </c>
      <c r="AX5" t="n">
        <v>163593.612</v>
      </c>
      <c r="AY5" t="n">
        <v>118236.499</v>
      </c>
      <c r="AZ5" t="n">
        <v>114209.942</v>
      </c>
      <c r="BA5" t="n">
        <v>139302.771</v>
      </c>
      <c r="BB5" t="n">
        <v>163761.362</v>
      </c>
      <c r="BC5" t="n">
        <v>158310.881</v>
      </c>
      <c r="BD5" t="n">
        <v>127035.942</v>
      </c>
      <c r="BE5" t="n">
        <v>134071.268</v>
      </c>
      <c r="BF5" t="n">
        <v>135771.859</v>
      </c>
      <c r="BG5" t="n">
        <v>144520.637</v>
      </c>
      <c r="BH5" t="n">
        <v>144237.668</v>
      </c>
      <c r="BI5" t="n">
        <v>148606.048</v>
      </c>
      <c r="BJ5" t="n">
        <v>119419.972</v>
      </c>
      <c r="BK5" t="n">
        <v>141071.318</v>
      </c>
      <c r="BL5" t="n">
        <v>121398.751</v>
      </c>
      <c r="BM5" t="n">
        <v>139735.587</v>
      </c>
      <c r="BN5" t="n">
        <v>213115.521</v>
      </c>
      <c r="BO5" t="n">
        <v>179859.753</v>
      </c>
      <c r="BP5" t="n">
        <v>206488.945</v>
      </c>
      <c r="BQ5" t="n">
        <v>204913.784</v>
      </c>
      <c r="BR5" t="n">
        <v>109651.335</v>
      </c>
      <c r="BS5" t="n">
        <v>76508.99099999999</v>
      </c>
      <c r="BT5" t="n">
        <v>73545.855</v>
      </c>
      <c r="BU5" t="n">
        <v>60762.786</v>
      </c>
      <c r="BV5" t="n">
        <v>64896.219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7929.336</v>
      </c>
      <c r="F6" t="n">
        <v>7728.922</v>
      </c>
      <c r="G6" t="n">
        <v>7515.289</v>
      </c>
      <c r="H6" t="n">
        <v>7295.141</v>
      </c>
      <c r="I6" t="n">
        <v>15873.544</v>
      </c>
      <c r="J6" t="n">
        <v>23715.529</v>
      </c>
      <c r="K6" t="n">
        <v>25627.242</v>
      </c>
      <c r="L6" t="n">
        <v>27334.785</v>
      </c>
      <c r="M6" t="n">
        <v>29688.833</v>
      </c>
      <c r="N6" t="n">
        <v>34278.438</v>
      </c>
      <c r="O6" t="n">
        <v>44685.168</v>
      </c>
      <c r="P6" t="n">
        <v>45156.486</v>
      </c>
      <c r="Q6" t="n">
        <v>55928.75</v>
      </c>
      <c r="R6" t="n">
        <v>67232.791</v>
      </c>
      <c r="S6" t="n">
        <v>73297.048</v>
      </c>
      <c r="T6" t="n">
        <v>82976.359</v>
      </c>
      <c r="U6" t="n">
        <v>88327.349</v>
      </c>
      <c r="V6" t="n">
        <v>98884.212</v>
      </c>
      <c r="W6" t="n">
        <v>109065.072</v>
      </c>
      <c r="X6" t="n">
        <v>126485.927</v>
      </c>
      <c r="Y6" t="n">
        <v>132586.66</v>
      </c>
      <c r="Z6" t="n">
        <v>137458.948</v>
      </c>
      <c r="AA6" t="n">
        <v>164309.103</v>
      </c>
      <c r="AB6" t="n">
        <v>160423.082</v>
      </c>
      <c r="AC6" t="n">
        <v>135387.411</v>
      </c>
      <c r="AD6" t="n">
        <v>128954.467</v>
      </c>
      <c r="AE6" t="n">
        <v>138641.782</v>
      </c>
      <c r="AF6" t="n">
        <v>157458.661</v>
      </c>
      <c r="AG6" t="n">
        <v>164846.736</v>
      </c>
      <c r="AH6" t="n">
        <v>136787.666</v>
      </c>
      <c r="AI6" t="n">
        <v>140388.409</v>
      </c>
      <c r="AJ6" t="n">
        <v>162290.85</v>
      </c>
      <c r="AK6" t="n">
        <v>135117.411</v>
      </c>
      <c r="AL6" t="n">
        <v>146265.986</v>
      </c>
      <c r="AM6" t="n">
        <v>134645.757</v>
      </c>
      <c r="AN6" t="n">
        <v>174137.552</v>
      </c>
      <c r="AO6" t="n">
        <v>182577.076</v>
      </c>
      <c r="AP6" t="n">
        <v>192347.165</v>
      </c>
      <c r="AQ6" t="n">
        <v>200717.415</v>
      </c>
      <c r="AR6" t="n">
        <v>176017.161</v>
      </c>
      <c r="AS6" t="n">
        <v>176417.139</v>
      </c>
      <c r="AT6" t="n">
        <v>159413.176</v>
      </c>
      <c r="AU6" t="n">
        <v>170878.989</v>
      </c>
      <c r="AV6" t="n">
        <v>169949.306</v>
      </c>
      <c r="AW6" t="n">
        <v>188531.071</v>
      </c>
      <c r="AX6" t="n">
        <v>171175.487</v>
      </c>
      <c r="AY6" t="n">
        <v>162496.2</v>
      </c>
      <c r="AZ6" t="n">
        <v>153431.299</v>
      </c>
      <c r="BA6" t="n">
        <v>146897.792</v>
      </c>
      <c r="BB6" t="n">
        <v>152203.126</v>
      </c>
      <c r="BC6" t="n">
        <v>148153.9</v>
      </c>
      <c r="BD6" t="n">
        <v>152227.467</v>
      </c>
      <c r="BE6" t="n">
        <v>139024.274</v>
      </c>
      <c r="BF6" t="n">
        <v>140773.866</v>
      </c>
      <c r="BG6" t="n">
        <v>136912.642</v>
      </c>
      <c r="BH6" t="n">
        <v>139983.059</v>
      </c>
      <c r="BI6" t="n">
        <v>133134.224</v>
      </c>
      <c r="BJ6" t="n">
        <v>121344.657</v>
      </c>
      <c r="BK6" t="n">
        <v>123972.002</v>
      </c>
      <c r="BL6" t="n">
        <v>130071.281</v>
      </c>
      <c r="BM6" t="n">
        <v>139560.16</v>
      </c>
      <c r="BN6" t="n">
        <v>134702.027</v>
      </c>
      <c r="BO6" t="n">
        <v>134472.852</v>
      </c>
      <c r="BP6" t="n">
        <v>141202.787</v>
      </c>
      <c r="BQ6" t="n">
        <v>135038.446</v>
      </c>
      <c r="BR6" t="n">
        <v>141217.04</v>
      </c>
      <c r="BS6" t="n">
        <v>148184.846</v>
      </c>
      <c r="BT6" t="n">
        <v>163127.438</v>
      </c>
      <c r="BU6" t="n">
        <v>178301.329</v>
      </c>
      <c r="BV6" t="n">
        <v>157985.295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2904.949</v>
      </c>
      <c r="F7" t="n">
        <v>2977.159</v>
      </c>
      <c r="G7" t="n">
        <v>3875.927</v>
      </c>
      <c r="H7" t="n">
        <v>3635.143</v>
      </c>
      <c r="I7" t="n">
        <v>3409.313</v>
      </c>
      <c r="J7" t="n">
        <v>3483.414</v>
      </c>
      <c r="K7" t="n">
        <v>3616.375</v>
      </c>
      <c r="L7" t="n">
        <v>3798.898</v>
      </c>
      <c r="M7" t="n">
        <v>3941.599</v>
      </c>
      <c r="N7" t="n">
        <v>3782.491</v>
      </c>
      <c r="O7" t="n">
        <v>4244.412</v>
      </c>
      <c r="P7" t="n">
        <v>15163.107</v>
      </c>
      <c r="Q7" t="n">
        <v>18938.45</v>
      </c>
      <c r="R7" t="n">
        <v>26688.153</v>
      </c>
      <c r="S7" t="n">
        <v>34924.649</v>
      </c>
      <c r="T7" t="n">
        <v>54522.754</v>
      </c>
      <c r="U7" t="n">
        <v>67513.39599999999</v>
      </c>
      <c r="V7" t="n">
        <v>84559.37699999999</v>
      </c>
      <c r="W7" t="n">
        <v>103147.498</v>
      </c>
      <c r="X7" t="n">
        <v>129851.239</v>
      </c>
      <c r="Y7" t="n">
        <v>135635.621</v>
      </c>
      <c r="Z7" t="n">
        <v>148253.55</v>
      </c>
      <c r="AA7" t="n">
        <v>181689.292</v>
      </c>
      <c r="AB7" t="n">
        <v>174861.74</v>
      </c>
      <c r="AC7" t="n">
        <v>155074.074</v>
      </c>
      <c r="AD7" t="n">
        <v>136522.976</v>
      </c>
      <c r="AE7" t="n">
        <v>146881.519</v>
      </c>
      <c r="AF7" t="n">
        <v>163206.743</v>
      </c>
      <c r="AG7" t="n">
        <v>165521.413</v>
      </c>
      <c r="AH7" t="n">
        <v>156915.815</v>
      </c>
      <c r="AI7" t="n">
        <v>148275.222</v>
      </c>
      <c r="AJ7" t="n">
        <v>146145.892</v>
      </c>
      <c r="AK7" t="n">
        <v>150777.092</v>
      </c>
      <c r="AL7" t="n">
        <v>144809.63</v>
      </c>
      <c r="AM7" t="n">
        <v>132285.41</v>
      </c>
      <c r="AN7" t="n">
        <v>141090.6</v>
      </c>
      <c r="AO7" t="n">
        <v>157632.605</v>
      </c>
      <c r="AP7" t="n">
        <v>201772.42</v>
      </c>
      <c r="AQ7" t="n">
        <v>193501.926</v>
      </c>
      <c r="AR7" t="n">
        <v>173439.328</v>
      </c>
      <c r="AS7" t="n">
        <v>196953.289</v>
      </c>
      <c r="AT7" t="n">
        <v>179611.411</v>
      </c>
      <c r="AU7" t="n">
        <v>191593.197</v>
      </c>
      <c r="AV7" t="n">
        <v>185630.917</v>
      </c>
      <c r="AW7" t="n">
        <v>191376.523</v>
      </c>
      <c r="AX7" t="n">
        <v>166707.276</v>
      </c>
      <c r="AY7" t="n">
        <v>152768.361</v>
      </c>
      <c r="AZ7" t="n">
        <v>143473.711</v>
      </c>
      <c r="BA7" t="n">
        <v>147549.671</v>
      </c>
      <c r="BB7" t="n">
        <v>153354.857</v>
      </c>
      <c r="BC7" t="n">
        <v>154107.81</v>
      </c>
      <c r="BD7" t="n">
        <v>145239.344</v>
      </c>
      <c r="BE7" t="n">
        <v>138078.716</v>
      </c>
      <c r="BF7" t="n">
        <v>137781.835</v>
      </c>
      <c r="BG7" t="n">
        <v>131754.097</v>
      </c>
      <c r="BH7" t="n">
        <v>128559.941</v>
      </c>
      <c r="BI7" t="n">
        <v>123724.966</v>
      </c>
      <c r="BJ7" t="n">
        <v>111586.296</v>
      </c>
      <c r="BK7" t="n">
        <v>101635.595</v>
      </c>
      <c r="BL7" t="n">
        <v>113388.1</v>
      </c>
      <c r="BM7" t="n">
        <v>112811.065</v>
      </c>
      <c r="BN7" t="n">
        <v>113277.132</v>
      </c>
      <c r="BO7" t="n">
        <v>120917.898</v>
      </c>
      <c r="BP7" t="n">
        <v>129884.517</v>
      </c>
      <c r="BQ7" t="n">
        <v>131856.651</v>
      </c>
      <c r="BR7" t="n">
        <v>126099.152</v>
      </c>
      <c r="BS7" t="n">
        <v>121609.375</v>
      </c>
      <c r="BT7" t="n">
        <v>110000.558</v>
      </c>
      <c r="BU7" t="n">
        <v>112935.314</v>
      </c>
      <c r="BV7" t="n">
        <v>111139.764</v>
      </c>
    </row>
    <row r="8">
      <c r="A8" t="inlineStr">
        <is>
          <t>Engraulidae</t>
        </is>
      </c>
      <c r="B8" t="inlineStr">
        <is>
          <t>Anchovies, round herrings</t>
        </is>
      </c>
      <c r="C8" t="inlineStr">
        <is>
          <t>Small pelagics (&lt;30 cm)</t>
        </is>
      </c>
      <c r="D8" t="inlineStr">
        <is>
          <t>Anchovies</t>
        </is>
      </c>
      <c r="E8" t="n">
        <v>32086.001</v>
      </c>
      <c r="F8" t="n">
        <v>31348.873</v>
      </c>
      <c r="G8" t="n">
        <v>32316.568</v>
      </c>
      <c r="H8" t="n">
        <v>33657.751</v>
      </c>
      <c r="I8" t="n">
        <v>38033.796</v>
      </c>
      <c r="J8" t="n">
        <v>41132.967</v>
      </c>
      <c r="K8" t="n">
        <v>42510.061</v>
      </c>
      <c r="L8" t="n">
        <v>41338.1</v>
      </c>
      <c r="M8" t="n">
        <v>51849.957</v>
      </c>
      <c r="N8" t="n">
        <v>61084.296</v>
      </c>
      <c r="O8" t="n">
        <v>67059.60000000001</v>
      </c>
      <c r="P8" t="n">
        <v>85278.83199999999</v>
      </c>
      <c r="Q8" t="n">
        <v>87806.69899999999</v>
      </c>
      <c r="R8" t="n">
        <v>102440.411</v>
      </c>
      <c r="S8" t="n">
        <v>111866.319</v>
      </c>
      <c r="T8" t="n">
        <v>130612.806</v>
      </c>
      <c r="U8" t="n">
        <v>112529.83</v>
      </c>
      <c r="V8" t="n">
        <v>99027.431</v>
      </c>
      <c r="W8" t="n">
        <v>74574.943</v>
      </c>
      <c r="X8" t="n">
        <v>46421.417</v>
      </c>
      <c r="Y8" t="n">
        <v>23226.25</v>
      </c>
      <c r="Z8" t="n">
        <v>24111.669</v>
      </c>
      <c r="AA8" t="n">
        <v>29075.907</v>
      </c>
      <c r="AB8" t="n">
        <v>36196.074</v>
      </c>
      <c r="AC8" t="n">
        <v>36236.647</v>
      </c>
      <c r="AD8" t="n">
        <v>22657.199</v>
      </c>
      <c r="AE8" t="n">
        <v>24140.436</v>
      </c>
      <c r="AF8" t="n">
        <v>16638.678</v>
      </c>
      <c r="AG8" t="n">
        <v>14249.403</v>
      </c>
      <c r="AH8" t="n">
        <v>24904.969</v>
      </c>
      <c r="AI8" t="n">
        <v>25058.01</v>
      </c>
      <c r="AJ8" t="n">
        <v>19050.033</v>
      </c>
      <c r="AK8" t="n">
        <v>31314.291</v>
      </c>
      <c r="AL8" t="n">
        <v>49309.441</v>
      </c>
      <c r="AM8" t="n">
        <v>103116.922</v>
      </c>
      <c r="AN8" t="n">
        <v>118258.714</v>
      </c>
      <c r="AO8" t="n">
        <v>69928.648</v>
      </c>
      <c r="AP8" t="n">
        <v>67040.701</v>
      </c>
      <c r="AQ8" t="n">
        <v>80286.929</v>
      </c>
      <c r="AR8" t="n">
        <v>109267.615</v>
      </c>
      <c r="AS8" t="n">
        <v>136519.113</v>
      </c>
      <c r="AT8" t="n">
        <v>127215.108</v>
      </c>
      <c r="AU8" t="n">
        <v>135163.731</v>
      </c>
      <c r="AV8" t="n">
        <v>135187.442</v>
      </c>
      <c r="AW8" t="n">
        <v>113076.73</v>
      </c>
      <c r="AX8" t="n">
        <v>133040.286</v>
      </c>
      <c r="AY8" t="n">
        <v>132107.904</v>
      </c>
      <c r="AZ8" t="n">
        <v>125998.012</v>
      </c>
      <c r="BA8" t="n">
        <v>138740.598</v>
      </c>
      <c r="BB8" t="n">
        <v>118151.428</v>
      </c>
      <c r="BC8" t="n">
        <v>135261.586</v>
      </c>
      <c r="BD8" t="n">
        <v>131576.579</v>
      </c>
      <c r="BE8" t="n">
        <v>129776.391</v>
      </c>
      <c r="BF8" t="n">
        <v>143537.41</v>
      </c>
      <c r="BG8" t="n">
        <v>148091.417</v>
      </c>
      <c r="BH8" t="n">
        <v>148694.96</v>
      </c>
      <c r="BI8" t="n">
        <v>150036.899</v>
      </c>
      <c r="BJ8" t="n">
        <v>133822.191</v>
      </c>
      <c r="BK8" t="n">
        <v>171922.231</v>
      </c>
      <c r="BL8" t="n">
        <v>146287.952</v>
      </c>
      <c r="BM8" t="n">
        <v>140879.248</v>
      </c>
      <c r="BN8" t="n">
        <v>145274.649</v>
      </c>
      <c r="BO8" t="n">
        <v>127942.937</v>
      </c>
      <c r="BP8" t="n">
        <v>113350.777</v>
      </c>
      <c r="BQ8" t="n">
        <v>129969.339</v>
      </c>
      <c r="BR8" t="n">
        <v>111518.213</v>
      </c>
      <c r="BS8" t="n">
        <v>151256.471</v>
      </c>
      <c r="BT8" t="n">
        <v>146930.186</v>
      </c>
      <c r="BU8" t="n">
        <v>155684.34</v>
      </c>
      <c r="BV8" t="n">
        <v>156880.758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1353.239</v>
      </c>
      <c r="F9" t="n">
        <v>1415.434</v>
      </c>
      <c r="G9" t="n">
        <v>1513.55</v>
      </c>
      <c r="H9" t="n">
        <v>1583.543</v>
      </c>
      <c r="I9" t="n">
        <v>2795.332</v>
      </c>
      <c r="J9" t="n">
        <v>4166.553</v>
      </c>
      <c r="K9" t="n">
        <v>4767.709</v>
      </c>
      <c r="L9" t="n">
        <v>5389.195</v>
      </c>
      <c r="M9" t="n">
        <v>6192.364</v>
      </c>
      <c r="N9" t="n">
        <v>7616.38</v>
      </c>
      <c r="O9" t="n">
        <v>10583.332</v>
      </c>
      <c r="P9" t="n">
        <v>13753.685</v>
      </c>
      <c r="Q9" t="n">
        <v>19499.012</v>
      </c>
      <c r="R9" t="n">
        <v>27342.431</v>
      </c>
      <c r="S9" t="n">
        <v>35760.257</v>
      </c>
      <c r="T9" t="n">
        <v>50631.617</v>
      </c>
      <c r="U9" t="n">
        <v>60083.635</v>
      </c>
      <c r="V9" t="n">
        <v>75464.977</v>
      </c>
      <c r="W9" t="n">
        <v>90438.28</v>
      </c>
      <c r="X9" t="n">
        <v>113316.852</v>
      </c>
      <c r="Y9" t="n">
        <v>127895.66</v>
      </c>
      <c r="Z9" t="n">
        <v>134716.75</v>
      </c>
      <c r="AA9" t="n">
        <v>172846.197</v>
      </c>
      <c r="AB9" t="n">
        <v>161616.486</v>
      </c>
      <c r="AC9" t="n">
        <v>136939.478</v>
      </c>
      <c r="AD9" t="n">
        <v>121392.548</v>
      </c>
      <c r="AE9" t="n">
        <v>110488.355</v>
      </c>
      <c r="AF9" t="n">
        <v>137432.081</v>
      </c>
      <c r="AG9" t="n">
        <v>138649.912</v>
      </c>
      <c r="AH9" t="n">
        <v>123156.904</v>
      </c>
      <c r="AI9" t="n">
        <v>123774.492</v>
      </c>
      <c r="AJ9" t="n">
        <v>120803.684</v>
      </c>
      <c r="AK9" t="n">
        <v>123874.89</v>
      </c>
      <c r="AL9" t="n">
        <v>122320.719</v>
      </c>
      <c r="AM9" t="n">
        <v>113092.375</v>
      </c>
      <c r="AN9" t="n">
        <v>114666.52</v>
      </c>
      <c r="AO9" t="n">
        <v>131821.481</v>
      </c>
      <c r="AP9" t="n">
        <v>146453.376</v>
      </c>
      <c r="AQ9" t="n">
        <v>132742.566</v>
      </c>
      <c r="AR9" t="n">
        <v>123025.364</v>
      </c>
      <c r="AS9" t="n">
        <v>124446.147</v>
      </c>
      <c r="AT9" t="n">
        <v>106476.573</v>
      </c>
      <c r="AU9" t="n">
        <v>107648.261</v>
      </c>
      <c r="AV9" t="n">
        <v>107552.698</v>
      </c>
      <c r="AW9" t="n">
        <v>110339.383</v>
      </c>
      <c r="AX9" t="n">
        <v>103451.374</v>
      </c>
      <c r="AY9" t="n">
        <v>98998.265</v>
      </c>
      <c r="AZ9" t="n">
        <v>94024.448</v>
      </c>
      <c r="BA9" t="n">
        <v>91410.72500000001</v>
      </c>
      <c r="BB9" t="n">
        <v>110034.747</v>
      </c>
      <c r="BC9" t="n">
        <v>113948.434</v>
      </c>
      <c r="BD9" t="n">
        <v>114290.458</v>
      </c>
      <c r="BE9" t="n">
        <v>110065.434</v>
      </c>
      <c r="BF9" t="n">
        <v>114245.501</v>
      </c>
      <c r="BG9" t="n">
        <v>118360.004</v>
      </c>
      <c r="BH9" t="n">
        <v>125802.896</v>
      </c>
      <c r="BI9" t="n">
        <v>124557.106</v>
      </c>
      <c r="BJ9" t="n">
        <v>115546.269</v>
      </c>
      <c r="BK9" t="n">
        <v>104560.193</v>
      </c>
      <c r="BL9" t="n">
        <v>105487.299</v>
      </c>
      <c r="BM9" t="n">
        <v>98671.04300000001</v>
      </c>
      <c r="BN9" t="n">
        <v>90317.07799999999</v>
      </c>
      <c r="BO9" t="n">
        <v>96122.234</v>
      </c>
      <c r="BP9" t="n">
        <v>101881.187</v>
      </c>
      <c r="BQ9" t="n">
        <v>98375.735</v>
      </c>
      <c r="BR9" t="n">
        <v>91295.27899999999</v>
      </c>
      <c r="BS9" t="n">
        <v>90373.913</v>
      </c>
      <c r="BT9" t="n">
        <v>88931.382</v>
      </c>
      <c r="BU9" t="n">
        <v>100684.608</v>
      </c>
      <c r="BV9" t="n">
        <v>90897.576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3858.047</v>
      </c>
      <c r="F10" t="n">
        <v>3691.201</v>
      </c>
      <c r="G10" t="n">
        <v>3396.137</v>
      </c>
      <c r="H10" t="n">
        <v>3194.77</v>
      </c>
      <c r="I10" t="n">
        <v>3229.291</v>
      </c>
      <c r="J10" t="n">
        <v>3461.07</v>
      </c>
      <c r="K10" t="n">
        <v>3499.7</v>
      </c>
      <c r="L10" t="n">
        <v>3608.191</v>
      </c>
      <c r="M10" t="n">
        <v>4093.117</v>
      </c>
      <c r="N10" t="n">
        <v>4430.921</v>
      </c>
      <c r="O10" t="n">
        <v>4637.22</v>
      </c>
      <c r="P10" t="n">
        <v>4759.687</v>
      </c>
      <c r="Q10" t="n">
        <v>5325.982</v>
      </c>
      <c r="R10" t="n">
        <v>5706.525</v>
      </c>
      <c r="S10" t="n">
        <v>6502.953</v>
      </c>
      <c r="T10" t="n">
        <v>5683.733</v>
      </c>
      <c r="U10" t="n">
        <v>5669.663</v>
      </c>
      <c r="V10" t="n">
        <v>5789.882</v>
      </c>
      <c r="W10" t="n">
        <v>5756.113</v>
      </c>
      <c r="X10" t="n">
        <v>5106.863</v>
      </c>
      <c r="Y10" t="n">
        <v>35718.59</v>
      </c>
      <c r="Z10" t="n">
        <v>38542.811</v>
      </c>
      <c r="AA10" t="n">
        <v>18197.494</v>
      </c>
      <c r="AB10" t="n">
        <v>44586.888</v>
      </c>
      <c r="AC10" t="n">
        <v>71744.789</v>
      </c>
      <c r="AD10" t="n">
        <v>75739.07799999999</v>
      </c>
      <c r="AE10" t="n">
        <v>76254.89</v>
      </c>
      <c r="AF10" t="n">
        <v>242928.261</v>
      </c>
      <c r="AG10" t="n">
        <v>164932.334</v>
      </c>
      <c r="AH10" t="n">
        <v>173987.885</v>
      </c>
      <c r="AI10" t="n">
        <v>138585.829</v>
      </c>
      <c r="AJ10" t="n">
        <v>180339.707</v>
      </c>
      <c r="AK10" t="n">
        <v>125428.109</v>
      </c>
      <c r="AL10" t="n">
        <v>135136.718</v>
      </c>
      <c r="AM10" t="n">
        <v>114227.358</v>
      </c>
      <c r="AN10" t="n">
        <v>84898.18399999999</v>
      </c>
      <c r="AO10" t="n">
        <v>108330.291</v>
      </c>
      <c r="AP10" t="n">
        <v>99021.341</v>
      </c>
      <c r="AQ10" t="n">
        <v>106681.931</v>
      </c>
      <c r="AR10" t="n">
        <v>132163.959</v>
      </c>
      <c r="AS10" t="n">
        <v>107688.549</v>
      </c>
      <c r="AT10" t="n">
        <v>132270.586</v>
      </c>
      <c r="AU10" t="n">
        <v>159800.798</v>
      </c>
      <c r="AV10" t="n">
        <v>129582.976</v>
      </c>
      <c r="AW10" t="n">
        <v>139570.078</v>
      </c>
      <c r="AX10" t="n">
        <v>164123.913</v>
      </c>
      <c r="AY10" t="n">
        <v>184800.468</v>
      </c>
      <c r="AZ10" t="n">
        <v>174724.61</v>
      </c>
      <c r="BA10" t="n">
        <v>161092.722</v>
      </c>
      <c r="BB10" t="n">
        <v>161334.149</v>
      </c>
      <c r="BC10" t="n">
        <v>146673.13</v>
      </c>
      <c r="BD10" t="n">
        <v>127284.273</v>
      </c>
      <c r="BE10" t="n">
        <v>119953.963</v>
      </c>
      <c r="BF10" t="n">
        <v>125311.516</v>
      </c>
      <c r="BG10" t="n">
        <v>117122.538</v>
      </c>
      <c r="BH10" t="n">
        <v>121818.372</v>
      </c>
      <c r="BI10" t="n">
        <v>109815.338</v>
      </c>
      <c r="BJ10" t="n">
        <v>94001.632</v>
      </c>
      <c r="BK10" t="n">
        <v>116648.299</v>
      </c>
      <c r="BL10" t="n">
        <v>122824.778</v>
      </c>
      <c r="BM10" t="n">
        <v>114991.534</v>
      </c>
      <c r="BN10" t="n">
        <v>77163.531</v>
      </c>
      <c r="BO10" t="n">
        <v>94519.71799999999</v>
      </c>
      <c r="BP10" t="n">
        <v>98055.844</v>
      </c>
      <c r="BQ10" t="n">
        <v>98286.428</v>
      </c>
      <c r="BR10" t="n">
        <v>109189.727</v>
      </c>
      <c r="BS10" t="n">
        <v>102280.138</v>
      </c>
      <c r="BT10" t="n">
        <v>102974.905</v>
      </c>
      <c r="BU10" t="n">
        <v>102389.162</v>
      </c>
      <c r="BV10" t="n">
        <v>116250.523</v>
      </c>
    </row>
    <row r="11">
      <c r="A11" t="inlineStr">
        <is>
          <t>Platycephalidae</t>
        </is>
      </c>
      <c r="B11" t="inlineStr">
        <is>
          <t>Flatheads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40.041</v>
      </c>
      <c r="F11" t="n">
        <v>40.041</v>
      </c>
      <c r="G11" t="n">
        <v>52.554</v>
      </c>
      <c r="H11" t="n">
        <v>46.714</v>
      </c>
      <c r="I11" t="n">
        <v>40.041</v>
      </c>
      <c r="J11" t="n">
        <v>40.041</v>
      </c>
      <c r="K11" t="n">
        <v>40.041</v>
      </c>
      <c r="L11" t="n">
        <v>38.373</v>
      </c>
      <c r="M11" t="n">
        <v>40.875</v>
      </c>
      <c r="N11" t="n">
        <v>40.041</v>
      </c>
      <c r="O11" t="n">
        <v>53.388</v>
      </c>
      <c r="P11" t="n">
        <v>2652.625</v>
      </c>
      <c r="Q11" t="n">
        <v>5949.008</v>
      </c>
      <c r="R11" t="n">
        <v>11916.609</v>
      </c>
      <c r="S11" t="n">
        <v>20421.117</v>
      </c>
      <c r="T11" t="n">
        <v>37432.116</v>
      </c>
      <c r="U11" t="n">
        <v>47965.461</v>
      </c>
      <c r="V11" t="n">
        <v>65503.391</v>
      </c>
      <c r="W11" t="n">
        <v>82795.743</v>
      </c>
      <c r="X11" t="n">
        <v>109142.111</v>
      </c>
      <c r="Y11" t="n">
        <v>111551.442</v>
      </c>
      <c r="Z11" t="n">
        <v>121106.651</v>
      </c>
      <c r="AA11" t="n">
        <v>154826.285</v>
      </c>
      <c r="AB11" t="n">
        <v>144519.815</v>
      </c>
      <c r="AC11" t="n">
        <v>120999.246</v>
      </c>
      <c r="AD11" t="n">
        <v>110972.541</v>
      </c>
      <c r="AE11" t="n">
        <v>110358.98</v>
      </c>
      <c r="AF11" t="n">
        <v>127568.245</v>
      </c>
      <c r="AG11" t="n">
        <v>128772.603</v>
      </c>
      <c r="AH11" t="n">
        <v>116008.953</v>
      </c>
      <c r="AI11" t="n">
        <v>115722.601</v>
      </c>
      <c r="AJ11" t="n">
        <v>110713.759</v>
      </c>
      <c r="AK11" t="n">
        <v>116227.964</v>
      </c>
      <c r="AL11" t="n">
        <v>111998.505</v>
      </c>
      <c r="AM11" t="n">
        <v>102335.705</v>
      </c>
      <c r="AN11" t="n">
        <v>106028.021</v>
      </c>
      <c r="AO11" t="n">
        <v>125277.082</v>
      </c>
      <c r="AP11" t="n">
        <v>140816.67</v>
      </c>
      <c r="AQ11" t="n">
        <v>122336.341</v>
      </c>
      <c r="AR11" t="n">
        <v>110495.208</v>
      </c>
      <c r="AS11" t="n">
        <v>114236.697</v>
      </c>
      <c r="AT11" t="n">
        <v>99097.978</v>
      </c>
      <c r="AU11" t="n">
        <v>102946.109</v>
      </c>
      <c r="AV11" t="n">
        <v>100472.855</v>
      </c>
      <c r="AW11" t="n">
        <v>103362.528</v>
      </c>
      <c r="AX11" t="n">
        <v>94874.183</v>
      </c>
      <c r="AY11" t="n">
        <v>85683.861</v>
      </c>
      <c r="AZ11" t="n">
        <v>79007.061</v>
      </c>
      <c r="BA11" t="n">
        <v>76006.04700000001</v>
      </c>
      <c r="BB11" t="n">
        <v>74645.565</v>
      </c>
      <c r="BC11" t="n">
        <v>77964.40399999999</v>
      </c>
      <c r="BD11" t="n">
        <v>72898.007</v>
      </c>
      <c r="BE11" t="n">
        <v>63982.672</v>
      </c>
      <c r="BF11" t="n">
        <v>66145.69100000001</v>
      </c>
      <c r="BG11" t="n">
        <v>60234.393</v>
      </c>
      <c r="BH11" t="n">
        <v>62819.286</v>
      </c>
      <c r="BI11" t="n">
        <v>58783.698</v>
      </c>
      <c r="BJ11" t="n">
        <v>51622.966</v>
      </c>
      <c r="BK11" t="n">
        <v>51713.124</v>
      </c>
      <c r="BL11" t="n">
        <v>50944.762</v>
      </c>
      <c r="BM11" t="n">
        <v>44458.981</v>
      </c>
      <c r="BN11" t="n">
        <v>42049.003</v>
      </c>
      <c r="BO11" t="n">
        <v>42707.786</v>
      </c>
      <c r="BP11" t="n">
        <v>47072.226</v>
      </c>
      <c r="BQ11" t="n">
        <v>45186.312</v>
      </c>
      <c r="BR11" t="n">
        <v>42027.081</v>
      </c>
      <c r="BS11" t="n">
        <v>37839.336</v>
      </c>
      <c r="BT11" t="n">
        <v>33996.365</v>
      </c>
      <c r="BU11" t="n">
        <v>42063.075</v>
      </c>
      <c r="BV11" t="n">
        <v>41310.068</v>
      </c>
    </row>
    <row r="12">
      <c r="A12" t="inlineStr">
        <is>
          <t>Loliginidae</t>
        </is>
      </c>
      <c r="B12" t="inlineStr">
        <is>
          <t>Common pencil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1309.342</v>
      </c>
      <c r="F12" t="n">
        <v>1309.342</v>
      </c>
      <c r="G12" t="n">
        <v>1309.342</v>
      </c>
      <c r="H12" t="n">
        <v>1309.342</v>
      </c>
      <c r="I12" t="n">
        <v>1309.342</v>
      </c>
      <c r="J12" t="n">
        <v>1668.199</v>
      </c>
      <c r="K12" t="n">
        <v>1668.199</v>
      </c>
      <c r="L12" t="n">
        <v>1668.199</v>
      </c>
      <c r="M12" t="n">
        <v>1668.199</v>
      </c>
      <c r="N12" t="n">
        <v>1668.199</v>
      </c>
      <c r="O12" t="n">
        <v>1590.608</v>
      </c>
      <c r="P12" t="n">
        <v>1590.608</v>
      </c>
      <c r="Q12" t="n">
        <v>1590.608</v>
      </c>
      <c r="R12" t="n">
        <v>1789.435</v>
      </c>
      <c r="S12" t="n">
        <v>1789.435</v>
      </c>
      <c r="T12" t="n">
        <v>1612.438</v>
      </c>
      <c r="U12" t="n">
        <v>1652.169</v>
      </c>
      <c r="V12" t="n">
        <v>1448.043</v>
      </c>
      <c r="W12" t="n">
        <v>1022.229</v>
      </c>
      <c r="X12" t="n">
        <v>1071.175</v>
      </c>
      <c r="Y12" t="n">
        <v>26862.955</v>
      </c>
      <c r="Z12" t="n">
        <v>29529.665</v>
      </c>
      <c r="AA12" t="n">
        <v>56289.167</v>
      </c>
      <c r="AB12" t="n">
        <v>47664.772</v>
      </c>
      <c r="AC12" t="n">
        <v>52369.823</v>
      </c>
      <c r="AD12" t="n">
        <v>46425.917</v>
      </c>
      <c r="AE12" t="n">
        <v>44599.122</v>
      </c>
      <c r="AF12" t="n">
        <v>58322.494</v>
      </c>
      <c r="AG12" t="n">
        <v>58055.919</v>
      </c>
      <c r="AH12" t="n">
        <v>46401.317</v>
      </c>
      <c r="AI12" t="n">
        <v>44730.822</v>
      </c>
      <c r="AJ12" t="n">
        <v>53094.758</v>
      </c>
      <c r="AK12" t="n">
        <v>77987.58500000001</v>
      </c>
      <c r="AL12" t="n">
        <v>84921.799</v>
      </c>
      <c r="AM12" t="n">
        <v>72344.27899999999</v>
      </c>
      <c r="AN12" t="n">
        <v>71103.413</v>
      </c>
      <c r="AO12" t="n">
        <v>74763.476</v>
      </c>
      <c r="AP12" t="n">
        <v>77306.302</v>
      </c>
      <c r="AQ12" t="n">
        <v>68751.338</v>
      </c>
      <c r="AR12" t="n">
        <v>73412.05</v>
      </c>
      <c r="AS12" t="n">
        <v>70301.327</v>
      </c>
      <c r="AT12" t="n">
        <v>71504.959</v>
      </c>
      <c r="AU12" t="n">
        <v>66226.959</v>
      </c>
      <c r="AV12" t="n">
        <v>71403.43799999999</v>
      </c>
      <c r="AW12" t="n">
        <v>87135.447</v>
      </c>
      <c r="AX12" t="n">
        <v>92637.83900000001</v>
      </c>
      <c r="AY12" t="n">
        <v>85305.253</v>
      </c>
      <c r="AZ12" t="n">
        <v>84613.592</v>
      </c>
      <c r="BA12" t="n">
        <v>106636.714</v>
      </c>
      <c r="BB12" t="n">
        <v>99211.14</v>
      </c>
      <c r="BC12" t="n">
        <v>112873.641</v>
      </c>
      <c r="BD12" t="n">
        <v>106278.148</v>
      </c>
      <c r="BE12" t="n">
        <v>113672.908</v>
      </c>
      <c r="BF12" t="n">
        <v>112834.785</v>
      </c>
      <c r="BG12" t="n">
        <v>95420.333</v>
      </c>
      <c r="BH12" t="n">
        <v>106124.081</v>
      </c>
      <c r="BI12" t="n">
        <v>111593.529</v>
      </c>
      <c r="BJ12" t="n">
        <v>98563.12</v>
      </c>
      <c r="BK12" t="n">
        <v>125851.019</v>
      </c>
      <c r="BL12" t="n">
        <v>116039.379</v>
      </c>
      <c r="BM12" t="n">
        <v>130261.786</v>
      </c>
      <c r="BN12" t="n">
        <v>145270.812</v>
      </c>
      <c r="BO12" t="n">
        <v>130081.199</v>
      </c>
      <c r="BP12" t="n">
        <v>129404.49</v>
      </c>
      <c r="BQ12" t="n">
        <v>120365.115</v>
      </c>
      <c r="BR12" t="n">
        <v>123130.102</v>
      </c>
      <c r="BS12" t="n">
        <v>141711.121</v>
      </c>
      <c r="BT12" t="n">
        <v>130702.785</v>
      </c>
      <c r="BU12" t="n">
        <v>126757.995</v>
      </c>
      <c r="BV12" t="n">
        <v>119699.306</v>
      </c>
    </row>
    <row r="13">
      <c r="A13" t="inlineStr">
        <is>
          <t>Perna viridis</t>
        </is>
      </c>
      <c r="B13" t="inlineStr">
        <is>
          <t>Brown mussel</t>
        </is>
      </c>
      <c r="C13" t="inlineStr">
        <is>
          <t>Other demersal invertebrates</t>
        </is>
      </c>
      <c r="D13" t="inlineStr">
        <is>
          <t>Molluscs</t>
        </is>
      </c>
      <c r="E13" t="n">
        <v>138732.96</v>
      </c>
      <c r="F13" t="n">
        <v>120967.189</v>
      </c>
      <c r="G13" t="n">
        <v>142086.421</v>
      </c>
      <c r="H13" t="n">
        <v>141053.397</v>
      </c>
      <c r="I13" t="n">
        <v>134356.467</v>
      </c>
      <c r="J13" t="n">
        <v>143785.937</v>
      </c>
      <c r="K13" t="n">
        <v>146982.459</v>
      </c>
      <c r="L13" t="n">
        <v>142413.918</v>
      </c>
      <c r="M13" t="n">
        <v>141432.852</v>
      </c>
      <c r="N13" t="n">
        <v>154732.869</v>
      </c>
      <c r="O13" t="n">
        <v>151851.148</v>
      </c>
      <c r="P13" t="n">
        <v>163412.618</v>
      </c>
      <c r="Q13" t="n">
        <v>142225.593</v>
      </c>
      <c r="R13" t="n">
        <v>111527.939</v>
      </c>
      <c r="S13" t="n">
        <v>81211.66499999999</v>
      </c>
      <c r="T13" t="n">
        <v>77725.159</v>
      </c>
      <c r="U13" t="n">
        <v>125360.274</v>
      </c>
      <c r="V13" t="n">
        <v>116926.99</v>
      </c>
      <c r="W13" t="n">
        <v>137680.395</v>
      </c>
      <c r="X13" t="n">
        <v>151309.119</v>
      </c>
      <c r="Y13" t="n">
        <v>179587.743</v>
      </c>
      <c r="Z13" t="n">
        <v>196268.37</v>
      </c>
      <c r="AA13" t="n">
        <v>61279.192</v>
      </c>
      <c r="AB13" t="n">
        <v>1190.932</v>
      </c>
      <c r="AC13" t="n">
        <v>1779.596</v>
      </c>
      <c r="AD13" t="n">
        <v>5525.49</v>
      </c>
      <c r="AE13" t="n">
        <v>1003.931</v>
      </c>
      <c r="AF13" t="n">
        <v>0</v>
      </c>
      <c r="AG13" t="n">
        <v>0</v>
      </c>
      <c r="AH13" t="n">
        <v>1315.421</v>
      </c>
      <c r="AI13" t="n">
        <v>4240.36</v>
      </c>
      <c r="AJ13" t="n">
        <v>102.985</v>
      </c>
      <c r="AK13" t="n">
        <v>55800.052</v>
      </c>
      <c r="AL13" t="n">
        <v>27528.968</v>
      </c>
      <c r="AM13" t="n">
        <v>40322.555</v>
      </c>
      <c r="AN13" t="n">
        <v>39067.233</v>
      </c>
      <c r="AO13" t="n">
        <v>18883.628</v>
      </c>
      <c r="AP13" t="n">
        <v>25135.92</v>
      </c>
      <c r="AQ13" t="n">
        <v>24664.627</v>
      </c>
      <c r="AR13" t="n">
        <v>19649.602</v>
      </c>
      <c r="AS13" t="n">
        <v>19537.125</v>
      </c>
      <c r="AT13" t="n">
        <v>17649.442</v>
      </c>
      <c r="AU13" t="n">
        <v>25896.357</v>
      </c>
      <c r="AV13" t="n">
        <v>26743.555</v>
      </c>
      <c r="AW13" t="n">
        <v>26685.373</v>
      </c>
      <c r="AX13" t="n">
        <v>21204.034</v>
      </c>
      <c r="AY13" t="n">
        <v>20612.181</v>
      </c>
      <c r="AZ13" t="n">
        <v>18655.628</v>
      </c>
      <c r="BA13" t="n">
        <v>19431.324</v>
      </c>
      <c r="BB13" t="n">
        <v>7016.935</v>
      </c>
      <c r="BC13" t="n">
        <v>45192.664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Penaeus</t>
        </is>
      </c>
      <c r="B14" t="inlineStr">
        <is>
          <t>Tiger prawns</t>
        </is>
      </c>
      <c r="C14" t="inlineStr">
        <is>
          <t>Shrimps</t>
        </is>
      </c>
      <c r="D14" t="inlineStr">
        <is>
          <t>Crustaceans</t>
        </is>
      </c>
      <c r="E14" t="n">
        <v>31051.725</v>
      </c>
      <c r="F14" t="n">
        <v>26775.769</v>
      </c>
      <c r="G14" t="n">
        <v>22590.416</v>
      </c>
      <c r="H14" t="n">
        <v>29833.875</v>
      </c>
      <c r="I14" t="n">
        <v>33074.459</v>
      </c>
      <c r="J14" t="n">
        <v>32848.288</v>
      </c>
      <c r="K14" t="n">
        <v>33685.617</v>
      </c>
      <c r="L14" t="n">
        <v>31720.034</v>
      </c>
      <c r="M14" t="n">
        <v>30228.992</v>
      </c>
      <c r="N14" t="n">
        <v>27535.667</v>
      </c>
      <c r="O14" t="n">
        <v>46726.391</v>
      </c>
      <c r="P14" t="n">
        <v>34338.88</v>
      </c>
      <c r="Q14" t="n">
        <v>38497.851</v>
      </c>
      <c r="R14" t="n">
        <v>43214.643</v>
      </c>
      <c r="S14" t="n">
        <v>41689.185</v>
      </c>
      <c r="T14" t="n">
        <v>52868.583</v>
      </c>
      <c r="U14" t="n">
        <v>68574.61599999999</v>
      </c>
      <c r="V14" t="n">
        <v>83564.723</v>
      </c>
      <c r="W14" t="n">
        <v>90020.167</v>
      </c>
      <c r="X14" t="n">
        <v>84813.08900000001</v>
      </c>
      <c r="Y14" t="n">
        <v>33384.086</v>
      </c>
      <c r="Z14" t="n">
        <v>36108.405</v>
      </c>
      <c r="AA14" t="n">
        <v>47520.188</v>
      </c>
      <c r="AB14" t="n">
        <v>74864.822</v>
      </c>
      <c r="AC14" t="n">
        <v>60588.293</v>
      </c>
      <c r="AD14" t="n">
        <v>62825.448</v>
      </c>
      <c r="AE14" t="n">
        <v>69805.122</v>
      </c>
      <c r="AF14" t="n">
        <v>87326.06600000001</v>
      </c>
      <c r="AG14" t="n">
        <v>85001.126</v>
      </c>
      <c r="AH14" t="n">
        <v>73858.833</v>
      </c>
      <c r="AI14" t="n">
        <v>87173.567</v>
      </c>
      <c r="AJ14" t="n">
        <v>88885.147</v>
      </c>
      <c r="AK14" t="n">
        <v>133142.779</v>
      </c>
      <c r="AL14" t="n">
        <v>103133.202</v>
      </c>
      <c r="AM14" t="n">
        <v>80238.462</v>
      </c>
      <c r="AN14" t="n">
        <v>69608.961</v>
      </c>
      <c r="AO14" t="n">
        <v>80973.7</v>
      </c>
      <c r="AP14" t="n">
        <v>82526.99400000001</v>
      </c>
      <c r="AQ14" t="n">
        <v>63043.763</v>
      </c>
      <c r="AR14" t="n">
        <v>61111.926</v>
      </c>
      <c r="AS14" t="n">
        <v>58794.58</v>
      </c>
      <c r="AT14" t="n">
        <v>71854.004</v>
      </c>
      <c r="AU14" t="n">
        <v>62767.682</v>
      </c>
      <c r="AV14" t="n">
        <v>64233.867</v>
      </c>
      <c r="AW14" t="n">
        <v>63409.275</v>
      </c>
      <c r="AX14" t="n">
        <v>65548.234</v>
      </c>
      <c r="AY14" t="n">
        <v>65228.154</v>
      </c>
      <c r="AZ14" t="n">
        <v>61510.712</v>
      </c>
      <c r="BA14" t="n">
        <v>42290.678</v>
      </c>
      <c r="BB14" t="n">
        <v>36668.882</v>
      </c>
      <c r="BC14" t="n">
        <v>41327.631</v>
      </c>
      <c r="BD14" t="n">
        <v>34494.927</v>
      </c>
      <c r="BE14" t="n">
        <v>34208.278</v>
      </c>
      <c r="BF14" t="n">
        <v>29441.664</v>
      </c>
      <c r="BG14" t="n">
        <v>24046.402</v>
      </c>
      <c r="BH14" t="n">
        <v>22507.413</v>
      </c>
      <c r="BI14" t="n">
        <v>24422.215</v>
      </c>
      <c r="BJ14" t="n">
        <v>19505.452</v>
      </c>
      <c r="BK14" t="n">
        <v>19381.254</v>
      </c>
      <c r="BL14" t="n">
        <v>19055.811</v>
      </c>
      <c r="BM14" t="n">
        <v>21079.137</v>
      </c>
      <c r="BN14" t="n">
        <v>12807.964</v>
      </c>
      <c r="BO14" t="n">
        <v>11261.734</v>
      </c>
      <c r="BP14" t="n">
        <v>18626.595</v>
      </c>
      <c r="BQ14" t="n">
        <v>24465.615</v>
      </c>
      <c r="BR14" t="n">
        <v>15490.01</v>
      </c>
      <c r="BS14" t="n">
        <v>19800.868</v>
      </c>
      <c r="BT14" t="n">
        <v>12273.635</v>
      </c>
      <c r="BU14" t="n">
        <v>14894.137</v>
      </c>
      <c r="BV14" t="n">
        <v>14891.958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9339.513999999999</v>
      </c>
      <c r="F15" t="n">
        <v>9224.688</v>
      </c>
      <c r="G15" t="n">
        <v>9237.394</v>
      </c>
      <c r="H15" t="n">
        <v>9203.972</v>
      </c>
      <c r="I15" t="n">
        <v>16578.811</v>
      </c>
      <c r="J15" t="n">
        <v>23370.13</v>
      </c>
      <c r="K15" t="n">
        <v>25022.125</v>
      </c>
      <c r="L15" t="n">
        <v>26429.68</v>
      </c>
      <c r="M15" t="n">
        <v>28423.975</v>
      </c>
      <c r="N15" t="n">
        <v>32292.576</v>
      </c>
      <c r="O15" t="n">
        <v>41234.673</v>
      </c>
      <c r="P15" t="n">
        <v>42292.209</v>
      </c>
      <c r="Q15" t="n">
        <v>48458.342</v>
      </c>
      <c r="R15" t="n">
        <v>52170.551</v>
      </c>
      <c r="S15" t="n">
        <v>51231.701</v>
      </c>
      <c r="T15" t="n">
        <v>53950.997</v>
      </c>
      <c r="U15" t="n">
        <v>54460.361</v>
      </c>
      <c r="V15" t="n">
        <v>54462.173</v>
      </c>
      <c r="W15" t="n">
        <v>52703.734</v>
      </c>
      <c r="X15" t="n">
        <v>50912.116</v>
      </c>
      <c r="Y15" t="n">
        <v>52596.417</v>
      </c>
      <c r="Z15" t="n">
        <v>48309.851</v>
      </c>
      <c r="AA15" t="n">
        <v>47090.656</v>
      </c>
      <c r="AB15" t="n">
        <v>41313.479</v>
      </c>
      <c r="AC15" t="n">
        <v>39795.714</v>
      </c>
      <c r="AD15" t="n">
        <v>34942.582</v>
      </c>
      <c r="AE15" t="n">
        <v>29201.748</v>
      </c>
      <c r="AF15" t="n">
        <v>27479.511</v>
      </c>
      <c r="AG15" t="n">
        <v>26104.6</v>
      </c>
      <c r="AH15" t="n">
        <v>24865.963</v>
      </c>
      <c r="AI15" t="n">
        <v>23999.968</v>
      </c>
      <c r="AJ15" t="n">
        <v>32824.072</v>
      </c>
      <c r="AK15" t="n">
        <v>37291.516</v>
      </c>
      <c r="AL15" t="n">
        <v>43854.62</v>
      </c>
      <c r="AM15" t="n">
        <v>44504.154</v>
      </c>
      <c r="AN15" t="n">
        <v>48077.721</v>
      </c>
      <c r="AO15" t="n">
        <v>47875.42</v>
      </c>
      <c r="AP15" t="n">
        <v>50479.868</v>
      </c>
      <c r="AQ15" t="n">
        <v>51692.791</v>
      </c>
      <c r="AR15" t="n">
        <v>50810.001</v>
      </c>
      <c r="AS15" t="n">
        <v>52844.034</v>
      </c>
      <c r="AT15" t="n">
        <v>52241.284</v>
      </c>
      <c r="AU15" t="n">
        <v>50431.669</v>
      </c>
      <c r="AV15" t="n">
        <v>53770.186</v>
      </c>
      <c r="AW15" t="n">
        <v>54779.65</v>
      </c>
      <c r="AX15" t="n">
        <v>53183.502</v>
      </c>
      <c r="AY15" t="n">
        <v>54809.576</v>
      </c>
      <c r="AZ15" t="n">
        <v>53506.236</v>
      </c>
      <c r="BA15" t="n">
        <v>54092.363</v>
      </c>
      <c r="BB15" t="n">
        <v>58757.844</v>
      </c>
      <c r="BC15" t="n">
        <v>53212.948</v>
      </c>
      <c r="BD15" t="n">
        <v>50221.359</v>
      </c>
      <c r="BE15" t="n">
        <v>49465.029</v>
      </c>
      <c r="BF15" t="n">
        <v>47872.385</v>
      </c>
      <c r="BG15" t="n">
        <v>46608.083</v>
      </c>
      <c r="BH15" t="n">
        <v>46472.521</v>
      </c>
      <c r="BI15" t="n">
        <v>47033.941</v>
      </c>
      <c r="BJ15" t="n">
        <v>48496.2</v>
      </c>
      <c r="BK15" t="n">
        <v>50836.568</v>
      </c>
      <c r="BL15" t="n">
        <v>54140.168</v>
      </c>
      <c r="BM15" t="n">
        <v>57405.27</v>
      </c>
      <c r="BN15" t="n">
        <v>67775.76700000001</v>
      </c>
      <c r="BO15" t="n">
        <v>66474.298</v>
      </c>
      <c r="BP15" t="n">
        <v>63157.185</v>
      </c>
      <c r="BQ15" t="n">
        <v>63493.903</v>
      </c>
      <c r="BR15" t="n">
        <v>65504.473</v>
      </c>
      <c r="BS15" t="n">
        <v>65654.228</v>
      </c>
      <c r="BT15" t="n">
        <v>66996.84600000001</v>
      </c>
      <c r="BU15" t="n">
        <v>81293.07799999999</v>
      </c>
      <c r="BV15" t="n">
        <v>74736.02099999999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371.703</v>
      </c>
      <c r="F16" t="n">
        <v>372.913</v>
      </c>
      <c r="G16" t="n">
        <v>383.73</v>
      </c>
      <c r="H16" t="n">
        <v>388.426</v>
      </c>
      <c r="I16" t="n">
        <v>392.907</v>
      </c>
      <c r="J16" t="n">
        <v>510.097</v>
      </c>
      <c r="K16" t="n">
        <v>515.912</v>
      </c>
      <c r="L16" t="n">
        <v>516.021</v>
      </c>
      <c r="M16" t="n">
        <v>521.383</v>
      </c>
      <c r="N16" t="n">
        <v>521.1950000000001</v>
      </c>
      <c r="O16" t="n">
        <v>568.605</v>
      </c>
      <c r="P16" t="n">
        <v>741.1420000000001</v>
      </c>
      <c r="Q16" t="n">
        <v>699.681</v>
      </c>
      <c r="R16" t="n">
        <v>624.026</v>
      </c>
      <c r="S16" t="n">
        <v>624.451</v>
      </c>
      <c r="T16" t="n">
        <v>535.39</v>
      </c>
      <c r="U16" t="n">
        <v>545.972</v>
      </c>
      <c r="V16" t="n">
        <v>503.653</v>
      </c>
      <c r="W16" t="n">
        <v>413.229</v>
      </c>
      <c r="X16" t="n">
        <v>425.462</v>
      </c>
      <c r="Y16" t="n">
        <v>14804.895</v>
      </c>
      <c r="Z16" t="n">
        <v>16205.427</v>
      </c>
      <c r="AA16" t="n">
        <v>29322.281</v>
      </c>
      <c r="AB16" t="n">
        <v>27192.997</v>
      </c>
      <c r="AC16" t="n">
        <v>25305.456</v>
      </c>
      <c r="AD16" t="n">
        <v>29701.162</v>
      </c>
      <c r="AE16" t="n">
        <v>28346.061</v>
      </c>
      <c r="AF16" t="n">
        <v>36245.78</v>
      </c>
      <c r="AG16" t="n">
        <v>36814.892</v>
      </c>
      <c r="AH16" t="n">
        <v>31539.81</v>
      </c>
      <c r="AI16" t="n">
        <v>28306.391</v>
      </c>
      <c r="AJ16" t="n">
        <v>28300.609</v>
      </c>
      <c r="AK16" t="n">
        <v>41340.033</v>
      </c>
      <c r="AL16" t="n">
        <v>49610.906</v>
      </c>
      <c r="AM16" t="n">
        <v>56082.185</v>
      </c>
      <c r="AN16" t="n">
        <v>42815.595</v>
      </c>
      <c r="AO16" t="n">
        <v>51800.934</v>
      </c>
      <c r="AP16" t="n">
        <v>46487.219</v>
      </c>
      <c r="AQ16" t="n">
        <v>46846.411</v>
      </c>
      <c r="AR16" t="n">
        <v>56258.624</v>
      </c>
      <c r="AS16" t="n">
        <v>53756.332</v>
      </c>
      <c r="AT16" t="n">
        <v>59405.311</v>
      </c>
      <c r="AU16" t="n">
        <v>57498.414</v>
      </c>
      <c r="AV16" t="n">
        <v>53718.831</v>
      </c>
      <c r="AW16" t="n">
        <v>59078.271</v>
      </c>
      <c r="AX16" t="n">
        <v>67127.705</v>
      </c>
      <c r="AY16" t="n">
        <v>58790.426</v>
      </c>
      <c r="AZ16" t="n">
        <v>58071.194</v>
      </c>
      <c r="BA16" t="n">
        <v>65491.484</v>
      </c>
      <c r="BB16" t="n">
        <v>63883.203</v>
      </c>
      <c r="BC16" t="n">
        <v>77268.878</v>
      </c>
      <c r="BD16" t="n">
        <v>77936.118</v>
      </c>
      <c r="BE16" t="n">
        <v>79576.359</v>
      </c>
      <c r="BF16" t="n">
        <v>83658.198</v>
      </c>
      <c r="BG16" t="n">
        <v>77671.444</v>
      </c>
      <c r="BH16" t="n">
        <v>84112.38499999999</v>
      </c>
      <c r="BI16" t="n">
        <v>79372.192</v>
      </c>
      <c r="BJ16" t="n">
        <v>73405.74099999999</v>
      </c>
      <c r="BK16" t="n">
        <v>63140.811</v>
      </c>
      <c r="BL16" t="n">
        <v>64431.436</v>
      </c>
      <c r="BM16" t="n">
        <v>66573.258</v>
      </c>
      <c r="BN16" t="n">
        <v>70780.04700000001</v>
      </c>
      <c r="BO16" t="n">
        <v>74109.552</v>
      </c>
      <c r="BP16" t="n">
        <v>77780.19500000001</v>
      </c>
      <c r="BQ16" t="n">
        <v>74784.09</v>
      </c>
      <c r="BR16" t="n">
        <v>63924.798</v>
      </c>
      <c r="BS16" t="n">
        <v>61958.616</v>
      </c>
      <c r="BT16" t="n">
        <v>66974.74400000001</v>
      </c>
      <c r="BU16" t="n">
        <v>53904.326</v>
      </c>
      <c r="BV16" t="n">
        <v>60309.533</v>
      </c>
    </row>
    <row r="17">
      <c r="A17" t="inlineStr">
        <is>
          <t>Priacanthus</t>
        </is>
      </c>
      <c r="B17" t="inlineStr">
        <is>
          <t>Bigeyes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906.006</v>
      </c>
      <c r="F17" t="n">
        <v>921.074</v>
      </c>
      <c r="G17" t="n">
        <v>1005.629</v>
      </c>
      <c r="H17" t="n">
        <v>1004.719</v>
      </c>
      <c r="I17" t="n">
        <v>1385.919</v>
      </c>
      <c r="J17" t="n">
        <v>1850.729</v>
      </c>
      <c r="K17" t="n">
        <v>2050.103</v>
      </c>
      <c r="L17" t="n">
        <v>2238.304</v>
      </c>
      <c r="M17" t="n">
        <v>2513.301</v>
      </c>
      <c r="N17" t="n">
        <v>2946.604</v>
      </c>
      <c r="O17" t="n">
        <v>3931.598</v>
      </c>
      <c r="P17" t="n">
        <v>4391.644</v>
      </c>
      <c r="Q17" t="n">
        <v>5216.927</v>
      </c>
      <c r="R17" t="n">
        <v>6018.337</v>
      </c>
      <c r="S17" t="n">
        <v>6234.142</v>
      </c>
      <c r="T17" t="n">
        <v>6505.792</v>
      </c>
      <c r="U17" t="n">
        <v>6765.729</v>
      </c>
      <c r="V17" t="n">
        <v>6863.048</v>
      </c>
      <c r="W17" t="n">
        <v>6876.201</v>
      </c>
      <c r="X17" t="n">
        <v>6766.253</v>
      </c>
      <c r="Y17" t="n">
        <v>18260.795</v>
      </c>
      <c r="Z17" t="n">
        <v>19276.249</v>
      </c>
      <c r="AA17" t="n">
        <v>25355.995</v>
      </c>
      <c r="AB17" t="n">
        <v>19108.333</v>
      </c>
      <c r="AC17" t="n">
        <v>20091.66</v>
      </c>
      <c r="AD17" t="n">
        <v>22853.214</v>
      </c>
      <c r="AE17" t="n">
        <v>20883.235</v>
      </c>
      <c r="AF17" t="n">
        <v>28803.772</v>
      </c>
      <c r="AG17" t="n">
        <v>20987.119</v>
      </c>
      <c r="AH17" t="n">
        <v>19336.947</v>
      </c>
      <c r="AI17" t="n">
        <v>25210.931</v>
      </c>
      <c r="AJ17" t="n">
        <v>23936.372</v>
      </c>
      <c r="AK17" t="n">
        <v>16512.047</v>
      </c>
      <c r="AL17" t="n">
        <v>20310.087</v>
      </c>
      <c r="AM17" t="n">
        <v>18167.615</v>
      </c>
      <c r="AN17" t="n">
        <v>20561.208</v>
      </c>
      <c r="AO17" t="n">
        <v>30458.964</v>
      </c>
      <c r="AP17" t="n">
        <v>39938.827</v>
      </c>
      <c r="AQ17" t="n">
        <v>37106.009</v>
      </c>
      <c r="AR17" t="n">
        <v>36900.224</v>
      </c>
      <c r="AS17" t="n">
        <v>37657.875</v>
      </c>
      <c r="AT17" t="n">
        <v>42169.298</v>
      </c>
      <c r="AU17" t="n">
        <v>53630.855</v>
      </c>
      <c r="AV17" t="n">
        <v>69529.53</v>
      </c>
      <c r="AW17" t="n">
        <v>62356.773</v>
      </c>
      <c r="AX17" t="n">
        <v>72964.121</v>
      </c>
      <c r="AY17" t="n">
        <v>86056.17999999999</v>
      </c>
      <c r="AZ17" t="n">
        <v>79083.20600000001</v>
      </c>
      <c r="BA17" t="n">
        <v>88755.66</v>
      </c>
      <c r="BB17" t="n">
        <v>91888.323</v>
      </c>
      <c r="BC17" t="n">
        <v>85063.66099999999</v>
      </c>
      <c r="BD17" t="n">
        <v>74901.349</v>
      </c>
      <c r="BE17" t="n">
        <v>76393.963</v>
      </c>
      <c r="BF17" t="n">
        <v>79277.189</v>
      </c>
      <c r="BG17" t="n">
        <v>110687.419</v>
      </c>
      <c r="BH17" t="n">
        <v>110078.821</v>
      </c>
      <c r="BI17" t="n">
        <v>105181.915</v>
      </c>
      <c r="BJ17" t="n">
        <v>97054.295</v>
      </c>
      <c r="BK17" t="n">
        <v>43728.803</v>
      </c>
      <c r="BL17" t="n">
        <v>48111.14</v>
      </c>
      <c r="BM17" t="n">
        <v>49516.976</v>
      </c>
      <c r="BN17" t="n">
        <v>48498.624</v>
      </c>
      <c r="BO17" t="n">
        <v>51669.43</v>
      </c>
      <c r="BP17" t="n">
        <v>54446.584</v>
      </c>
      <c r="BQ17" t="n">
        <v>50254.035</v>
      </c>
      <c r="BR17" t="n">
        <v>44905.26</v>
      </c>
      <c r="BS17" t="n">
        <v>37664.2</v>
      </c>
      <c r="BT17" t="n">
        <v>39889.973</v>
      </c>
      <c r="BU17" t="n">
        <v>36964.474</v>
      </c>
      <c r="BV17" t="n">
        <v>37548.811</v>
      </c>
    </row>
    <row r="18">
      <c r="A18" t="inlineStr">
        <is>
          <t>Penaeidae</t>
        </is>
      </c>
      <c r="B18" t="inlineStr">
        <is>
          <t>Commercial shrimps and prawns</t>
        </is>
      </c>
      <c r="C18" t="inlineStr">
        <is>
          <t>Shrimps</t>
        </is>
      </c>
      <c r="D18" t="inlineStr">
        <is>
          <t>Crustaceans</t>
        </is>
      </c>
      <c r="E18" t="n">
        <v>8244.856</v>
      </c>
      <c r="F18" t="n">
        <v>7962.762</v>
      </c>
      <c r="G18" t="n">
        <v>7465.977</v>
      </c>
      <c r="H18" t="n">
        <v>7124.801</v>
      </c>
      <c r="I18" t="n">
        <v>8919.768</v>
      </c>
      <c r="J18" t="n">
        <v>9310.040000000001</v>
      </c>
      <c r="K18" t="n">
        <v>9373.282999999999</v>
      </c>
      <c r="L18" t="n">
        <v>9557.184999999999</v>
      </c>
      <c r="M18" t="n">
        <v>12109.396</v>
      </c>
      <c r="N18" t="n">
        <v>12677.745</v>
      </c>
      <c r="O18" t="n">
        <v>13028.075</v>
      </c>
      <c r="P18" t="n">
        <v>13232.78</v>
      </c>
      <c r="Q18" t="n">
        <v>14184.604</v>
      </c>
      <c r="R18" t="n">
        <v>14829.51</v>
      </c>
      <c r="S18" t="n">
        <v>17899.862</v>
      </c>
      <c r="T18" t="n">
        <v>19932.175</v>
      </c>
      <c r="U18" t="n">
        <v>22547.225</v>
      </c>
      <c r="V18" t="n">
        <v>25742.384</v>
      </c>
      <c r="W18" t="n">
        <v>30679.727</v>
      </c>
      <c r="X18" t="n">
        <v>30613.393</v>
      </c>
      <c r="Y18" t="n">
        <v>58904.205</v>
      </c>
      <c r="Z18" t="n">
        <v>63604.802</v>
      </c>
      <c r="AA18" t="n">
        <v>74732.01700000001</v>
      </c>
      <c r="AB18" t="n">
        <v>90502.353</v>
      </c>
      <c r="AC18" t="n">
        <v>103709.4</v>
      </c>
      <c r="AD18" t="n">
        <v>108918.672</v>
      </c>
      <c r="AE18" t="n">
        <v>61589.596</v>
      </c>
      <c r="AF18" t="n">
        <v>70976.643</v>
      </c>
      <c r="AG18" t="n">
        <v>79450.981</v>
      </c>
      <c r="AH18" t="n">
        <v>78462.931</v>
      </c>
      <c r="AI18" t="n">
        <v>23374.971</v>
      </c>
      <c r="AJ18" t="n">
        <v>25033.451</v>
      </c>
      <c r="AK18" t="n">
        <v>24053.514</v>
      </c>
      <c r="AL18" t="n">
        <v>25384.132</v>
      </c>
      <c r="AM18" t="n">
        <v>22064.039</v>
      </c>
      <c r="AN18" t="n">
        <v>25697.185</v>
      </c>
      <c r="AO18" t="n">
        <v>19537.026</v>
      </c>
      <c r="AP18" t="n">
        <v>19433.71</v>
      </c>
      <c r="AQ18" t="n">
        <v>25522.261</v>
      </c>
      <c r="AR18" t="n">
        <v>22344.848</v>
      </c>
      <c r="AS18" t="n">
        <v>13817.339</v>
      </c>
      <c r="AT18" t="n">
        <v>19077.547</v>
      </c>
      <c r="AU18" t="n">
        <v>20440.366</v>
      </c>
      <c r="AV18" t="n">
        <v>22996.521</v>
      </c>
      <c r="AW18" t="n">
        <v>27232.192</v>
      </c>
      <c r="AX18" t="n">
        <v>33098.25</v>
      </c>
      <c r="AY18" t="n">
        <v>34720.913</v>
      </c>
      <c r="AZ18" t="n">
        <v>39774.027</v>
      </c>
      <c r="BA18" t="n">
        <v>38178.754</v>
      </c>
      <c r="BB18" t="n">
        <v>38078.426</v>
      </c>
      <c r="BC18" t="n">
        <v>36591.322</v>
      </c>
      <c r="BD18" t="n">
        <v>33575.959</v>
      </c>
      <c r="BE18" t="n">
        <v>32265.068</v>
      </c>
      <c r="BF18" t="n">
        <v>33372.605</v>
      </c>
      <c r="BG18" t="n">
        <v>33043.52</v>
      </c>
      <c r="BH18" t="n">
        <v>30441.911</v>
      </c>
      <c r="BI18" t="n">
        <v>30233.17</v>
      </c>
      <c r="BJ18" t="n">
        <v>30462.653</v>
      </c>
      <c r="BK18" t="n">
        <v>30189.381</v>
      </c>
      <c r="BL18" t="n">
        <v>32450.28</v>
      </c>
      <c r="BM18" t="n">
        <v>30665.495</v>
      </c>
      <c r="BN18" t="n">
        <v>22651.968</v>
      </c>
      <c r="BO18" t="n">
        <v>22704.065</v>
      </c>
      <c r="BP18" t="n">
        <v>22761.445</v>
      </c>
      <c r="BQ18" t="n">
        <v>22909.877</v>
      </c>
      <c r="BR18" t="n">
        <v>21448.69</v>
      </c>
      <c r="BS18" t="n">
        <v>20661.269</v>
      </c>
      <c r="BT18" t="n">
        <v>21171.917</v>
      </c>
      <c r="BU18" t="n">
        <v>21119.497</v>
      </c>
      <c r="BV18" t="n">
        <v>9649.239</v>
      </c>
    </row>
    <row r="19">
      <c r="A19" t="inlineStr">
        <is>
          <t>Rastrelliger</t>
        </is>
      </c>
      <c r="B19" t="inlineStr">
        <is>
          <t>Indian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13441.977</v>
      </c>
      <c r="F19" t="n">
        <v>12859.189</v>
      </c>
      <c r="G19" t="n">
        <v>11833.549</v>
      </c>
      <c r="H19" t="n">
        <v>11128.936</v>
      </c>
      <c r="I19" t="n">
        <v>11253.231</v>
      </c>
      <c r="J19" t="n">
        <v>12060.738</v>
      </c>
      <c r="K19" t="n">
        <v>12190.795</v>
      </c>
      <c r="L19" t="n">
        <v>12570.265</v>
      </c>
      <c r="M19" t="n">
        <v>14258.538</v>
      </c>
      <c r="N19" t="n">
        <v>15432.344</v>
      </c>
      <c r="O19" t="n">
        <v>16152.597</v>
      </c>
      <c r="P19" t="n">
        <v>16578.164</v>
      </c>
      <c r="Q19" t="n">
        <v>18552.068</v>
      </c>
      <c r="R19" t="n">
        <v>19882.273</v>
      </c>
      <c r="S19" t="n">
        <v>22655.452</v>
      </c>
      <c r="T19" t="n">
        <v>19720.998</v>
      </c>
      <c r="U19" t="n">
        <v>19609.985</v>
      </c>
      <c r="V19" t="n">
        <v>19945.351</v>
      </c>
      <c r="W19" t="n">
        <v>19787.988</v>
      </c>
      <c r="X19" t="n">
        <v>17492.825</v>
      </c>
      <c r="Y19" t="n">
        <v>17553.37</v>
      </c>
      <c r="Z19" t="n">
        <v>17235.723</v>
      </c>
      <c r="AA19" t="n">
        <v>16305.929</v>
      </c>
      <c r="AB19" t="n">
        <v>16517.933</v>
      </c>
      <c r="AC19" t="n">
        <v>16428.045</v>
      </c>
      <c r="AD19" t="n">
        <v>14333.866</v>
      </c>
      <c r="AE19" t="n">
        <v>24742.042</v>
      </c>
      <c r="AF19" t="n">
        <v>30475.811</v>
      </c>
      <c r="AG19" t="n">
        <v>34512.699</v>
      </c>
      <c r="AH19" t="n">
        <v>35497.986</v>
      </c>
      <c r="AI19" t="n">
        <v>68765.80499999999</v>
      </c>
      <c r="AJ19" t="n">
        <v>79555.88800000001</v>
      </c>
      <c r="AK19" t="n">
        <v>76060.43799999999</v>
      </c>
      <c r="AL19" t="n">
        <v>72193.08100000001</v>
      </c>
      <c r="AM19" t="n">
        <v>55568.075</v>
      </c>
      <c r="AN19" t="n">
        <v>68925.235</v>
      </c>
      <c r="AO19" t="n">
        <v>49159.905</v>
      </c>
      <c r="AP19" t="n">
        <v>56677.31</v>
      </c>
      <c r="AQ19" t="n">
        <v>74593.147</v>
      </c>
      <c r="AR19" t="n">
        <v>75022.912</v>
      </c>
      <c r="AS19" t="n">
        <v>17127.781</v>
      </c>
      <c r="AT19" t="n">
        <v>18255.305</v>
      </c>
      <c r="AU19" t="n">
        <v>18510.437</v>
      </c>
      <c r="AV19" t="n">
        <v>19414.842</v>
      </c>
      <c r="AW19" t="n">
        <v>17947.19</v>
      </c>
      <c r="AX19" t="n">
        <v>16794.224</v>
      </c>
      <c r="AY19" t="n">
        <v>17476.599</v>
      </c>
      <c r="AZ19" t="n">
        <v>20013.957</v>
      </c>
      <c r="BA19" t="n">
        <v>17743.386</v>
      </c>
      <c r="BB19" t="n">
        <v>21850.611</v>
      </c>
      <c r="BC19" t="n">
        <v>18440.581</v>
      </c>
      <c r="BD19" t="n">
        <v>18568.565</v>
      </c>
      <c r="BE19" t="n">
        <v>16844.006</v>
      </c>
      <c r="BF19" t="n">
        <v>17605.359</v>
      </c>
      <c r="BG19" t="n">
        <v>17465.294</v>
      </c>
      <c r="BH19" t="n">
        <v>80344.03999999999</v>
      </c>
      <c r="BI19" t="n">
        <v>97771.22</v>
      </c>
      <c r="BJ19" t="n">
        <v>92575.533</v>
      </c>
      <c r="BK19" t="n">
        <v>104015.763</v>
      </c>
      <c r="BL19" t="n">
        <v>24611.114</v>
      </c>
      <c r="BM19" t="n">
        <v>24083.641</v>
      </c>
      <c r="BN19" t="n">
        <v>23409.358</v>
      </c>
      <c r="BO19" t="n">
        <v>26348.113</v>
      </c>
      <c r="BP19" t="n">
        <v>27395.017</v>
      </c>
      <c r="BQ19" t="n">
        <v>25105.198</v>
      </c>
      <c r="BR19" t="n">
        <v>25852.74</v>
      </c>
      <c r="BS19" t="n">
        <v>26772.388</v>
      </c>
      <c r="BT19" t="n">
        <v>24824.962</v>
      </c>
      <c r="BU19" t="n">
        <v>23503.12</v>
      </c>
      <c r="BV19" t="n">
        <v>24929.703</v>
      </c>
    </row>
    <row r="20">
      <c r="A20" t="inlineStr">
        <is>
          <t>Decapterus russelli</t>
        </is>
      </c>
      <c r="B20" t="inlineStr">
        <is>
          <t>Indian scad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4426.706</v>
      </c>
      <c r="Z20" t="n">
        <v>4874.457</v>
      </c>
      <c r="AA20" t="n">
        <v>3352.593</v>
      </c>
      <c r="AB20" t="n">
        <v>18309.148</v>
      </c>
      <c r="AC20" t="n">
        <v>39909.473</v>
      </c>
      <c r="AD20" t="n">
        <v>30071.996</v>
      </c>
      <c r="AE20" t="n">
        <v>95095.45299999999</v>
      </c>
      <c r="AF20" t="n">
        <v>147055.176</v>
      </c>
      <c r="AG20" t="n">
        <v>120005.815</v>
      </c>
      <c r="AH20" t="n">
        <v>30303.643</v>
      </c>
      <c r="AI20" t="n">
        <v>33563.794</v>
      </c>
      <c r="AJ20" t="n">
        <v>38883.058</v>
      </c>
      <c r="AK20" t="n">
        <v>35454.011</v>
      </c>
      <c r="AL20" t="n">
        <v>26959.847</v>
      </c>
      <c r="AM20" t="n">
        <v>30051.272</v>
      </c>
      <c r="AN20" t="n">
        <v>27916.65</v>
      </c>
      <c r="AO20" t="n">
        <v>25900.317</v>
      </c>
      <c r="AP20" t="n">
        <v>44995.447</v>
      </c>
      <c r="AQ20" t="n">
        <v>14984.417</v>
      </c>
      <c r="AR20" t="n">
        <v>18345.34</v>
      </c>
      <c r="AS20" t="n">
        <v>11275.867</v>
      </c>
      <c r="AT20" t="n">
        <v>23874.784</v>
      </c>
      <c r="AU20" t="n">
        <v>44346.309</v>
      </c>
      <c r="AV20" t="n">
        <v>47847.963</v>
      </c>
      <c r="AW20" t="n">
        <v>39508.377</v>
      </c>
      <c r="AX20" t="n">
        <v>55841.235</v>
      </c>
      <c r="AY20" t="n">
        <v>53427.317</v>
      </c>
      <c r="AZ20" t="n">
        <v>47854.801</v>
      </c>
      <c r="BA20" t="n">
        <v>62460.728</v>
      </c>
      <c r="BB20" t="n">
        <v>59560.312</v>
      </c>
      <c r="BC20" t="n">
        <v>73618.361</v>
      </c>
      <c r="BD20" t="n">
        <v>68219.603</v>
      </c>
      <c r="BE20" t="n">
        <v>69850.59600000001</v>
      </c>
      <c r="BF20" t="n">
        <v>69924.85400000001</v>
      </c>
      <c r="BG20" t="n">
        <v>68555.33100000001</v>
      </c>
      <c r="BH20" t="n">
        <v>54123.337</v>
      </c>
      <c r="BI20" t="n">
        <v>51936.811</v>
      </c>
      <c r="BJ20" t="n">
        <v>47812.17</v>
      </c>
      <c r="BK20" t="n">
        <v>5099.616</v>
      </c>
      <c r="BL20" t="n">
        <v>5244.225</v>
      </c>
      <c r="BM20" t="n">
        <v>21881.188</v>
      </c>
      <c r="BN20" t="n">
        <v>24586.418</v>
      </c>
      <c r="BO20" t="n">
        <v>21786.633</v>
      </c>
      <c r="BP20" t="n">
        <v>26840.306</v>
      </c>
      <c r="BQ20" t="n">
        <v>27796.548</v>
      </c>
      <c r="BR20" t="n">
        <v>15946.506</v>
      </c>
      <c r="BS20" t="n">
        <v>16289.591</v>
      </c>
      <c r="BT20" t="n">
        <v>29822.671</v>
      </c>
      <c r="BU20" t="n">
        <v>28068.497</v>
      </c>
      <c r="BV20" t="n">
        <v>27486.562</v>
      </c>
    </row>
    <row r="21">
      <c r="A21" t="inlineStr">
        <is>
          <t>Nemipterus</t>
        </is>
      </c>
      <c r="B21" t="inlineStr">
        <is>
          <t>Threadfin breams</t>
        </is>
      </c>
      <c r="C21" t="inlineStr">
        <is>
          <t>Small demersals (&lt;30 cm)</t>
        </is>
      </c>
      <c r="D21" t="inlineStr">
        <is>
          <t>Perch-likes</t>
        </is>
      </c>
      <c r="E21" t="n">
        <v>1414.111</v>
      </c>
      <c r="F21" t="n">
        <v>1451.972</v>
      </c>
      <c r="G21" t="n">
        <v>1530.65</v>
      </c>
      <c r="H21" t="n">
        <v>1532.691</v>
      </c>
      <c r="I21" t="n">
        <v>2674.702</v>
      </c>
      <c r="J21" t="n">
        <v>4020.776</v>
      </c>
      <c r="K21" t="n">
        <v>4604.427</v>
      </c>
      <c r="L21" t="n">
        <v>5218.112</v>
      </c>
      <c r="M21" t="n">
        <v>6088.545</v>
      </c>
      <c r="N21" t="n">
        <v>7443.382</v>
      </c>
      <c r="O21" t="n">
        <v>10227.044</v>
      </c>
      <c r="P21" t="n">
        <v>10618.003</v>
      </c>
      <c r="Q21" t="n">
        <v>13371.464</v>
      </c>
      <c r="R21" t="n">
        <v>16166.741</v>
      </c>
      <c r="S21" t="n">
        <v>17026.55</v>
      </c>
      <c r="T21" t="n">
        <v>17254.042</v>
      </c>
      <c r="U21" t="n">
        <v>17502.716</v>
      </c>
      <c r="V21" t="n">
        <v>17597.406</v>
      </c>
      <c r="W21" t="n">
        <v>17587.804</v>
      </c>
      <c r="X21" t="n">
        <v>17198.827</v>
      </c>
      <c r="Y21" t="n">
        <v>17653.713</v>
      </c>
      <c r="Z21" t="n">
        <v>17522.435</v>
      </c>
      <c r="AA21" t="n">
        <v>19236.07</v>
      </c>
      <c r="AB21" t="n">
        <v>17747.68</v>
      </c>
      <c r="AC21" t="n">
        <v>20519.007</v>
      </c>
      <c r="AD21" t="n">
        <v>21450.029</v>
      </c>
      <c r="AE21" t="n">
        <v>21898.655</v>
      </c>
      <c r="AF21" t="n">
        <v>19574.143</v>
      </c>
      <c r="AG21" t="n">
        <v>26279.912</v>
      </c>
      <c r="AH21" t="n">
        <v>24419.698</v>
      </c>
      <c r="AI21" t="n">
        <v>24113.351</v>
      </c>
      <c r="AJ21" t="n">
        <v>27229.061</v>
      </c>
      <c r="AK21" t="n">
        <v>27850.673</v>
      </c>
      <c r="AL21" t="n">
        <v>29365.885</v>
      </c>
      <c r="AM21" t="n">
        <v>26224.515</v>
      </c>
      <c r="AN21" t="n">
        <v>24896.179</v>
      </c>
      <c r="AO21" t="n">
        <v>23886.672</v>
      </c>
      <c r="AP21" t="n">
        <v>26107.295</v>
      </c>
      <c r="AQ21" t="n">
        <v>26599.795</v>
      </c>
      <c r="AR21" t="n">
        <v>29057.421</v>
      </c>
      <c r="AS21" t="n">
        <v>38314.369</v>
      </c>
      <c r="AT21" t="n">
        <v>41158.061</v>
      </c>
      <c r="AU21" t="n">
        <v>43100.081</v>
      </c>
      <c r="AV21" t="n">
        <v>42606.412</v>
      </c>
      <c r="AW21" t="n">
        <v>41681.662</v>
      </c>
      <c r="AX21" t="n">
        <v>38389.988</v>
      </c>
      <c r="AY21" t="n">
        <v>38829.299</v>
      </c>
      <c r="AZ21" t="n">
        <v>39893.858</v>
      </c>
      <c r="BA21" t="n">
        <v>38484.837</v>
      </c>
      <c r="BB21" t="n">
        <v>42523.239</v>
      </c>
      <c r="BC21" t="n">
        <v>36486.077</v>
      </c>
      <c r="BD21" t="n">
        <v>37504.912</v>
      </c>
      <c r="BE21" t="n">
        <v>36770.337</v>
      </c>
      <c r="BF21" t="n">
        <v>37123.706</v>
      </c>
      <c r="BG21" t="n">
        <v>35553.767</v>
      </c>
      <c r="BH21" t="n">
        <v>37244.596</v>
      </c>
      <c r="BI21" t="n">
        <v>39719.012</v>
      </c>
      <c r="BJ21" t="n">
        <v>39115.977</v>
      </c>
      <c r="BK21" t="n">
        <v>41561.417</v>
      </c>
      <c r="BL21" t="n">
        <v>48554.224</v>
      </c>
      <c r="BM21" t="n">
        <v>48363.469</v>
      </c>
      <c r="BN21" t="n">
        <v>46972.88</v>
      </c>
      <c r="BO21" t="n">
        <v>50922.583</v>
      </c>
      <c r="BP21" t="n">
        <v>51976.062</v>
      </c>
      <c r="BQ21" t="n">
        <v>50200.953</v>
      </c>
      <c r="BR21" t="n">
        <v>51817.744</v>
      </c>
      <c r="BS21" t="n">
        <v>54262.622</v>
      </c>
      <c r="BT21" t="n">
        <v>52224.522</v>
      </c>
      <c r="BU21" t="n">
        <v>52494.884</v>
      </c>
      <c r="BV21" t="n">
        <v>50518.9</v>
      </c>
    </row>
    <row r="22">
      <c r="A22" t="inlineStr">
        <is>
          <t>Portunus pelagicus</t>
        </is>
      </c>
      <c r="B22" t="inlineStr">
        <is>
          <t>Blue swimming crab</t>
        </is>
      </c>
      <c r="C22" t="inlineStr">
        <is>
          <t>Lobsters, crabs</t>
        </is>
      </c>
      <c r="D22" t="inlineStr">
        <is>
          <t>Crustaceans</t>
        </is>
      </c>
      <c r="E22" t="n">
        <v>791.22</v>
      </c>
      <c r="F22" t="n">
        <v>768.35</v>
      </c>
      <c r="G22" t="n">
        <v>728.131</v>
      </c>
      <c r="H22" t="n">
        <v>700.529</v>
      </c>
      <c r="I22" t="n">
        <v>836.686</v>
      </c>
      <c r="J22" t="n">
        <v>999.655</v>
      </c>
      <c r="K22" t="n">
        <v>1005.175</v>
      </c>
      <c r="L22" t="n">
        <v>1020.159</v>
      </c>
      <c r="M22" t="n">
        <v>1086.402</v>
      </c>
      <c r="N22" t="n">
        <v>1132.142</v>
      </c>
      <c r="O22" t="n">
        <v>1161.32</v>
      </c>
      <c r="P22" t="n">
        <v>1177.881</v>
      </c>
      <c r="Q22" t="n">
        <v>1255.165</v>
      </c>
      <c r="R22" t="n">
        <v>19517.315</v>
      </c>
      <c r="S22" t="n">
        <v>15249.504</v>
      </c>
      <c r="T22" t="n">
        <v>18603.805</v>
      </c>
      <c r="U22" t="n">
        <v>21951.342</v>
      </c>
      <c r="V22" t="n">
        <v>20399.23</v>
      </c>
      <c r="W22" t="n">
        <v>31459.485</v>
      </c>
      <c r="X22" t="n">
        <v>18352.279</v>
      </c>
      <c r="Y22" t="n">
        <v>19675.423</v>
      </c>
      <c r="Z22" t="n">
        <v>20957.737</v>
      </c>
      <c r="AA22" t="n">
        <v>21624.575</v>
      </c>
      <c r="AB22" t="n">
        <v>23021.929</v>
      </c>
      <c r="AC22" t="n">
        <v>31805.413</v>
      </c>
      <c r="AD22" t="n">
        <v>25601.532</v>
      </c>
      <c r="AE22" t="n">
        <v>25987.508</v>
      </c>
      <c r="AF22" t="n">
        <v>28770.482</v>
      </c>
      <c r="AG22" t="n">
        <v>28366.26</v>
      </c>
      <c r="AH22" t="n">
        <v>31618.946</v>
      </c>
      <c r="AI22" t="n">
        <v>30252.651</v>
      </c>
      <c r="AJ22" t="n">
        <v>29290.932</v>
      </c>
      <c r="AK22" t="n">
        <v>26471.472</v>
      </c>
      <c r="AL22" t="n">
        <v>27532.379</v>
      </c>
      <c r="AM22" t="n">
        <v>22877.436</v>
      </c>
      <c r="AN22" t="n">
        <v>23973.033</v>
      </c>
      <c r="AO22" t="n">
        <v>28550.147</v>
      </c>
      <c r="AP22" t="n">
        <v>34111.43</v>
      </c>
      <c r="AQ22" t="n">
        <v>37110.079</v>
      </c>
      <c r="AR22" t="n">
        <v>35146.45</v>
      </c>
      <c r="AS22" t="n">
        <v>34795.256</v>
      </c>
      <c r="AT22" t="n">
        <v>35937.97</v>
      </c>
      <c r="AU22" t="n">
        <v>36521.959</v>
      </c>
      <c r="AV22" t="n">
        <v>38299.661</v>
      </c>
      <c r="AW22" t="n">
        <v>43089.599</v>
      </c>
      <c r="AX22" t="n">
        <v>45142.081</v>
      </c>
      <c r="AY22" t="n">
        <v>45353.601</v>
      </c>
      <c r="AZ22" t="n">
        <v>43918.962</v>
      </c>
      <c r="BA22" t="n">
        <v>54065.701</v>
      </c>
      <c r="BB22" t="n">
        <v>47463.403</v>
      </c>
      <c r="BC22" t="n">
        <v>53956.23</v>
      </c>
      <c r="BD22" t="n">
        <v>42654.708</v>
      </c>
      <c r="BE22" t="n">
        <v>34676.57</v>
      </c>
      <c r="BF22" t="n">
        <v>39241.232</v>
      </c>
      <c r="BG22" t="n">
        <v>36878.755</v>
      </c>
      <c r="BH22" t="n">
        <v>35916.164</v>
      </c>
      <c r="BI22" t="n">
        <v>44429.354</v>
      </c>
      <c r="BJ22" t="n">
        <v>35292.815</v>
      </c>
      <c r="BK22" t="n">
        <v>41103.604</v>
      </c>
      <c r="BL22" t="n">
        <v>35812.637</v>
      </c>
      <c r="BM22" t="n">
        <v>35276.733</v>
      </c>
      <c r="BN22" t="n">
        <v>33997.196</v>
      </c>
      <c r="BO22" t="n">
        <v>42043.327</v>
      </c>
      <c r="BP22" t="n">
        <v>36448.599</v>
      </c>
      <c r="BQ22" t="n">
        <v>36045.746</v>
      </c>
      <c r="BR22" t="n">
        <v>35031.895</v>
      </c>
      <c r="BS22" t="n">
        <v>50104.275</v>
      </c>
      <c r="BT22" t="n">
        <v>42268.538</v>
      </c>
      <c r="BU22" t="n">
        <v>40095.841</v>
      </c>
      <c r="BV22" t="n">
        <v>54332.103</v>
      </c>
    </row>
    <row r="23">
      <c r="A23" t="inlineStr">
        <is>
          <t>Veneridae</t>
        </is>
      </c>
      <c r="B23" t="inlineStr">
        <is>
          <t>Venus 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6939.872</v>
      </c>
      <c r="Z23" t="n">
        <v>7626.657</v>
      </c>
      <c r="AA23" t="n">
        <v>16898.357</v>
      </c>
      <c r="AB23" t="n">
        <v>21423.488</v>
      </c>
      <c r="AC23" t="n">
        <v>16362.06</v>
      </c>
      <c r="AD23" t="n">
        <v>17040.981</v>
      </c>
      <c r="AE23" t="n">
        <v>27245.619</v>
      </c>
      <c r="AF23" t="n">
        <v>20347.583</v>
      </c>
      <c r="AG23" t="n">
        <v>12429.329</v>
      </c>
      <c r="AH23" t="n">
        <v>24522.427</v>
      </c>
      <c r="AI23" t="n">
        <v>40509.205</v>
      </c>
      <c r="AJ23" t="n">
        <v>71150.28</v>
      </c>
      <c r="AK23" t="n">
        <v>42719.123</v>
      </c>
      <c r="AL23" t="n">
        <v>32121.736</v>
      </c>
      <c r="AM23" t="n">
        <v>56567.131</v>
      </c>
      <c r="AN23" t="n">
        <v>92041.001</v>
      </c>
      <c r="AO23" t="n">
        <v>107053.476</v>
      </c>
      <c r="AP23" t="n">
        <v>142239.056</v>
      </c>
      <c r="AQ23" t="n">
        <v>117045.255</v>
      </c>
      <c r="AR23" t="n">
        <v>93288.23</v>
      </c>
      <c r="AS23" t="n">
        <v>91557.41099999999</v>
      </c>
      <c r="AT23" t="n">
        <v>64685.085</v>
      </c>
      <c r="AU23" t="n">
        <v>71666.594</v>
      </c>
      <c r="AV23" t="n">
        <v>42868.515</v>
      </c>
      <c r="AW23" t="n">
        <v>29745.581</v>
      </c>
      <c r="AX23" t="n">
        <v>21183.518</v>
      </c>
      <c r="AY23" t="n">
        <v>36163.103</v>
      </c>
      <c r="AZ23" t="n">
        <v>25150.742</v>
      </c>
      <c r="BA23" t="n">
        <v>48440.104</v>
      </c>
      <c r="BB23" t="n">
        <v>45760.283</v>
      </c>
      <c r="BC23" t="n">
        <v>28509.908</v>
      </c>
      <c r="BD23" t="n">
        <v>35129.155</v>
      </c>
      <c r="BE23" t="n">
        <v>31762.619</v>
      </c>
      <c r="BF23" t="n">
        <v>52445.618</v>
      </c>
      <c r="BG23" t="n">
        <v>29574.926</v>
      </c>
      <c r="BH23" t="n">
        <v>19221.781</v>
      </c>
      <c r="BI23" t="n">
        <v>25304.564</v>
      </c>
      <c r="BJ23" t="n">
        <v>14265.461</v>
      </c>
      <c r="BK23" t="n">
        <v>20312.333</v>
      </c>
      <c r="BL23" t="n">
        <v>20904.691</v>
      </c>
      <c r="BM23" t="n">
        <v>22888.311</v>
      </c>
      <c r="BN23" t="n">
        <v>15594.975</v>
      </c>
      <c r="BO23" t="n">
        <v>10632.947</v>
      </c>
      <c r="BP23" t="n">
        <v>15489.753</v>
      </c>
      <c r="BQ23" t="n">
        <v>15291.656</v>
      </c>
      <c r="BR23" t="n">
        <v>10622.038</v>
      </c>
      <c r="BS23" t="n">
        <v>19667.957</v>
      </c>
      <c r="BT23" t="n">
        <v>0</v>
      </c>
      <c r="BU23" t="n">
        <v>13403.495</v>
      </c>
      <c r="BV23" t="n">
        <v>9501.108</v>
      </c>
    </row>
    <row r="24">
      <c r="A24" t="inlineStr">
        <is>
          <t>Saurida</t>
        </is>
      </c>
      <c r="B24" t="inlineStr">
        <is>
          <t>Lizardfishes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1.648</v>
      </c>
      <c r="F24" t="n">
        <v>9.507999999999999</v>
      </c>
      <c r="G24" t="n">
        <v>18.339</v>
      </c>
      <c r="H24" t="n">
        <v>28.35</v>
      </c>
      <c r="I24" t="n">
        <v>38.922</v>
      </c>
      <c r="J24" t="n">
        <v>50.256</v>
      </c>
      <c r="K24" t="n">
        <v>61.742</v>
      </c>
      <c r="L24" t="n">
        <v>72.491</v>
      </c>
      <c r="M24" t="n">
        <v>85.167</v>
      </c>
      <c r="N24" t="n">
        <v>96.696</v>
      </c>
      <c r="O24" t="n">
        <v>111.932</v>
      </c>
      <c r="P24" t="n">
        <v>201.307</v>
      </c>
      <c r="Q24" t="n">
        <v>202.363</v>
      </c>
      <c r="R24" t="n">
        <v>162.095</v>
      </c>
      <c r="S24" t="n">
        <v>178.035</v>
      </c>
      <c r="T24" t="n">
        <v>850.175</v>
      </c>
      <c r="U24" t="n">
        <v>1222.209</v>
      </c>
      <c r="V24" t="n">
        <v>1568.865</v>
      </c>
      <c r="W24" t="n">
        <v>1780.455</v>
      </c>
      <c r="X24" t="n">
        <v>1896.817</v>
      </c>
      <c r="Y24" t="n">
        <v>14171.744</v>
      </c>
      <c r="Z24" t="n">
        <v>15322.944</v>
      </c>
      <c r="AA24" t="n">
        <v>21158.337</v>
      </c>
      <c r="AB24" t="n">
        <v>18547.775</v>
      </c>
      <c r="AC24" t="n">
        <v>16633.442</v>
      </c>
      <c r="AD24" t="n">
        <v>17042.19</v>
      </c>
      <c r="AE24" t="n">
        <v>12071.919</v>
      </c>
      <c r="AF24" t="n">
        <v>16348.154</v>
      </c>
      <c r="AG24" t="n">
        <v>17229.227</v>
      </c>
      <c r="AH24" t="n">
        <v>15035.464</v>
      </c>
      <c r="AI24" t="n">
        <v>12898.806</v>
      </c>
      <c r="AJ24" t="n">
        <v>11041.296</v>
      </c>
      <c r="AK24" t="n">
        <v>11093.471</v>
      </c>
      <c r="AL24" t="n">
        <v>12343.149</v>
      </c>
      <c r="AM24" t="n">
        <v>12396.422</v>
      </c>
      <c r="AN24" t="n">
        <v>13224.011</v>
      </c>
      <c r="AO24" t="n">
        <v>18296.586</v>
      </c>
      <c r="AP24" t="n">
        <v>22088.972</v>
      </c>
      <c r="AQ24" t="n">
        <v>22221.076</v>
      </c>
      <c r="AR24" t="n">
        <v>23171.702</v>
      </c>
      <c r="AS24" t="n">
        <v>18930.933</v>
      </c>
      <c r="AT24" t="n">
        <v>26067.108</v>
      </c>
      <c r="AU24" t="n">
        <v>38786.847</v>
      </c>
      <c r="AV24" t="n">
        <v>50154.619</v>
      </c>
      <c r="AW24" t="n">
        <v>41864.595</v>
      </c>
      <c r="AX24" t="n">
        <v>66992.636</v>
      </c>
      <c r="AY24" t="n">
        <v>58718.195</v>
      </c>
      <c r="AZ24" t="n">
        <v>70243.74800000001</v>
      </c>
      <c r="BA24" t="n">
        <v>45067.298</v>
      </c>
      <c r="BB24" t="n">
        <v>71252.74000000001</v>
      </c>
      <c r="BC24" t="n">
        <v>64399.524</v>
      </c>
      <c r="BD24" t="n">
        <v>74785.766</v>
      </c>
      <c r="BE24" t="n">
        <v>79484.83</v>
      </c>
      <c r="BF24" t="n">
        <v>75413.44</v>
      </c>
      <c r="BG24" t="n">
        <v>54729.609</v>
      </c>
      <c r="BH24" t="n">
        <v>56663.871</v>
      </c>
      <c r="BI24" t="n">
        <v>52838.277</v>
      </c>
      <c r="BJ24" t="n">
        <v>44816.583</v>
      </c>
      <c r="BK24" t="n">
        <v>26425.755</v>
      </c>
      <c r="BL24" t="n">
        <v>28247.5</v>
      </c>
      <c r="BM24" t="n">
        <v>30065.055</v>
      </c>
      <c r="BN24" t="n">
        <v>38875.643</v>
      </c>
      <c r="BO24" t="n">
        <v>42449.289</v>
      </c>
      <c r="BP24" t="n">
        <v>51608.058</v>
      </c>
      <c r="BQ24" t="n">
        <v>46141.655</v>
      </c>
      <c r="BR24" t="n">
        <v>36928.798</v>
      </c>
      <c r="BS24" t="n">
        <v>27557.974</v>
      </c>
      <c r="BT24" t="n">
        <v>28772.801</v>
      </c>
      <c r="BU24" t="n">
        <v>27383.358</v>
      </c>
      <c r="BV24" t="n">
        <v>26307.588</v>
      </c>
    </row>
    <row r="25">
      <c r="A25" t="inlineStr">
        <is>
          <t>Decapterus</t>
        </is>
      </c>
      <c r="B25" t="inlineStr">
        <is>
          <t>Scads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2344.962</v>
      </c>
      <c r="F25" t="n">
        <v>2242.684</v>
      </c>
      <c r="G25" t="n">
        <v>2064.736</v>
      </c>
      <c r="H25" t="n">
        <v>1941.668</v>
      </c>
      <c r="I25" t="n">
        <v>1964.121</v>
      </c>
      <c r="J25" t="n">
        <v>2103.821</v>
      </c>
      <c r="K25" t="n">
        <v>2126.273</v>
      </c>
      <c r="L25" t="n">
        <v>2192.796</v>
      </c>
      <c r="M25" t="n">
        <v>2487.162</v>
      </c>
      <c r="N25" t="n">
        <v>2690.058</v>
      </c>
      <c r="O25" t="n">
        <v>2817.284</v>
      </c>
      <c r="P25" t="n">
        <v>2892.127</v>
      </c>
      <c r="Q25" t="n">
        <v>3234.721</v>
      </c>
      <c r="R25" t="n">
        <v>3467.553</v>
      </c>
      <c r="S25" t="n">
        <v>3952.341</v>
      </c>
      <c r="T25" t="n">
        <v>3446.623</v>
      </c>
      <c r="U25" t="n">
        <v>3431.268</v>
      </c>
      <c r="V25" t="n">
        <v>3495.154</v>
      </c>
      <c r="W25" t="n">
        <v>3467.866</v>
      </c>
      <c r="X25" t="n">
        <v>3073.342</v>
      </c>
      <c r="Y25" t="n">
        <v>3126.194</v>
      </c>
      <c r="Z25" t="n">
        <v>3076.181</v>
      </c>
      <c r="AA25" t="n">
        <v>2955.728</v>
      </c>
      <c r="AB25" t="n">
        <v>3019.391</v>
      </c>
      <c r="AC25" t="n">
        <v>3038.838</v>
      </c>
      <c r="AD25" t="n">
        <v>2691.124</v>
      </c>
      <c r="AE25" t="n">
        <v>4763.437</v>
      </c>
      <c r="AF25" t="n">
        <v>5866.301</v>
      </c>
      <c r="AG25" t="n">
        <v>6630.434</v>
      </c>
      <c r="AH25" t="n">
        <v>7423.497</v>
      </c>
      <c r="AI25" t="n">
        <v>37553.041</v>
      </c>
      <c r="AJ25" t="n">
        <v>43138.851</v>
      </c>
      <c r="AK25" t="n">
        <v>42296.054</v>
      </c>
      <c r="AL25" t="n">
        <v>39248.448</v>
      </c>
      <c r="AM25" t="n">
        <v>30828.311</v>
      </c>
      <c r="AN25" t="n">
        <v>18440.741</v>
      </c>
      <c r="AO25" t="n">
        <v>13223.534</v>
      </c>
      <c r="AP25" t="n">
        <v>14978.358</v>
      </c>
      <c r="AQ25" t="n">
        <v>19758.604</v>
      </c>
      <c r="AR25" t="n">
        <v>19879.903</v>
      </c>
      <c r="AS25" t="n">
        <v>46759.3</v>
      </c>
      <c r="AT25" t="n">
        <v>49609.619</v>
      </c>
      <c r="AU25" t="n">
        <v>50215.598</v>
      </c>
      <c r="AV25" t="n">
        <v>52672.831</v>
      </c>
      <c r="AW25" t="n">
        <v>48466.253</v>
      </c>
      <c r="AX25" t="n">
        <v>37549.903</v>
      </c>
      <c r="AY25" t="n">
        <v>38997.596</v>
      </c>
      <c r="AZ25" t="n">
        <v>41475.397</v>
      </c>
      <c r="BA25" t="n">
        <v>41295.33</v>
      </c>
      <c r="BB25" t="n">
        <v>48676.472</v>
      </c>
      <c r="BC25" t="n">
        <v>58825.484</v>
      </c>
      <c r="BD25" t="n">
        <v>56935.952</v>
      </c>
      <c r="BE25" t="n">
        <v>56640.239</v>
      </c>
      <c r="BF25" t="n">
        <v>55026.155</v>
      </c>
      <c r="BG25" t="n">
        <v>54702.982</v>
      </c>
      <c r="BH25" t="n">
        <v>11577.022</v>
      </c>
      <c r="BI25" t="n">
        <v>12895.428</v>
      </c>
      <c r="BJ25" t="n">
        <v>12395.091</v>
      </c>
      <c r="BK25" t="n">
        <v>14431.733</v>
      </c>
      <c r="BL25" t="n">
        <v>34891.845</v>
      </c>
      <c r="BM25" t="n">
        <v>36568.305</v>
      </c>
      <c r="BN25" t="n">
        <v>35566.446</v>
      </c>
      <c r="BO25" t="n">
        <v>40033.459</v>
      </c>
      <c r="BP25" t="n">
        <v>41628.461</v>
      </c>
      <c r="BQ25" t="n">
        <v>38154.794</v>
      </c>
      <c r="BR25" t="n">
        <v>39287.439</v>
      </c>
      <c r="BS25" t="n">
        <v>40695.753</v>
      </c>
      <c r="BT25" t="n">
        <v>37743.782</v>
      </c>
      <c r="BU25" t="n">
        <v>35585.983</v>
      </c>
      <c r="BV25" t="n">
        <v>33354.82</v>
      </c>
    </row>
    <row r="26">
      <c r="A26" t="inlineStr">
        <is>
          <t>Stolephorus</t>
        </is>
      </c>
      <c r="B26" t="inlineStr">
        <is>
          <t>Garment anchovies</t>
        </is>
      </c>
      <c r="C26" t="inlineStr">
        <is>
          <t>Small pelagics (&lt;30 cm)</t>
        </is>
      </c>
      <c r="D26" t="inlineStr">
        <is>
          <t>Anchovies</t>
        </is>
      </c>
      <c r="E26" t="n">
        <v>10595.416</v>
      </c>
      <c r="F26" t="n">
        <v>10201.822</v>
      </c>
      <c r="G26" t="n">
        <v>9828.145</v>
      </c>
      <c r="H26" t="n">
        <v>9219.352999999999</v>
      </c>
      <c r="I26" t="n">
        <v>9163.805</v>
      </c>
      <c r="J26" t="n">
        <v>9737.951999999999</v>
      </c>
      <c r="K26" t="n">
        <v>9841.839</v>
      </c>
      <c r="L26" t="n">
        <v>10063.409</v>
      </c>
      <c r="M26" t="n">
        <v>11293.33</v>
      </c>
      <c r="N26" t="n">
        <v>12063.891</v>
      </c>
      <c r="O26" t="n">
        <v>12890.684</v>
      </c>
      <c r="P26" t="n">
        <v>13903.382</v>
      </c>
      <c r="Q26" t="n">
        <v>15193.205</v>
      </c>
      <c r="R26" t="n">
        <v>16698.185</v>
      </c>
      <c r="S26" t="n">
        <v>18416.412</v>
      </c>
      <c r="T26" t="n">
        <v>17821.877</v>
      </c>
      <c r="U26" t="n">
        <v>18685.866</v>
      </c>
      <c r="V26" t="n">
        <v>19169.538</v>
      </c>
      <c r="W26" t="n">
        <v>19410.622</v>
      </c>
      <c r="X26" t="n">
        <v>17557.562</v>
      </c>
      <c r="Y26" t="n">
        <v>19295.99</v>
      </c>
      <c r="Z26" t="n">
        <v>19322.836</v>
      </c>
      <c r="AA26" t="n">
        <v>18685.949</v>
      </c>
      <c r="AB26" t="n">
        <v>17367.336</v>
      </c>
      <c r="AC26" t="n">
        <v>18072.923</v>
      </c>
      <c r="AD26" t="n">
        <v>15688.242</v>
      </c>
      <c r="AE26" t="n">
        <v>31555.957</v>
      </c>
      <c r="AF26" t="n">
        <v>38692.957</v>
      </c>
      <c r="AG26" t="n">
        <v>43174.147</v>
      </c>
      <c r="AH26" t="n">
        <v>43662.061</v>
      </c>
      <c r="AI26" t="n">
        <v>11500.674</v>
      </c>
      <c r="AJ26" t="n">
        <v>15245.828</v>
      </c>
      <c r="AK26" t="n">
        <v>13880.734</v>
      </c>
      <c r="AL26" t="n">
        <v>14309.355</v>
      </c>
      <c r="AM26" t="n">
        <v>11984.589</v>
      </c>
      <c r="AN26" t="n">
        <v>22095.205</v>
      </c>
      <c r="AO26" t="n">
        <v>16999.842</v>
      </c>
      <c r="AP26" t="n">
        <v>22883.101</v>
      </c>
      <c r="AQ26" t="n">
        <v>26865.155</v>
      </c>
      <c r="AR26" t="n">
        <v>29287.602</v>
      </c>
      <c r="AS26" t="n">
        <v>21388.51</v>
      </c>
      <c r="AT26" t="n">
        <v>20465.641</v>
      </c>
      <c r="AU26" t="n">
        <v>18783.319</v>
      </c>
      <c r="AV26" t="n">
        <v>20254.386</v>
      </c>
      <c r="AW26" t="n">
        <v>20540.328</v>
      </c>
      <c r="AX26" t="n">
        <v>20004.925</v>
      </c>
      <c r="AY26" t="n">
        <v>19155.938</v>
      </c>
      <c r="AZ26" t="n">
        <v>18837.143</v>
      </c>
      <c r="BA26" t="n">
        <v>20150.394</v>
      </c>
      <c r="BB26" t="n">
        <v>22410.25</v>
      </c>
      <c r="BC26" t="n">
        <v>24381.678</v>
      </c>
      <c r="BD26" t="n">
        <v>24528.063</v>
      </c>
      <c r="BE26" t="n">
        <v>23887.368</v>
      </c>
      <c r="BF26" t="n">
        <v>23867.923</v>
      </c>
      <c r="BG26" t="n">
        <v>22189.369</v>
      </c>
      <c r="BH26" t="n">
        <v>38260.738</v>
      </c>
      <c r="BI26" t="n">
        <v>42774.953</v>
      </c>
      <c r="BJ26" t="n">
        <v>41685.353</v>
      </c>
      <c r="BK26" t="n">
        <v>44591.251</v>
      </c>
      <c r="BL26" t="n">
        <v>18121.542</v>
      </c>
      <c r="BM26" t="n">
        <v>19288.208</v>
      </c>
      <c r="BN26" t="n">
        <v>21106.195</v>
      </c>
      <c r="BO26" t="n">
        <v>22688.787</v>
      </c>
      <c r="BP26" t="n">
        <v>22849.928</v>
      </c>
      <c r="BQ26" t="n">
        <v>21656.643</v>
      </c>
      <c r="BR26" t="n">
        <v>22552.357</v>
      </c>
      <c r="BS26" t="n">
        <v>23131.682</v>
      </c>
      <c r="BT26" t="n">
        <v>22011.123</v>
      </c>
      <c r="BU26" t="n">
        <v>22481.078</v>
      </c>
      <c r="BV26" t="n">
        <v>21398.379</v>
      </c>
    </row>
    <row r="27">
      <c r="A27" t="inlineStr">
        <is>
          <t>Cephea</t>
        </is>
      </c>
      <c r="B27" t="inlineStr">
        <is>
          <t>Cepheid jellyfishes</t>
        </is>
      </c>
      <c r="C27" t="inlineStr">
        <is>
          <t>Jellyfish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2902.314</v>
      </c>
      <c r="Z27" t="n">
        <v>2891.666</v>
      </c>
      <c r="AA27" t="n">
        <v>3111.016</v>
      </c>
      <c r="AB27" t="n">
        <v>76785.39599999999</v>
      </c>
      <c r="AC27" t="n">
        <v>2743.57</v>
      </c>
      <c r="AD27" t="n">
        <v>4973.891</v>
      </c>
      <c r="AE27" t="n">
        <v>25776.554</v>
      </c>
      <c r="AF27" t="n">
        <v>93048.95699999999</v>
      </c>
      <c r="AG27" t="n">
        <v>67088.913</v>
      </c>
      <c r="AH27" t="n">
        <v>57322.487</v>
      </c>
      <c r="AI27" t="n">
        <v>2288.57</v>
      </c>
      <c r="AJ27" t="n">
        <v>12872.034</v>
      </c>
      <c r="AK27" t="n">
        <v>32227.174</v>
      </c>
      <c r="AL27" t="n">
        <v>161829.095</v>
      </c>
      <c r="AM27" t="n">
        <v>6431.816</v>
      </c>
      <c r="AN27" t="n">
        <v>7017.311</v>
      </c>
      <c r="AO27" t="n">
        <v>18452.685</v>
      </c>
      <c r="AP27" t="n">
        <v>14967.512</v>
      </c>
      <c r="AQ27" t="n">
        <v>19591.746</v>
      </c>
      <c r="AR27" t="n">
        <v>16932.643</v>
      </c>
      <c r="AS27" t="n">
        <v>14763.135</v>
      </c>
      <c r="AT27" t="n">
        <v>58088.687</v>
      </c>
      <c r="AU27" t="n">
        <v>106447.371</v>
      </c>
      <c r="AV27" t="n">
        <v>10202.535</v>
      </c>
      <c r="AW27" t="n">
        <v>80518.155</v>
      </c>
      <c r="AX27" t="n">
        <v>17022.955</v>
      </c>
      <c r="AY27" t="n">
        <v>18212.144</v>
      </c>
      <c r="AZ27" t="n">
        <v>22584.428</v>
      </c>
      <c r="BA27" t="n">
        <v>63790.065</v>
      </c>
      <c r="BB27" t="n">
        <v>89137.276</v>
      </c>
      <c r="BC27" t="n">
        <v>150247.83</v>
      </c>
      <c r="BD27" t="n">
        <v>47484.382</v>
      </c>
      <c r="BE27" t="n">
        <v>28325.745</v>
      </c>
      <c r="BF27" t="n">
        <v>8958.050999999999</v>
      </c>
      <c r="BG27" t="n">
        <v>1529.147</v>
      </c>
      <c r="BH27" t="n">
        <v>3654.298</v>
      </c>
      <c r="BI27" t="n">
        <v>4111.403</v>
      </c>
      <c r="BJ27" t="n">
        <v>7668.543</v>
      </c>
      <c r="BK27" t="n">
        <v>3087.165</v>
      </c>
      <c r="BL27" t="n">
        <v>4168.798</v>
      </c>
      <c r="BM27" t="n">
        <v>5665.924</v>
      </c>
      <c r="BN27" t="n">
        <v>5887.166</v>
      </c>
      <c r="BO27" t="n">
        <v>2319.455</v>
      </c>
      <c r="BP27" t="n">
        <v>2998.831</v>
      </c>
      <c r="BQ27" t="n">
        <v>9621.352000000001</v>
      </c>
      <c r="BR27" t="n">
        <v>7141.672</v>
      </c>
      <c r="BS27" t="n">
        <v>12022.758</v>
      </c>
      <c r="BT27" t="n">
        <v>3095.721</v>
      </c>
      <c r="BU27" t="n">
        <v>9507.927</v>
      </c>
      <c r="BV27" t="n">
        <v>3421.314</v>
      </c>
    </row>
    <row r="28">
      <c r="A28" t="inlineStr">
        <is>
          <t>Scomberomorus guttatus</t>
        </is>
      </c>
      <c r="B28" t="inlineStr">
        <is>
          <t>Indo-Pacific king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34741.153</v>
      </c>
      <c r="F28" t="n">
        <v>33927.37</v>
      </c>
      <c r="G28" t="n">
        <v>35016.248</v>
      </c>
      <c r="H28" t="n">
        <v>36596.456</v>
      </c>
      <c r="I28" t="n">
        <v>39538.091</v>
      </c>
      <c r="J28" t="n">
        <v>41216.701</v>
      </c>
      <c r="K28" t="n">
        <v>42390.936</v>
      </c>
      <c r="L28" t="n">
        <v>40672.97</v>
      </c>
      <c r="M28" t="n">
        <v>52079.968</v>
      </c>
      <c r="N28" t="n">
        <v>61494.5</v>
      </c>
      <c r="O28" t="n">
        <v>65837.037</v>
      </c>
      <c r="P28" t="n">
        <v>86941.489</v>
      </c>
      <c r="Q28" t="n">
        <v>87938.11500000001</v>
      </c>
      <c r="R28" t="n">
        <v>103068.188</v>
      </c>
      <c r="S28" t="n">
        <v>114040.969</v>
      </c>
      <c r="T28" t="n">
        <v>136159.167</v>
      </c>
      <c r="U28" t="n">
        <v>116433.258</v>
      </c>
      <c r="V28" t="n">
        <v>101909.997</v>
      </c>
      <c r="W28" t="n">
        <v>74982.173</v>
      </c>
      <c r="X28" t="n">
        <v>43785.216</v>
      </c>
      <c r="Y28" t="n">
        <v>12.914</v>
      </c>
      <c r="Z28" t="n">
        <v>47.511</v>
      </c>
      <c r="AA28" t="n">
        <v>30.518</v>
      </c>
      <c r="AB28" t="n">
        <v>8.566000000000001</v>
      </c>
      <c r="AC28" t="n">
        <v>3.359</v>
      </c>
      <c r="AD28" t="n">
        <v>0.34</v>
      </c>
      <c r="AE28" t="n">
        <v>63.918</v>
      </c>
      <c r="AF28" t="n">
        <v>23.583</v>
      </c>
      <c r="AG28" t="n">
        <v>14.655</v>
      </c>
      <c r="AH28" t="n">
        <v>13.756</v>
      </c>
      <c r="AI28" t="n">
        <v>46.576</v>
      </c>
      <c r="AJ28" t="n">
        <v>42.154</v>
      </c>
      <c r="AK28" t="n">
        <v>158.863</v>
      </c>
      <c r="AL28" t="n">
        <v>150.411</v>
      </c>
      <c r="AM28" t="n">
        <v>74.306</v>
      </c>
      <c r="AN28" t="n">
        <v>92.93000000000001</v>
      </c>
      <c r="AO28" t="n">
        <v>167.754</v>
      </c>
      <c r="AP28" t="n">
        <v>165.797</v>
      </c>
      <c r="AQ28" t="n">
        <v>75.575</v>
      </c>
      <c r="AR28" t="n">
        <v>161.3</v>
      </c>
      <c r="AS28" t="n">
        <v>165.497</v>
      </c>
      <c r="AT28" t="n">
        <v>5.472</v>
      </c>
      <c r="AU28" t="n">
        <v>7.513</v>
      </c>
      <c r="AV28" t="n">
        <v>7.201</v>
      </c>
      <c r="AW28" t="n">
        <v>13.52</v>
      </c>
      <c r="AX28" t="n">
        <v>14.053</v>
      </c>
      <c r="AY28" t="n">
        <v>47.342</v>
      </c>
      <c r="AZ28" t="n">
        <v>48.253</v>
      </c>
      <c r="BA28" t="n">
        <v>52.822</v>
      </c>
      <c r="BB28" t="n">
        <v>271.904</v>
      </c>
      <c r="BC28" t="n">
        <v>335.538</v>
      </c>
      <c r="BD28" t="n">
        <v>192.823</v>
      </c>
      <c r="BE28" t="n">
        <v>173.576</v>
      </c>
      <c r="BF28" t="n">
        <v>174.001</v>
      </c>
      <c r="BG28" t="n">
        <v>160.423</v>
      </c>
      <c r="BH28" t="n">
        <v>159.987</v>
      </c>
      <c r="BI28" t="n">
        <v>180.918</v>
      </c>
      <c r="BJ28" t="n">
        <v>165.95</v>
      </c>
      <c r="BK28" t="n">
        <v>206.335</v>
      </c>
      <c r="BL28" t="n">
        <v>1387.495</v>
      </c>
      <c r="BM28" t="n">
        <v>1254.094</v>
      </c>
      <c r="BN28" t="n">
        <v>1007.939</v>
      </c>
      <c r="BO28" t="n">
        <v>1042.19</v>
      </c>
      <c r="BP28" t="n">
        <v>811.374</v>
      </c>
      <c r="BQ28" t="n">
        <v>2.527</v>
      </c>
      <c r="BR28" t="n">
        <v>2.171</v>
      </c>
      <c r="BS28" t="n">
        <v>6.008</v>
      </c>
      <c r="BT28" t="n">
        <v>6.273</v>
      </c>
      <c r="BU28" t="n">
        <v>1464.734</v>
      </c>
      <c r="BV28" t="n">
        <v>1639.949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5.108</v>
      </c>
      <c r="K29" t="n">
        <v>0.004</v>
      </c>
      <c r="L29" t="n">
        <v>0.004</v>
      </c>
      <c r="M29" t="n">
        <v>0</v>
      </c>
      <c r="N29" t="n">
        <v>210.511</v>
      </c>
      <c r="O29" t="n">
        <v>574.446</v>
      </c>
      <c r="P29" t="n">
        <v>861.402</v>
      </c>
      <c r="Q29" t="n">
        <v>1425.055</v>
      </c>
      <c r="R29" t="n">
        <v>2103.37</v>
      </c>
      <c r="S29" t="n">
        <v>2589.63</v>
      </c>
      <c r="T29" t="n">
        <v>2943.379</v>
      </c>
      <c r="U29" t="n">
        <v>3289.601</v>
      </c>
      <c r="V29" t="n">
        <v>3604.178</v>
      </c>
      <c r="W29" t="n">
        <v>3870.186</v>
      </c>
      <c r="X29" t="n">
        <v>4118.815</v>
      </c>
      <c r="Y29" t="n">
        <v>4116.249</v>
      </c>
      <c r="Z29" t="n">
        <v>4238.339</v>
      </c>
      <c r="AA29" t="n">
        <v>4428.416</v>
      </c>
      <c r="AB29" t="n">
        <v>4488.016</v>
      </c>
      <c r="AC29" t="n">
        <v>4666.93</v>
      </c>
      <c r="AD29" t="n">
        <v>4659.883</v>
      </c>
      <c r="AE29" t="n">
        <v>5672.568</v>
      </c>
      <c r="AF29" t="n">
        <v>5750.439</v>
      </c>
      <c r="AG29" t="n">
        <v>5908.591</v>
      </c>
      <c r="AH29" t="n">
        <v>6400.784</v>
      </c>
      <c r="AI29" t="n">
        <v>6352.613</v>
      </c>
      <c r="AJ29" t="n">
        <v>6996.86</v>
      </c>
      <c r="AK29" t="n">
        <v>8439.923000000001</v>
      </c>
      <c r="AL29" t="n">
        <v>10318.151</v>
      </c>
      <c r="AM29" t="n">
        <v>10629.062</v>
      </c>
      <c r="AN29" t="n">
        <v>11521.096</v>
      </c>
      <c r="AO29" t="n">
        <v>13379.29</v>
      </c>
      <c r="AP29" t="n">
        <v>14690.405</v>
      </c>
      <c r="AQ29" t="n">
        <v>15347.58</v>
      </c>
      <c r="AR29" t="n">
        <v>17150.304</v>
      </c>
      <c r="AS29" t="n">
        <v>17784.826</v>
      </c>
      <c r="AT29" t="n">
        <v>19269.638</v>
      </c>
      <c r="AU29" t="n">
        <v>21138.342</v>
      </c>
      <c r="AV29" t="n">
        <v>23860.911</v>
      </c>
      <c r="AW29" t="n">
        <v>27145.331</v>
      </c>
      <c r="AX29" t="n">
        <v>28603.342</v>
      </c>
      <c r="AY29" t="n">
        <v>31230.814</v>
      </c>
      <c r="AZ29" t="n">
        <v>33294.584</v>
      </c>
      <c r="BA29" t="n">
        <v>34014.488</v>
      </c>
      <c r="BB29" t="n">
        <v>39334.235</v>
      </c>
      <c r="BC29" t="n">
        <v>38845.635</v>
      </c>
      <c r="BD29" t="n">
        <v>40111.251</v>
      </c>
      <c r="BE29" t="n">
        <v>39392.085</v>
      </c>
      <c r="BF29" t="n">
        <v>39640.141</v>
      </c>
      <c r="BG29" t="n">
        <v>40021.907</v>
      </c>
      <c r="BH29" t="n">
        <v>40352.522</v>
      </c>
      <c r="BI29" t="n">
        <v>40119.971</v>
      </c>
      <c r="BJ29" t="n">
        <v>40593.29</v>
      </c>
      <c r="BK29" t="n">
        <v>39912.74</v>
      </c>
      <c r="BL29" t="n">
        <v>40357.814</v>
      </c>
      <c r="BM29" t="n">
        <v>39414.702</v>
      </c>
      <c r="BN29" t="n">
        <v>38602.558</v>
      </c>
      <c r="BO29" t="n">
        <v>38018.518</v>
      </c>
      <c r="BP29" t="n">
        <v>38296.948</v>
      </c>
      <c r="BQ29" t="n">
        <v>37278.819</v>
      </c>
      <c r="BR29" t="n">
        <v>36164.811</v>
      </c>
      <c r="BS29" t="n">
        <v>36061.302</v>
      </c>
      <c r="BT29" t="n">
        <v>35873.225</v>
      </c>
      <c r="BU29" t="n">
        <v>38837.073</v>
      </c>
      <c r="BV29" t="n">
        <v>37088.026</v>
      </c>
    </row>
    <row r="30">
      <c r="A30" t="inlineStr">
        <is>
          <t>Megalaspis cordyla</t>
        </is>
      </c>
      <c r="B30" t="inlineStr">
        <is>
          <t>Torpedo scad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3729.607</v>
      </c>
      <c r="F30" t="n">
        <v>3596.163</v>
      </c>
      <c r="G30" t="n">
        <v>3390.878</v>
      </c>
      <c r="H30" t="n">
        <v>3232.906</v>
      </c>
      <c r="I30" t="n">
        <v>3271.497</v>
      </c>
      <c r="J30" t="n">
        <v>3487.155</v>
      </c>
      <c r="K30" t="n">
        <v>3533.465</v>
      </c>
      <c r="L30" t="n">
        <v>3622.828</v>
      </c>
      <c r="M30" t="n">
        <v>4036.741</v>
      </c>
      <c r="N30" t="n">
        <v>4315.707</v>
      </c>
      <c r="O30" t="n">
        <v>4516.51</v>
      </c>
      <c r="P30" t="n">
        <v>5050.351</v>
      </c>
      <c r="Q30" t="n">
        <v>5417.787</v>
      </c>
      <c r="R30" t="n">
        <v>5475.341</v>
      </c>
      <c r="S30" t="n">
        <v>6128.237</v>
      </c>
      <c r="T30" t="n">
        <v>6394.715</v>
      </c>
      <c r="U30" t="n">
        <v>6938.306</v>
      </c>
      <c r="V30" t="n">
        <v>7499.443</v>
      </c>
      <c r="W30" t="n">
        <v>7669.899</v>
      </c>
      <c r="X30" t="n">
        <v>7284.897</v>
      </c>
      <c r="Y30" t="n">
        <v>12831.99</v>
      </c>
      <c r="Z30" t="n">
        <v>12971.055</v>
      </c>
      <c r="AA30" t="n">
        <v>10324.347</v>
      </c>
      <c r="AB30" t="n">
        <v>11746.923</v>
      </c>
      <c r="AC30" t="n">
        <v>13241.056</v>
      </c>
      <c r="AD30" t="n">
        <v>12688.977</v>
      </c>
      <c r="AE30" t="n">
        <v>24510.022</v>
      </c>
      <c r="AF30" t="n">
        <v>39420.078</v>
      </c>
      <c r="AG30" t="n">
        <v>27956.306</v>
      </c>
      <c r="AH30" t="n">
        <v>19166.772</v>
      </c>
      <c r="AI30" t="n">
        <v>18458.574</v>
      </c>
      <c r="AJ30" t="n">
        <v>13719.482</v>
      </c>
      <c r="AK30" t="n">
        <v>12428.363</v>
      </c>
      <c r="AL30" t="n">
        <v>29193.908</v>
      </c>
      <c r="AM30" t="n">
        <v>14966.971</v>
      </c>
      <c r="AN30" t="n">
        <v>16080.855</v>
      </c>
      <c r="AO30" t="n">
        <v>26703.987</v>
      </c>
      <c r="AP30" t="n">
        <v>27683.485</v>
      </c>
      <c r="AQ30" t="n">
        <v>31529.476</v>
      </c>
      <c r="AR30" t="n">
        <v>30977.453</v>
      </c>
      <c r="AS30" t="n">
        <v>22868.652</v>
      </c>
      <c r="AT30" t="n">
        <v>21222.934</v>
      </c>
      <c r="AU30" t="n">
        <v>26703.432</v>
      </c>
      <c r="AV30" t="n">
        <v>27618.753</v>
      </c>
      <c r="AW30" t="n">
        <v>29563.3</v>
      </c>
      <c r="AX30" t="n">
        <v>17995.854</v>
      </c>
      <c r="AY30" t="n">
        <v>13385.837</v>
      </c>
      <c r="AZ30" t="n">
        <v>12309.428</v>
      </c>
      <c r="BA30" t="n">
        <v>16858.472</v>
      </c>
      <c r="BB30" t="n">
        <v>16843.373</v>
      </c>
      <c r="BC30" t="n">
        <v>17472.413</v>
      </c>
      <c r="BD30" t="n">
        <v>12242.62</v>
      </c>
      <c r="BE30" t="n">
        <v>10894.309</v>
      </c>
      <c r="BF30" t="n">
        <v>18125.731</v>
      </c>
      <c r="BG30" t="n">
        <v>14979.638</v>
      </c>
      <c r="BH30" t="n">
        <v>10135.84</v>
      </c>
      <c r="BI30" t="n">
        <v>10931.247</v>
      </c>
      <c r="BJ30" t="n">
        <v>11772.202</v>
      </c>
      <c r="BK30" t="n">
        <v>15948.802</v>
      </c>
      <c r="BL30" t="n">
        <v>14337.496</v>
      </c>
      <c r="BM30" t="n">
        <v>17580.101</v>
      </c>
      <c r="BN30" t="n">
        <v>19475.335</v>
      </c>
      <c r="BO30" t="n">
        <v>19801.949</v>
      </c>
      <c r="BP30" t="n">
        <v>21632.142</v>
      </c>
      <c r="BQ30" t="n">
        <v>20687.444</v>
      </c>
      <c r="BR30" t="n">
        <v>42379.367</v>
      </c>
      <c r="BS30" t="n">
        <v>58243.03</v>
      </c>
      <c r="BT30" t="n">
        <v>33578.805</v>
      </c>
      <c r="BU30" t="n">
        <v>39742.017</v>
      </c>
      <c r="BV30" t="n">
        <v>36452.707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20709.221</v>
      </c>
      <c r="F31" t="n">
        <v>20245.132</v>
      </c>
      <c r="G31" t="n">
        <v>20907.468</v>
      </c>
      <c r="H31" t="n">
        <v>21860.684</v>
      </c>
      <c r="I31" t="n">
        <v>23906.5</v>
      </c>
      <c r="J31" t="n">
        <v>25240.838</v>
      </c>
      <c r="K31" t="n">
        <v>26086.462</v>
      </c>
      <c r="L31" t="n">
        <v>25226.354</v>
      </c>
      <c r="M31" t="n">
        <v>32180.715</v>
      </c>
      <c r="N31" t="n">
        <v>38093.734</v>
      </c>
      <c r="O31" t="n">
        <v>41363.741</v>
      </c>
      <c r="P31" t="n">
        <v>53938.143</v>
      </c>
      <c r="Q31" t="n">
        <v>55214.517</v>
      </c>
      <c r="R31" t="n">
        <v>64829.705</v>
      </c>
      <c r="S31" t="n">
        <v>71512.20600000001</v>
      </c>
      <c r="T31" t="n">
        <v>84640.33100000001</v>
      </c>
      <c r="U31" t="n">
        <v>72992.22199999999</v>
      </c>
      <c r="V31" t="n">
        <v>64372.495</v>
      </c>
      <c r="W31" t="n">
        <v>48371.478</v>
      </c>
      <c r="X31" t="n">
        <v>29846.718</v>
      </c>
      <c r="Y31" t="n">
        <v>7357.131</v>
      </c>
      <c r="Z31" t="n">
        <v>7830.693</v>
      </c>
      <c r="AA31" t="n">
        <v>2738.655</v>
      </c>
      <c r="AB31" t="n">
        <v>2514.814</v>
      </c>
      <c r="AC31" t="n">
        <v>3713.791</v>
      </c>
      <c r="AD31" t="n">
        <v>4964.284</v>
      </c>
      <c r="AE31" t="n">
        <v>9830.555</v>
      </c>
      <c r="AF31" t="n">
        <v>7648.185</v>
      </c>
      <c r="AG31" t="n">
        <v>12864.966</v>
      </c>
      <c r="AH31" t="n">
        <v>7540.75</v>
      </c>
      <c r="AI31" t="n">
        <v>7628.523</v>
      </c>
      <c r="AJ31" t="n">
        <v>13144.33</v>
      </c>
      <c r="AK31" t="n">
        <v>8635.602000000001</v>
      </c>
      <c r="AL31" t="n">
        <v>8996.431</v>
      </c>
      <c r="AM31" t="n">
        <v>7155.153</v>
      </c>
      <c r="AN31" t="n">
        <v>7737.441</v>
      </c>
      <c r="AO31" t="n">
        <v>8315.289000000001</v>
      </c>
      <c r="AP31" t="n">
        <v>6398.77</v>
      </c>
      <c r="AQ31" t="n">
        <v>5615.764</v>
      </c>
      <c r="AR31" t="n">
        <v>5930.195</v>
      </c>
      <c r="AS31" t="n">
        <v>6451.108</v>
      </c>
      <c r="AT31" t="n">
        <v>6385.253</v>
      </c>
      <c r="AU31" t="n">
        <v>5720.157</v>
      </c>
      <c r="AV31" t="n">
        <v>4670.291</v>
      </c>
      <c r="AW31" t="n">
        <v>5637.96</v>
      </c>
      <c r="AX31" t="n">
        <v>4875.228</v>
      </c>
      <c r="AY31" t="n">
        <v>5226.932</v>
      </c>
      <c r="AZ31" t="n">
        <v>5273.675</v>
      </c>
      <c r="BA31" t="n">
        <v>5492.601</v>
      </c>
      <c r="BB31" t="n">
        <v>3592.552</v>
      </c>
      <c r="BC31" t="n">
        <v>4145.692</v>
      </c>
      <c r="BD31" t="n">
        <v>5433.392</v>
      </c>
      <c r="BE31" t="n">
        <v>3436.647</v>
      </c>
      <c r="BF31" t="n">
        <v>2934.306</v>
      </c>
      <c r="BG31" t="n">
        <v>2794.13</v>
      </c>
      <c r="BH31" t="n">
        <v>3725.123</v>
      </c>
      <c r="BI31" t="n">
        <v>3239.198</v>
      </c>
      <c r="BJ31" t="n">
        <v>3017.455</v>
      </c>
      <c r="BK31" t="n">
        <v>7043.694</v>
      </c>
      <c r="BL31" t="n">
        <v>6991.596</v>
      </c>
      <c r="BM31" t="n">
        <v>5252.248</v>
      </c>
      <c r="BN31" t="n">
        <v>6201.266</v>
      </c>
      <c r="BO31" t="n">
        <v>5993.858</v>
      </c>
      <c r="BP31" t="n">
        <v>4554.068</v>
      </c>
      <c r="BQ31" t="n">
        <v>4811.353</v>
      </c>
      <c r="BR31" t="n">
        <v>4449.466</v>
      </c>
      <c r="BS31" t="n">
        <v>4095.357</v>
      </c>
      <c r="BT31" t="n">
        <v>4048.578</v>
      </c>
      <c r="BU31" t="n">
        <v>4426.396</v>
      </c>
      <c r="BV31" t="n">
        <v>4454.844</v>
      </c>
    </row>
    <row r="32">
      <c r="A32" t="inlineStr">
        <is>
          <t>Thunnus tonggol</t>
        </is>
      </c>
      <c r="B32" t="inlineStr">
        <is>
          <t>Longtail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1872.653</v>
      </c>
      <c r="F32" t="n">
        <v>1791.633</v>
      </c>
      <c r="G32" t="n">
        <v>1648.804</v>
      </c>
      <c r="H32" t="n">
        <v>1550.243</v>
      </c>
      <c r="I32" t="n">
        <v>1567.783</v>
      </c>
      <c r="J32" t="n">
        <v>1679.708</v>
      </c>
      <c r="K32" t="n">
        <v>1698.919</v>
      </c>
      <c r="L32" t="n">
        <v>1762.499</v>
      </c>
      <c r="M32" t="n">
        <v>1998.042</v>
      </c>
      <c r="N32" t="n">
        <v>2161.753</v>
      </c>
      <c r="O32" t="n">
        <v>2267.947</v>
      </c>
      <c r="P32" t="n">
        <v>2342.369</v>
      </c>
      <c r="Q32" t="n">
        <v>2618.005</v>
      </c>
      <c r="R32" t="n">
        <v>2791.277</v>
      </c>
      <c r="S32" t="n">
        <v>3211.712</v>
      </c>
      <c r="T32" t="n">
        <v>2809.578</v>
      </c>
      <c r="U32" t="n">
        <v>2811.921</v>
      </c>
      <c r="V32" t="n">
        <v>2877.744</v>
      </c>
      <c r="W32" t="n">
        <v>2823.615</v>
      </c>
      <c r="X32" t="n">
        <v>2482.156</v>
      </c>
      <c r="Y32" t="n">
        <v>2423.523</v>
      </c>
      <c r="Z32" t="n">
        <v>2535.661</v>
      </c>
      <c r="AA32" t="n">
        <v>2369.682</v>
      </c>
      <c r="AB32" t="n">
        <v>2463.123</v>
      </c>
      <c r="AC32" t="n">
        <v>2365.978</v>
      </c>
      <c r="AD32" t="n">
        <v>2328.495</v>
      </c>
      <c r="AE32" t="n">
        <v>648.467</v>
      </c>
      <c r="AF32" t="n">
        <v>673.13</v>
      </c>
      <c r="AG32" t="n">
        <v>847.585</v>
      </c>
      <c r="AH32" t="n">
        <v>7097.619</v>
      </c>
      <c r="AI32" t="n">
        <v>15397.092</v>
      </c>
      <c r="AJ32" t="n">
        <v>20918.284</v>
      </c>
      <c r="AK32" t="n">
        <v>23081.016</v>
      </c>
      <c r="AL32" t="n">
        <v>39233.362</v>
      </c>
      <c r="AM32" t="n">
        <v>31585.884</v>
      </c>
      <c r="AN32" t="n">
        <v>28636.258</v>
      </c>
      <c r="AO32" t="n">
        <v>26692.203</v>
      </c>
      <c r="AP32" t="n">
        <v>22213.132</v>
      </c>
      <c r="AQ32" t="n">
        <v>42466.921</v>
      </c>
      <c r="AR32" t="n">
        <v>37421.004</v>
      </c>
      <c r="AS32" t="n">
        <v>47412.124</v>
      </c>
      <c r="AT32" t="n">
        <v>39024.723</v>
      </c>
      <c r="AU32" t="n">
        <v>36667.859</v>
      </c>
      <c r="AV32" t="n">
        <v>24680.896</v>
      </c>
      <c r="AW32" t="n">
        <v>21306.808</v>
      </c>
      <c r="AX32" t="n">
        <v>19051.617</v>
      </c>
      <c r="AY32" t="n">
        <v>17394.476</v>
      </c>
      <c r="AZ32" t="n">
        <v>17838.549</v>
      </c>
      <c r="BA32" t="n">
        <v>21722.334</v>
      </c>
      <c r="BB32" t="n">
        <v>27327.582</v>
      </c>
      <c r="BC32" t="n">
        <v>35630.837</v>
      </c>
      <c r="BD32" t="n">
        <v>29635.075</v>
      </c>
      <c r="BE32" t="n">
        <v>27974.459</v>
      </c>
      <c r="BF32" t="n">
        <v>33116.115</v>
      </c>
      <c r="BG32" t="n">
        <v>33223.467</v>
      </c>
      <c r="BH32" t="n">
        <v>30614.372</v>
      </c>
      <c r="BI32" t="n">
        <v>36132.018</v>
      </c>
      <c r="BJ32" t="n">
        <v>29552.997</v>
      </c>
      <c r="BK32" t="n">
        <v>10452.692</v>
      </c>
      <c r="BL32" t="n">
        <v>8614.165000000001</v>
      </c>
      <c r="BM32" t="n">
        <v>8089.127</v>
      </c>
      <c r="BN32" t="n">
        <v>5203.835</v>
      </c>
      <c r="BO32" t="n">
        <v>7638.474</v>
      </c>
      <c r="BP32" t="n">
        <v>8600.828</v>
      </c>
      <c r="BQ32" t="n">
        <v>8614.82</v>
      </c>
      <c r="BR32" t="n">
        <v>8772.201999999999</v>
      </c>
      <c r="BS32" t="n">
        <v>10122.75</v>
      </c>
      <c r="BT32" t="n">
        <v>10753.088</v>
      </c>
      <c r="BU32" t="n">
        <v>10890.535</v>
      </c>
      <c r="BV32" t="n">
        <v>10977.098</v>
      </c>
    </row>
    <row r="33">
      <c r="A33" t="inlineStr">
        <is>
          <t>Selaroides leptolepis</t>
        </is>
      </c>
      <c r="B33" t="inlineStr">
        <is>
          <t>Yellowstripe scad</t>
        </is>
      </c>
      <c r="C33" t="inlineStr">
        <is>
          <t>Small pelagics (&lt;30 cm)</t>
        </is>
      </c>
      <c r="D33" t="inlineStr">
        <is>
          <t>Perch-likes</t>
        </is>
      </c>
      <c r="E33" t="n">
        <v>2083.697</v>
      </c>
      <c r="F33" t="n">
        <v>1993.961</v>
      </c>
      <c r="G33" t="n">
        <v>1837.315</v>
      </c>
      <c r="H33" t="n">
        <v>1727.11</v>
      </c>
      <c r="I33" t="n">
        <v>1746.792</v>
      </c>
      <c r="J33" t="n">
        <v>1871.168</v>
      </c>
      <c r="K33" t="n">
        <v>1890.848</v>
      </c>
      <c r="L33" t="n">
        <v>1949.098</v>
      </c>
      <c r="M33" t="n">
        <v>2209.657</v>
      </c>
      <c r="N33" t="n">
        <v>2390.708</v>
      </c>
      <c r="O33" t="n">
        <v>2504.85</v>
      </c>
      <c r="P33" t="n">
        <v>2573.35</v>
      </c>
      <c r="Q33" t="n">
        <v>2878.786</v>
      </c>
      <c r="R33" t="n">
        <v>3091.334</v>
      </c>
      <c r="S33" t="n">
        <v>3517.999</v>
      </c>
      <c r="T33" t="n">
        <v>3121.23</v>
      </c>
      <c r="U33" t="n">
        <v>3147.693</v>
      </c>
      <c r="V33" t="n">
        <v>3246.347</v>
      </c>
      <c r="W33" t="n">
        <v>3262.438</v>
      </c>
      <c r="X33" t="n">
        <v>2918.987</v>
      </c>
      <c r="Y33" t="n">
        <v>3255.191</v>
      </c>
      <c r="Z33" t="n">
        <v>3247.483</v>
      </c>
      <c r="AA33" t="n">
        <v>3352.784</v>
      </c>
      <c r="AB33" t="n">
        <v>3537.937</v>
      </c>
      <c r="AC33" t="n">
        <v>3762.204</v>
      </c>
      <c r="AD33" t="n">
        <v>3613.231</v>
      </c>
      <c r="AE33" t="n">
        <v>1692.17</v>
      </c>
      <c r="AF33" t="n">
        <v>2085.589</v>
      </c>
      <c r="AG33" t="n">
        <v>2357.8</v>
      </c>
      <c r="AH33" t="n">
        <v>2419.772</v>
      </c>
      <c r="AI33" t="n">
        <v>27150.801</v>
      </c>
      <c r="AJ33" t="n">
        <v>32273.561</v>
      </c>
      <c r="AK33" t="n">
        <v>29122.914</v>
      </c>
      <c r="AL33" t="n">
        <v>28320.066</v>
      </c>
      <c r="AM33" t="n">
        <v>22239.254</v>
      </c>
      <c r="AN33" t="n">
        <v>10515.047</v>
      </c>
      <c r="AO33" t="n">
        <v>7953.711</v>
      </c>
      <c r="AP33" t="n">
        <v>8582.01</v>
      </c>
      <c r="AQ33" t="n">
        <v>10082.335</v>
      </c>
      <c r="AR33" t="n">
        <v>9973.24</v>
      </c>
      <c r="AS33" t="n">
        <v>25088.167</v>
      </c>
      <c r="AT33" t="n">
        <v>27116.255</v>
      </c>
      <c r="AU33" t="n">
        <v>27639.586</v>
      </c>
      <c r="AV33" t="n">
        <v>28981.503</v>
      </c>
      <c r="AW33" t="n">
        <v>27191.49</v>
      </c>
      <c r="AX33" t="n">
        <v>25948.877</v>
      </c>
      <c r="AY33" t="n">
        <v>26963.362</v>
      </c>
      <c r="AZ33" t="n">
        <v>29705.883</v>
      </c>
      <c r="BA33" t="n">
        <v>27995.498</v>
      </c>
      <c r="BB33" t="n">
        <v>33677.462</v>
      </c>
      <c r="BC33" t="n">
        <v>36695.357</v>
      </c>
      <c r="BD33" t="n">
        <v>35767.216</v>
      </c>
      <c r="BE33" t="n">
        <v>35040.221</v>
      </c>
      <c r="BF33" t="n">
        <v>34458.089</v>
      </c>
      <c r="BG33" t="n">
        <v>34231.455</v>
      </c>
      <c r="BH33" t="n">
        <v>3643.592</v>
      </c>
      <c r="BI33" t="n">
        <v>4105.178</v>
      </c>
      <c r="BJ33" t="n">
        <v>3941.046</v>
      </c>
      <c r="BK33" t="n">
        <v>4532.195</v>
      </c>
      <c r="BL33" t="n">
        <v>11284.543</v>
      </c>
      <c r="BM33" t="n">
        <v>11791.007</v>
      </c>
      <c r="BN33" t="n">
        <v>11468.233</v>
      </c>
      <c r="BO33" t="n">
        <v>12908.398</v>
      </c>
      <c r="BP33" t="n">
        <v>13422.553</v>
      </c>
      <c r="BQ33" t="n">
        <v>12302.794</v>
      </c>
      <c r="BR33" t="n">
        <v>12668.025</v>
      </c>
      <c r="BS33" t="n">
        <v>13122.007</v>
      </c>
      <c r="BT33" t="n">
        <v>12170.233</v>
      </c>
      <c r="BU33" t="n">
        <v>11477.155</v>
      </c>
      <c r="BV33" t="n">
        <v>10757.552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796.607</v>
      </c>
      <c r="F34" t="n">
        <v>808.353</v>
      </c>
      <c r="G34" t="n">
        <v>910.261</v>
      </c>
      <c r="H34" t="n">
        <v>880.853</v>
      </c>
      <c r="I34" t="n">
        <v>1396.135</v>
      </c>
      <c r="J34" t="n">
        <v>1436.234</v>
      </c>
      <c r="K34" t="n">
        <v>1469.712</v>
      </c>
      <c r="L34" t="n">
        <v>1597.707</v>
      </c>
      <c r="M34" t="n">
        <v>2166.46</v>
      </c>
      <c r="N34" t="n">
        <v>2133.42</v>
      </c>
      <c r="O34" t="n">
        <v>2265.031</v>
      </c>
      <c r="P34" t="n">
        <v>2634.592</v>
      </c>
      <c r="Q34" t="n">
        <v>2737.387</v>
      </c>
      <c r="R34" t="n">
        <v>3016.464</v>
      </c>
      <c r="S34" t="n">
        <v>3577.917</v>
      </c>
      <c r="T34" t="n">
        <v>2918.465</v>
      </c>
      <c r="U34" t="n">
        <v>3197.856</v>
      </c>
      <c r="V34" t="n">
        <v>3059.278</v>
      </c>
      <c r="W34" t="n">
        <v>3542.595</v>
      </c>
      <c r="X34" t="n">
        <v>3615.643</v>
      </c>
      <c r="Y34" t="n">
        <v>7287.777</v>
      </c>
      <c r="Z34" t="n">
        <v>8894.467000000001</v>
      </c>
      <c r="AA34" t="n">
        <v>12533.184</v>
      </c>
      <c r="AB34" t="n">
        <v>10971.836</v>
      </c>
      <c r="AC34" t="n">
        <v>10551.869</v>
      </c>
      <c r="AD34" t="n">
        <v>9650.736000000001</v>
      </c>
      <c r="AE34" t="n">
        <v>10505.616</v>
      </c>
      <c r="AF34" t="n">
        <v>10597.816</v>
      </c>
      <c r="AG34" t="n">
        <v>10258.985</v>
      </c>
      <c r="AH34" t="n">
        <v>10254.973</v>
      </c>
      <c r="AI34" t="n">
        <v>10096.948</v>
      </c>
      <c r="AJ34" t="n">
        <v>10285.741</v>
      </c>
      <c r="AK34" t="n">
        <v>10171.245</v>
      </c>
      <c r="AL34" t="n">
        <v>11683.471</v>
      </c>
      <c r="AM34" t="n">
        <v>11123.986</v>
      </c>
      <c r="AN34" t="n">
        <v>11867.04</v>
      </c>
      <c r="AO34" t="n">
        <v>7020.497</v>
      </c>
      <c r="AP34" t="n">
        <v>7199.581</v>
      </c>
      <c r="AQ34" t="n">
        <v>8276.317999999999</v>
      </c>
      <c r="AR34" t="n">
        <v>10163.729</v>
      </c>
      <c r="AS34" t="n">
        <v>12319.891</v>
      </c>
      <c r="AT34" t="n">
        <v>14452.349</v>
      </c>
      <c r="AU34" t="n">
        <v>14653.487</v>
      </c>
      <c r="AV34" t="n">
        <v>15154.512</v>
      </c>
      <c r="AW34" t="n">
        <v>27184.102</v>
      </c>
      <c r="AX34" t="n">
        <v>30102.354</v>
      </c>
      <c r="AY34" t="n">
        <v>27380.604</v>
      </c>
      <c r="AZ34" t="n">
        <v>27175.218</v>
      </c>
      <c r="BA34" t="n">
        <v>29502.385</v>
      </c>
      <c r="BB34" t="n">
        <v>27859.258</v>
      </c>
      <c r="BC34" t="n">
        <v>28434.591</v>
      </c>
      <c r="BD34" t="n">
        <v>25814.296</v>
      </c>
      <c r="BE34" t="n">
        <v>25261.432</v>
      </c>
      <c r="BF34" t="n">
        <v>26224.03</v>
      </c>
      <c r="BG34" t="n">
        <v>23700.329</v>
      </c>
      <c r="BH34" t="n">
        <v>24395.849</v>
      </c>
      <c r="BI34" t="n">
        <v>23433.707</v>
      </c>
      <c r="BJ34" t="n">
        <v>23246.27</v>
      </c>
      <c r="BK34" t="n">
        <v>22796.053</v>
      </c>
      <c r="BL34" t="n">
        <v>22099.121</v>
      </c>
      <c r="BM34" t="n">
        <v>22168.363</v>
      </c>
      <c r="BN34" t="n">
        <v>16388.459</v>
      </c>
      <c r="BO34" t="n">
        <v>16176.696</v>
      </c>
      <c r="BP34" t="n">
        <v>15870.438</v>
      </c>
      <c r="BQ34" t="n">
        <v>15337.73</v>
      </c>
      <c r="BR34" t="n">
        <v>13885.536</v>
      </c>
      <c r="BS34" t="n">
        <v>12943.782</v>
      </c>
      <c r="BT34" t="n">
        <v>12694.059</v>
      </c>
      <c r="BU34" t="n">
        <v>12862.161</v>
      </c>
      <c r="BV34" t="n">
        <v>6133.738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2127.275</v>
      </c>
      <c r="F35" t="n">
        <v>2045.462</v>
      </c>
      <c r="G35" t="n">
        <v>1910.671</v>
      </c>
      <c r="H35" t="n">
        <v>1823.236</v>
      </c>
      <c r="I35" t="n">
        <v>1838.162</v>
      </c>
      <c r="J35" t="n">
        <v>1952.484</v>
      </c>
      <c r="K35" t="n">
        <v>1960.678</v>
      </c>
      <c r="L35" t="n">
        <v>2003.849</v>
      </c>
      <c r="M35" t="n">
        <v>2231.563</v>
      </c>
      <c r="N35" t="n">
        <v>2432.784</v>
      </c>
      <c r="O35" t="n">
        <v>2617.829</v>
      </c>
      <c r="P35" t="n">
        <v>2901.933</v>
      </c>
      <c r="Q35" t="n">
        <v>3250.396</v>
      </c>
      <c r="R35" t="n">
        <v>3476.742</v>
      </c>
      <c r="S35" t="n">
        <v>3960.091</v>
      </c>
      <c r="T35" t="n">
        <v>4244.44</v>
      </c>
      <c r="U35" t="n">
        <v>4685.184</v>
      </c>
      <c r="V35" t="n">
        <v>5185.211</v>
      </c>
      <c r="W35" t="n">
        <v>5470.769</v>
      </c>
      <c r="X35" t="n">
        <v>5324.817</v>
      </c>
      <c r="Y35" t="n">
        <v>20440.263</v>
      </c>
      <c r="Z35" t="n">
        <v>22124.108</v>
      </c>
      <c r="AA35" t="n">
        <v>21627.304</v>
      </c>
      <c r="AB35" t="n">
        <v>18898.738</v>
      </c>
      <c r="AC35" t="n">
        <v>17284.01</v>
      </c>
      <c r="AD35" t="n">
        <v>16389.082</v>
      </c>
      <c r="AE35" t="n">
        <v>8201.946</v>
      </c>
      <c r="AF35" t="n">
        <v>12275.7</v>
      </c>
      <c r="AG35" t="n">
        <v>7524.016</v>
      </c>
      <c r="AH35" t="n">
        <v>6195.816</v>
      </c>
      <c r="AI35" t="n">
        <v>7080.348</v>
      </c>
      <c r="AJ35" t="n">
        <v>8017.014</v>
      </c>
      <c r="AK35" t="n">
        <v>8696.817999999999</v>
      </c>
      <c r="AL35" t="n">
        <v>9124.495999999999</v>
      </c>
      <c r="AM35" t="n">
        <v>8340.129000000001</v>
      </c>
      <c r="AN35" t="n">
        <v>7875.024</v>
      </c>
      <c r="AO35" t="n">
        <v>7480.379</v>
      </c>
      <c r="AP35" t="n">
        <v>7549.475</v>
      </c>
      <c r="AQ35" t="n">
        <v>8518.867</v>
      </c>
      <c r="AR35" t="n">
        <v>8121.969</v>
      </c>
      <c r="AS35" t="n">
        <v>9765.821</v>
      </c>
      <c r="AT35" t="n">
        <v>9920.01</v>
      </c>
      <c r="AU35" t="n">
        <v>10344.972</v>
      </c>
      <c r="AV35" t="n">
        <v>17787.081</v>
      </c>
      <c r="AW35" t="n">
        <v>11830.587</v>
      </c>
      <c r="AX35" t="n">
        <v>11230.979</v>
      </c>
      <c r="AY35" t="n">
        <v>15735.334</v>
      </c>
      <c r="AZ35" t="n">
        <v>16741.908</v>
      </c>
      <c r="BA35" t="n">
        <v>16848.355</v>
      </c>
      <c r="BB35" t="n">
        <v>24768.469</v>
      </c>
      <c r="BC35" t="n">
        <v>24544.243</v>
      </c>
      <c r="BD35" t="n">
        <v>22178.006</v>
      </c>
      <c r="BE35" t="n">
        <v>23911.631</v>
      </c>
      <c r="BF35" t="n">
        <v>24027.117</v>
      </c>
      <c r="BG35" t="n">
        <v>25675.055</v>
      </c>
      <c r="BH35" t="n">
        <v>22623.999</v>
      </c>
      <c r="BI35" t="n">
        <v>22966.142</v>
      </c>
      <c r="BJ35" t="n">
        <v>21759.715</v>
      </c>
      <c r="BK35" t="n">
        <v>17486.685</v>
      </c>
      <c r="BL35" t="n">
        <v>17825.954</v>
      </c>
      <c r="BM35" t="n">
        <v>17169.169</v>
      </c>
      <c r="BN35" t="n">
        <v>16980.045</v>
      </c>
      <c r="BO35" t="n">
        <v>21151.386</v>
      </c>
      <c r="BP35" t="n">
        <v>21245.297</v>
      </c>
      <c r="BQ35" t="n">
        <v>21404.166</v>
      </c>
      <c r="BR35" t="n">
        <v>19475.345</v>
      </c>
      <c r="BS35" t="n">
        <v>19313.197</v>
      </c>
      <c r="BT35" t="n">
        <v>19325.749</v>
      </c>
      <c r="BU35" t="n">
        <v>20235.994</v>
      </c>
      <c r="BV35" t="n">
        <v>18994.723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2611.838</v>
      </c>
      <c r="F36" t="n">
        <v>2498.778</v>
      </c>
      <c r="G36" t="n">
        <v>2299.695</v>
      </c>
      <c r="H36" t="n">
        <v>2162.877</v>
      </c>
      <c r="I36" t="n">
        <v>2187.455</v>
      </c>
      <c r="J36" t="n">
        <v>2343.936</v>
      </c>
      <c r="K36" t="n">
        <v>2369.333</v>
      </c>
      <c r="L36" t="n">
        <v>2443.068</v>
      </c>
      <c r="M36" t="n">
        <v>2771.596</v>
      </c>
      <c r="N36" t="n">
        <v>2998.534</v>
      </c>
      <c r="O36" t="n">
        <v>3139.449</v>
      </c>
      <c r="P36" t="n">
        <v>3222.195</v>
      </c>
      <c r="Q36" t="n">
        <v>3604.795</v>
      </c>
      <c r="R36" t="n">
        <v>3864.504</v>
      </c>
      <c r="S36" t="n">
        <v>4403.585</v>
      </c>
      <c r="T36" t="n">
        <v>3858.622</v>
      </c>
      <c r="U36" t="n">
        <v>3857.822</v>
      </c>
      <c r="V36" t="n">
        <v>3948.915</v>
      </c>
      <c r="W36" t="n">
        <v>3934.923</v>
      </c>
      <c r="X36" t="n">
        <v>3496.446</v>
      </c>
      <c r="Y36" t="n">
        <v>6944.544</v>
      </c>
      <c r="Z36" t="n">
        <v>13667.803</v>
      </c>
      <c r="AA36" t="n">
        <v>6888.419</v>
      </c>
      <c r="AB36" t="n">
        <v>8818.723</v>
      </c>
      <c r="AC36" t="n">
        <v>9068.817999999999</v>
      </c>
      <c r="AD36" t="n">
        <v>12403.161</v>
      </c>
      <c r="AE36" t="n">
        <v>14680.405</v>
      </c>
      <c r="AF36" t="n">
        <v>19706.233</v>
      </c>
      <c r="AG36" t="n">
        <v>18164.018</v>
      </c>
      <c r="AH36" t="n">
        <v>19396.304</v>
      </c>
      <c r="AI36" t="n">
        <v>21166.269</v>
      </c>
      <c r="AJ36" t="n">
        <v>27168.695</v>
      </c>
      <c r="AK36" t="n">
        <v>18715.011</v>
      </c>
      <c r="AL36" t="n">
        <v>19779.688</v>
      </c>
      <c r="AM36" t="n">
        <v>19730.542</v>
      </c>
      <c r="AN36" t="n">
        <v>15475.632</v>
      </c>
      <c r="AO36" t="n">
        <v>17544.85</v>
      </c>
      <c r="AP36" t="n">
        <v>16098.903</v>
      </c>
      <c r="AQ36" t="n">
        <v>18001.516</v>
      </c>
      <c r="AR36" t="n">
        <v>14610.701</v>
      </c>
      <c r="AS36" t="n">
        <v>15478.598</v>
      </c>
      <c r="AT36" t="n">
        <v>13431.074</v>
      </c>
      <c r="AU36" t="n">
        <v>14462.693</v>
      </c>
      <c r="AV36" t="n">
        <v>17439.423</v>
      </c>
      <c r="AW36" t="n">
        <v>15953.586</v>
      </c>
      <c r="AX36" t="n">
        <v>14928.041</v>
      </c>
      <c r="AY36" t="n">
        <v>13704.764</v>
      </c>
      <c r="AZ36" t="n">
        <v>14003.057</v>
      </c>
      <c r="BA36" t="n">
        <v>14367.277</v>
      </c>
      <c r="BB36" t="n">
        <v>15634.504</v>
      </c>
      <c r="BC36" t="n">
        <v>13859.382</v>
      </c>
      <c r="BD36" t="n">
        <v>13511.174</v>
      </c>
      <c r="BE36" t="n">
        <v>14271.449</v>
      </c>
      <c r="BF36" t="n">
        <v>17360.461</v>
      </c>
      <c r="BG36" t="n">
        <v>24186.176</v>
      </c>
      <c r="BH36" t="n">
        <v>25984.732</v>
      </c>
      <c r="BI36" t="n">
        <v>25648.629</v>
      </c>
      <c r="BJ36" t="n">
        <v>21342.443</v>
      </c>
      <c r="BK36" t="n">
        <v>14449.383</v>
      </c>
      <c r="BL36" t="n">
        <v>13254.308</v>
      </c>
      <c r="BM36" t="n">
        <v>15272.052</v>
      </c>
      <c r="BN36" t="n">
        <v>12442.536</v>
      </c>
      <c r="BO36" t="n">
        <v>12390.571</v>
      </c>
      <c r="BP36" t="n">
        <v>12738.388</v>
      </c>
      <c r="BQ36" t="n">
        <v>12447.741</v>
      </c>
      <c r="BR36" t="n">
        <v>14212.548</v>
      </c>
      <c r="BS36" t="n">
        <v>12863.45</v>
      </c>
      <c r="BT36" t="n">
        <v>12999.812</v>
      </c>
      <c r="BU36" t="n">
        <v>16690.384</v>
      </c>
      <c r="BV36" t="n">
        <v>13873.898</v>
      </c>
    </row>
    <row r="37">
      <c r="A37" t="inlineStr">
        <is>
          <t>Priacanthidae</t>
        </is>
      </c>
      <c r="B37" t="inlineStr">
        <is>
          <t>Bigeyes, catalufas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99.997</v>
      </c>
      <c r="O37" t="n">
        <v>272.874</v>
      </c>
      <c r="P37" t="n">
        <v>409.184</v>
      </c>
      <c r="Q37" t="n">
        <v>676.931</v>
      </c>
      <c r="R37" t="n">
        <v>995.101</v>
      </c>
      <c r="S37" t="n">
        <v>1222.849</v>
      </c>
      <c r="T37" t="n">
        <v>1398.167</v>
      </c>
      <c r="U37" t="n">
        <v>1562.63</v>
      </c>
      <c r="V37" t="n">
        <v>1712.061</v>
      </c>
      <c r="W37" t="n">
        <v>1838.42</v>
      </c>
      <c r="X37" t="n">
        <v>1956.525</v>
      </c>
      <c r="Y37" t="n">
        <v>1955.306</v>
      </c>
      <c r="Z37" t="n">
        <v>2013.301</v>
      </c>
      <c r="AA37" t="n">
        <v>2103.591</v>
      </c>
      <c r="AB37" t="n">
        <v>2131.903</v>
      </c>
      <c r="AC37" t="n">
        <v>2216.891</v>
      </c>
      <c r="AD37" t="n">
        <v>2213.544</v>
      </c>
      <c r="AE37" t="n">
        <v>2694.59</v>
      </c>
      <c r="AF37" t="n">
        <v>2731.581</v>
      </c>
      <c r="AG37" t="n">
        <v>2806.706</v>
      </c>
      <c r="AH37" t="n">
        <v>3034.242</v>
      </c>
      <c r="AI37" t="n">
        <v>3013.362</v>
      </c>
      <c r="AJ37" t="n">
        <v>3319.963</v>
      </c>
      <c r="AK37" t="n">
        <v>4008.79</v>
      </c>
      <c r="AL37" t="n">
        <v>4900.38</v>
      </c>
      <c r="AM37" t="n">
        <v>5047.051</v>
      </c>
      <c r="AN37" t="n">
        <v>5469.187</v>
      </c>
      <c r="AO37" t="n">
        <v>6352.95</v>
      </c>
      <c r="AP37" t="n">
        <v>7002.628</v>
      </c>
      <c r="AQ37" t="n">
        <v>7343.169</v>
      </c>
      <c r="AR37" t="n">
        <v>8236.814</v>
      </c>
      <c r="AS37" t="n">
        <v>8570.302</v>
      </c>
      <c r="AT37" t="n">
        <v>9315.697</v>
      </c>
      <c r="AU37" t="n">
        <v>10251.032</v>
      </c>
      <c r="AV37" t="n">
        <v>11606.493</v>
      </c>
      <c r="AW37" t="n">
        <v>13238.545</v>
      </c>
      <c r="AX37" t="n">
        <v>13986.294</v>
      </c>
      <c r="AY37" t="n">
        <v>16292.967</v>
      </c>
      <c r="AZ37" t="n">
        <v>17499.324</v>
      </c>
      <c r="BA37" t="n">
        <v>18606.032</v>
      </c>
      <c r="BB37" t="n">
        <v>22738.174</v>
      </c>
      <c r="BC37" t="n">
        <v>22679.937</v>
      </c>
      <c r="BD37" t="n">
        <v>23601.063</v>
      </c>
      <c r="BE37" t="n">
        <v>24326.023</v>
      </c>
      <c r="BF37" t="n">
        <v>24718.277</v>
      </c>
      <c r="BG37" t="n">
        <v>25880.076</v>
      </c>
      <c r="BH37" t="n">
        <v>26369.38</v>
      </c>
      <c r="BI37" t="n">
        <v>27118.558</v>
      </c>
      <c r="BJ37" t="n">
        <v>27541.78</v>
      </c>
      <c r="BK37" t="n">
        <v>28139.699</v>
      </c>
      <c r="BL37" t="n">
        <v>28773.884</v>
      </c>
      <c r="BM37" t="n">
        <v>29421.901</v>
      </c>
      <c r="BN37" t="n">
        <v>29343.295</v>
      </c>
      <c r="BO37" t="n">
        <v>30499.62</v>
      </c>
      <c r="BP37" t="n">
        <v>30403.351</v>
      </c>
      <c r="BQ37" t="n">
        <v>31389.953</v>
      </c>
      <c r="BR37" t="n">
        <v>32539.592</v>
      </c>
      <c r="BS37" t="n">
        <v>32144.369</v>
      </c>
      <c r="BT37" t="n">
        <v>34915.314</v>
      </c>
      <c r="BU37" t="n">
        <v>37029.445</v>
      </c>
      <c r="BV37" t="n">
        <v>33534.853</v>
      </c>
    </row>
    <row r="38">
      <c r="A38" t="inlineStr">
        <is>
          <t>Octopodidae</t>
        </is>
      </c>
      <c r="B38" t="inlineStr">
        <is>
          <t>Octopuses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20.923</v>
      </c>
      <c r="K38" t="n">
        <v>20.923</v>
      </c>
      <c r="L38" t="n">
        <v>20.923</v>
      </c>
      <c r="M38" t="n">
        <v>20.923</v>
      </c>
      <c r="N38" t="n">
        <v>20.923</v>
      </c>
      <c r="O38" t="n">
        <v>62.769</v>
      </c>
      <c r="P38" t="n">
        <v>62.769</v>
      </c>
      <c r="Q38" t="n">
        <v>62.769</v>
      </c>
      <c r="R38" t="n">
        <v>70.61499999999999</v>
      </c>
      <c r="S38" t="n">
        <v>70.61499999999999</v>
      </c>
      <c r="T38" t="n">
        <v>88.062</v>
      </c>
      <c r="U38" t="n">
        <v>90.232</v>
      </c>
      <c r="V38" t="n">
        <v>79.084</v>
      </c>
      <c r="W38" t="n">
        <v>55.828</v>
      </c>
      <c r="X38" t="n">
        <v>58.501</v>
      </c>
      <c r="Y38" t="n">
        <v>816.702</v>
      </c>
      <c r="Z38" t="n">
        <v>940.13</v>
      </c>
      <c r="AA38" t="n">
        <v>5224.835</v>
      </c>
      <c r="AB38" t="n">
        <v>2120.092</v>
      </c>
      <c r="AC38" t="n">
        <v>2108.53</v>
      </c>
      <c r="AD38" t="n">
        <v>3879.977</v>
      </c>
      <c r="AE38" t="n">
        <v>5282.822</v>
      </c>
      <c r="AF38" t="n">
        <v>8829.879000000001</v>
      </c>
      <c r="AG38" t="n">
        <v>8914.978999999999</v>
      </c>
      <c r="AH38" t="n">
        <v>9054.598</v>
      </c>
      <c r="AI38" t="n">
        <v>6931.746</v>
      </c>
      <c r="AJ38" t="n">
        <v>6433.524</v>
      </c>
      <c r="AK38" t="n">
        <v>8188.553</v>
      </c>
      <c r="AL38" t="n">
        <v>9516.364</v>
      </c>
      <c r="AM38" t="n">
        <v>7707.964</v>
      </c>
      <c r="AN38" t="n">
        <v>10722.748</v>
      </c>
      <c r="AO38" t="n">
        <v>12484.323</v>
      </c>
      <c r="AP38" t="n">
        <v>12456.906</v>
      </c>
      <c r="AQ38" t="n">
        <v>12723.423</v>
      </c>
      <c r="AR38" t="n">
        <v>16627.995</v>
      </c>
      <c r="AS38" t="n">
        <v>18486.039</v>
      </c>
      <c r="AT38" t="n">
        <v>16429.726</v>
      </c>
      <c r="AU38" t="n">
        <v>17634.144</v>
      </c>
      <c r="AV38" t="n">
        <v>16625.264</v>
      </c>
      <c r="AW38" t="n">
        <v>16848.349</v>
      </c>
      <c r="AX38" t="n">
        <v>17822.765</v>
      </c>
      <c r="AY38" t="n">
        <v>19079.343</v>
      </c>
      <c r="AZ38" t="n">
        <v>18496.05</v>
      </c>
      <c r="BA38" t="n">
        <v>25367.521</v>
      </c>
      <c r="BB38" t="n">
        <v>19982.652</v>
      </c>
      <c r="BC38" t="n">
        <v>23109.917</v>
      </c>
      <c r="BD38" t="n">
        <v>19889.285</v>
      </c>
      <c r="BE38" t="n">
        <v>20042.715</v>
      </c>
      <c r="BF38" t="n">
        <v>21631.028</v>
      </c>
      <c r="BG38" t="n">
        <v>22030.427</v>
      </c>
      <c r="BH38" t="n">
        <v>26631.59</v>
      </c>
      <c r="BI38" t="n">
        <v>24647.741</v>
      </c>
      <c r="BJ38" t="n">
        <v>21821.433</v>
      </c>
      <c r="BK38" t="n">
        <v>21452.218</v>
      </c>
      <c r="BL38" t="n">
        <v>20587.851</v>
      </c>
      <c r="BM38" t="n">
        <v>19956.673</v>
      </c>
      <c r="BN38" t="n">
        <v>20894.96</v>
      </c>
      <c r="BO38" t="n">
        <v>23990.839</v>
      </c>
      <c r="BP38" t="n">
        <v>25538.286</v>
      </c>
      <c r="BQ38" t="n">
        <v>23681.989</v>
      </c>
      <c r="BR38" t="n">
        <v>20441.968</v>
      </c>
      <c r="BS38" t="n">
        <v>19285.68</v>
      </c>
      <c r="BT38" t="n">
        <v>20914.879</v>
      </c>
      <c r="BU38" t="n">
        <v>19724.14</v>
      </c>
      <c r="BV38" t="n">
        <v>23442.159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2082.067</v>
      </c>
      <c r="F39" t="n">
        <v>2049.59</v>
      </c>
      <c r="G39" t="n">
        <v>2040.315</v>
      </c>
      <c r="H39" t="n">
        <v>2016.403</v>
      </c>
      <c r="I39" t="n">
        <v>3867.755</v>
      </c>
      <c r="J39" t="n">
        <v>5566.656</v>
      </c>
      <c r="K39" t="n">
        <v>5984.587</v>
      </c>
      <c r="L39" t="n">
        <v>6338.637</v>
      </c>
      <c r="M39" t="n">
        <v>6834.621</v>
      </c>
      <c r="N39" t="n">
        <v>7809.046</v>
      </c>
      <c r="O39" t="n">
        <v>10051.738</v>
      </c>
      <c r="P39" t="n">
        <v>10099.143</v>
      </c>
      <c r="Q39" t="n">
        <v>11706.235</v>
      </c>
      <c r="R39" t="n">
        <v>12783.277</v>
      </c>
      <c r="S39" t="n">
        <v>12546.428</v>
      </c>
      <c r="T39" t="n">
        <v>12745.964</v>
      </c>
      <c r="U39" t="n">
        <v>12572.464</v>
      </c>
      <c r="V39" t="n">
        <v>12323.427</v>
      </c>
      <c r="W39" t="n">
        <v>11772.209</v>
      </c>
      <c r="X39" t="n">
        <v>11234.283</v>
      </c>
      <c r="Y39" t="n">
        <v>11145.734</v>
      </c>
      <c r="Z39" t="n">
        <v>10203.7</v>
      </c>
      <c r="AA39" t="n">
        <v>9825.084999999999</v>
      </c>
      <c r="AB39" t="n">
        <v>8654.339</v>
      </c>
      <c r="AC39" t="n">
        <v>8258.028</v>
      </c>
      <c r="AD39" t="n">
        <v>7262.685</v>
      </c>
      <c r="AE39" t="n">
        <v>6429.443</v>
      </c>
      <c r="AF39" t="n">
        <v>5983.795</v>
      </c>
      <c r="AG39" t="n">
        <v>5637.239</v>
      </c>
      <c r="AH39" t="n">
        <v>5342.065</v>
      </c>
      <c r="AI39" t="n">
        <v>5008.822</v>
      </c>
      <c r="AJ39" t="n">
        <v>6641.068</v>
      </c>
      <c r="AK39" t="n">
        <v>7606.549</v>
      </c>
      <c r="AL39" t="n">
        <v>8995.424999999999</v>
      </c>
      <c r="AM39" t="n">
        <v>9123.334000000001</v>
      </c>
      <c r="AN39" t="n">
        <v>9812.192999999999</v>
      </c>
      <c r="AO39" t="n">
        <v>10046.895</v>
      </c>
      <c r="AP39" t="n">
        <v>10590</v>
      </c>
      <c r="AQ39" t="n">
        <v>10735.273</v>
      </c>
      <c r="AR39" t="n">
        <v>10793.785</v>
      </c>
      <c r="AS39" t="n">
        <v>11251.363</v>
      </c>
      <c r="AT39" t="n">
        <v>11247.914</v>
      </c>
      <c r="AU39" t="n">
        <v>11065.548</v>
      </c>
      <c r="AV39" t="n">
        <v>11818.621</v>
      </c>
      <c r="AW39" t="n">
        <v>12211.093</v>
      </c>
      <c r="AX39" t="n">
        <v>11821.926</v>
      </c>
      <c r="AY39" t="n">
        <v>12393.652</v>
      </c>
      <c r="AZ39" t="n">
        <v>12255.234</v>
      </c>
      <c r="BA39" t="n">
        <v>12410.369</v>
      </c>
      <c r="BB39" t="n">
        <v>13757.419</v>
      </c>
      <c r="BC39" t="n">
        <v>12685.925</v>
      </c>
      <c r="BD39" t="n">
        <v>12293.493</v>
      </c>
      <c r="BE39" t="n">
        <v>12240.958</v>
      </c>
      <c r="BF39" t="n">
        <v>12004.456</v>
      </c>
      <c r="BG39" t="n">
        <v>11933.139</v>
      </c>
      <c r="BH39" t="n">
        <v>11947.944</v>
      </c>
      <c r="BI39" t="n">
        <v>12112.018</v>
      </c>
      <c r="BJ39" t="n">
        <v>12413.657</v>
      </c>
      <c r="BK39" t="n">
        <v>12860.659</v>
      </c>
      <c r="BL39" t="n">
        <v>13476.602</v>
      </c>
      <c r="BM39" t="n">
        <v>14078.359</v>
      </c>
      <c r="BN39" t="n">
        <v>15809.323</v>
      </c>
      <c r="BO39" t="n">
        <v>15713.909</v>
      </c>
      <c r="BP39" t="n">
        <v>15226.725</v>
      </c>
      <c r="BQ39" t="n">
        <v>15401.367</v>
      </c>
      <c r="BR39" t="n">
        <v>15845</v>
      </c>
      <c r="BS39" t="n">
        <v>16104.25</v>
      </c>
      <c r="BT39" t="n">
        <v>16736.006</v>
      </c>
      <c r="BU39" t="n">
        <v>19597.535</v>
      </c>
      <c r="BV39" t="n">
        <v>18513.962</v>
      </c>
    </row>
    <row r="40">
      <c r="A40" t="inlineStr">
        <is>
          <t>Sergestidae</t>
        </is>
      </c>
      <c r="B40" t="inlineStr">
        <is>
          <t>Sergestid shrimp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0.001</v>
      </c>
      <c r="W40" t="n">
        <v>0.001</v>
      </c>
      <c r="X40" t="n">
        <v>0.001</v>
      </c>
      <c r="Y40" t="n">
        <v>9694.323</v>
      </c>
      <c r="Z40" t="n">
        <v>10608.764</v>
      </c>
      <c r="AA40" t="n">
        <v>6474.3</v>
      </c>
      <c r="AB40" t="n">
        <v>17145.712</v>
      </c>
      <c r="AC40" t="n">
        <v>13878.282</v>
      </c>
      <c r="AD40" t="n">
        <v>21227.258</v>
      </c>
      <c r="AE40" t="n">
        <v>25875.367</v>
      </c>
      <c r="AF40" t="n">
        <v>21773.362</v>
      </c>
      <c r="AG40" t="n">
        <v>18370.352</v>
      </c>
      <c r="AH40" t="n">
        <v>13122.868</v>
      </c>
      <c r="AI40" t="n">
        <v>13636.241</v>
      </c>
      <c r="AJ40" t="n">
        <v>13723.573</v>
      </c>
      <c r="AK40" t="n">
        <v>20388.157</v>
      </c>
      <c r="AL40" t="n">
        <v>18340.246</v>
      </c>
      <c r="AM40" t="n">
        <v>17496.747</v>
      </c>
      <c r="AN40" t="n">
        <v>17339.462</v>
      </c>
      <c r="AO40" t="n">
        <v>17734.861</v>
      </c>
      <c r="AP40" t="n">
        <v>18645.506</v>
      </c>
      <c r="AQ40" t="n">
        <v>21710.583</v>
      </c>
      <c r="AR40" t="n">
        <v>23305.587</v>
      </c>
      <c r="AS40" t="n">
        <v>21814.323</v>
      </c>
      <c r="AT40" t="n">
        <v>20625.47</v>
      </c>
      <c r="AU40" t="n">
        <v>22397.969</v>
      </c>
      <c r="AV40" t="n">
        <v>20843.782</v>
      </c>
      <c r="AW40" t="n">
        <v>22757.416</v>
      </c>
      <c r="AX40" t="n">
        <v>20643.046</v>
      </c>
      <c r="AY40" t="n">
        <v>19256.886</v>
      </c>
      <c r="AZ40" t="n">
        <v>15690.665</v>
      </c>
      <c r="BA40" t="n">
        <v>15971.882</v>
      </c>
      <c r="BB40" t="n">
        <v>6860.321</v>
      </c>
      <c r="BC40" t="n">
        <v>3405.541</v>
      </c>
      <c r="BD40" t="n">
        <v>3518.721</v>
      </c>
      <c r="BE40" t="n">
        <v>3756.214</v>
      </c>
      <c r="BF40" t="n">
        <v>4431.028</v>
      </c>
      <c r="BG40" t="n">
        <v>5323.161</v>
      </c>
      <c r="BH40" t="n">
        <v>9344.468999999999</v>
      </c>
      <c r="BI40" t="n">
        <v>7777.879</v>
      </c>
      <c r="BJ40" t="n">
        <v>6824.677</v>
      </c>
      <c r="BK40" t="n">
        <v>10237.681</v>
      </c>
      <c r="BL40" t="n">
        <v>9576.76</v>
      </c>
      <c r="BM40" t="n">
        <v>7005.733</v>
      </c>
      <c r="BN40" t="n">
        <v>6056.774</v>
      </c>
      <c r="BO40" t="n">
        <v>3987.809</v>
      </c>
      <c r="BP40" t="n">
        <v>1981.08</v>
      </c>
      <c r="BQ40" t="n">
        <v>2099.375</v>
      </c>
      <c r="BR40" t="n">
        <v>2814.584</v>
      </c>
      <c r="BS40" t="n">
        <v>8336.934999999999</v>
      </c>
      <c r="BT40" t="n">
        <v>8675.014999999999</v>
      </c>
      <c r="BU40" t="n">
        <v>22982.574</v>
      </c>
      <c r="BV40" t="n">
        <v>29238.41</v>
      </c>
    </row>
    <row r="41">
      <c r="A41" t="inlineStr">
        <is>
          <t>Alepes</t>
        </is>
      </c>
      <c r="B41" t="inlineStr">
        <is>
          <t>Crevalles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209.08</v>
      </c>
      <c r="F41" t="n">
        <v>200.945</v>
      </c>
      <c r="G41" t="n">
        <v>188.742</v>
      </c>
      <c r="H41" t="n">
        <v>176.539</v>
      </c>
      <c r="I41" t="n">
        <v>177.352</v>
      </c>
      <c r="J41" t="n">
        <v>189.555</v>
      </c>
      <c r="K41" t="n">
        <v>190.369</v>
      </c>
      <c r="L41" t="n">
        <v>196.064</v>
      </c>
      <c r="M41" t="n">
        <v>222.91</v>
      </c>
      <c r="N41" t="n">
        <v>239.181</v>
      </c>
      <c r="O41" t="n">
        <v>252.198</v>
      </c>
      <c r="P41" t="n">
        <v>262.774</v>
      </c>
      <c r="Q41" t="n">
        <v>292.875</v>
      </c>
      <c r="R41" t="n">
        <v>322.976</v>
      </c>
      <c r="S41" t="n">
        <v>362.026</v>
      </c>
      <c r="T41" t="n">
        <v>323.53</v>
      </c>
      <c r="U41" t="n">
        <v>331.584</v>
      </c>
      <c r="V41" t="n">
        <v>340.542</v>
      </c>
      <c r="W41" t="n">
        <v>347.478</v>
      </c>
      <c r="X41" t="n">
        <v>309.689</v>
      </c>
      <c r="Y41" t="n">
        <v>350.508</v>
      </c>
      <c r="Z41" t="n">
        <v>357.569</v>
      </c>
      <c r="AA41" t="n">
        <v>375.915</v>
      </c>
      <c r="AB41" t="n">
        <v>396.279</v>
      </c>
      <c r="AC41" t="n">
        <v>434.901</v>
      </c>
      <c r="AD41" t="n">
        <v>421.477</v>
      </c>
      <c r="AE41" t="n">
        <v>2702.517</v>
      </c>
      <c r="AF41" t="n">
        <v>3329.096</v>
      </c>
      <c r="AG41" t="n">
        <v>3772.006</v>
      </c>
      <c r="AH41" t="n">
        <v>3870.852</v>
      </c>
      <c r="AI41" t="n">
        <v>15858.173</v>
      </c>
      <c r="AJ41" t="n">
        <v>19388.677</v>
      </c>
      <c r="AK41" t="n">
        <v>16447.775</v>
      </c>
      <c r="AL41" t="n">
        <v>17998.334</v>
      </c>
      <c r="AM41" t="n">
        <v>13169.567</v>
      </c>
      <c r="AN41" t="n">
        <v>11477.733</v>
      </c>
      <c r="AO41" t="n">
        <v>8339.125</v>
      </c>
      <c r="AP41" t="n">
        <v>9621.727000000001</v>
      </c>
      <c r="AQ41" t="n">
        <v>12053.363</v>
      </c>
      <c r="AR41" t="n">
        <v>12066.054</v>
      </c>
      <c r="AS41" t="n">
        <v>12822.261</v>
      </c>
      <c r="AT41" t="n">
        <v>13833.276</v>
      </c>
      <c r="AU41" t="n">
        <v>14086.325</v>
      </c>
      <c r="AV41" t="n">
        <v>14781.179</v>
      </c>
      <c r="AW41" t="n">
        <v>13864.789</v>
      </c>
      <c r="AX41" t="n">
        <v>10881.639</v>
      </c>
      <c r="AY41" t="n">
        <v>11299.627</v>
      </c>
      <c r="AZ41" t="n">
        <v>12594.684</v>
      </c>
      <c r="BA41" t="n">
        <v>11650.038</v>
      </c>
      <c r="BB41" t="n">
        <v>14114.524</v>
      </c>
      <c r="BC41" t="n">
        <v>17508.839</v>
      </c>
      <c r="BD41" t="n">
        <v>17362.341</v>
      </c>
      <c r="BE41" t="n">
        <v>16363.035</v>
      </c>
      <c r="BF41" t="n">
        <v>16595.233</v>
      </c>
      <c r="BG41" t="n">
        <v>16462.98</v>
      </c>
      <c r="BH41" t="n">
        <v>13571.828</v>
      </c>
      <c r="BI41" t="n">
        <v>16116.738</v>
      </c>
      <c r="BJ41" t="n">
        <v>15326.756</v>
      </c>
      <c r="BK41" t="n">
        <v>17344.499</v>
      </c>
      <c r="BL41" t="n">
        <v>13963.656</v>
      </c>
      <c r="BM41" t="n">
        <v>14105.481</v>
      </c>
      <c r="BN41" t="n">
        <v>13714.772</v>
      </c>
      <c r="BO41" t="n">
        <v>15436.904</v>
      </c>
      <c r="BP41" t="n">
        <v>16051.116</v>
      </c>
      <c r="BQ41" t="n">
        <v>14710.622</v>
      </c>
      <c r="BR41" t="n">
        <v>15147.969</v>
      </c>
      <c r="BS41" t="n">
        <v>15688.932</v>
      </c>
      <c r="BT41" t="n">
        <v>14549.333</v>
      </c>
      <c r="BU41" t="n">
        <v>13747.982</v>
      </c>
      <c r="BV41" t="n">
        <v>12885.163</v>
      </c>
    </row>
    <row r="42">
      <c r="A42" t="inlineStr">
        <is>
          <t>Selar crumenophthalmus</t>
        </is>
      </c>
      <c r="B42" t="inlineStr">
        <is>
          <t>Bigeye scad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24881.441</v>
      </c>
      <c r="AZ42" t="n">
        <v>22344.418</v>
      </c>
      <c r="BA42" t="n">
        <v>26878.015</v>
      </c>
      <c r="BB42" t="n">
        <v>27382.658</v>
      </c>
      <c r="BC42" t="n">
        <v>31507.928</v>
      </c>
      <c r="BD42" t="n">
        <v>31585.688</v>
      </c>
      <c r="BE42" t="n">
        <v>31032.769</v>
      </c>
      <c r="BF42" t="n">
        <v>37344.405</v>
      </c>
      <c r="BG42" t="n">
        <v>37045.884</v>
      </c>
      <c r="BH42" t="n">
        <v>34522.078</v>
      </c>
      <c r="BI42" t="n">
        <v>32117.125</v>
      </c>
      <c r="BJ42" t="n">
        <v>29314.558</v>
      </c>
      <c r="BK42" t="n">
        <v>20176.646</v>
      </c>
      <c r="BL42" t="n">
        <v>21693.589</v>
      </c>
      <c r="BM42" t="n">
        <v>17704.361</v>
      </c>
      <c r="BN42" t="n">
        <v>18197.806</v>
      </c>
      <c r="BO42" t="n">
        <v>15450.732</v>
      </c>
      <c r="BP42" t="n">
        <v>17841.553</v>
      </c>
      <c r="BQ42" t="n">
        <v>18819.745</v>
      </c>
      <c r="BR42" t="n">
        <v>18657.93</v>
      </c>
      <c r="BS42" t="n">
        <v>15515.158</v>
      </c>
      <c r="BT42" t="n">
        <v>17530.161</v>
      </c>
      <c r="BU42" t="n">
        <v>17900.675</v>
      </c>
      <c r="BV42" t="n">
        <v>16438.108</v>
      </c>
    </row>
    <row r="43">
      <c r="A43" t="inlineStr">
        <is>
          <t>Penaeus merguiensis</t>
        </is>
      </c>
      <c r="B43" t="inlineStr">
        <is>
          <t>Banana prawn</t>
        </is>
      </c>
      <c r="C43" t="inlineStr">
        <is>
          <t>Shrimps</t>
        </is>
      </c>
      <c r="D43" t="inlineStr">
        <is>
          <t>Crustaceans</t>
        </is>
      </c>
      <c r="E43" t="n">
        <v>40.27</v>
      </c>
      <c r="F43" t="n">
        <v>43.554</v>
      </c>
      <c r="G43" t="n">
        <v>48.934</v>
      </c>
      <c r="H43" t="n">
        <v>53.359</v>
      </c>
      <c r="I43" t="n">
        <v>57.965</v>
      </c>
      <c r="J43" t="n">
        <v>64.151</v>
      </c>
      <c r="K43" t="n">
        <v>69.673</v>
      </c>
      <c r="L43" t="n">
        <v>73.88800000000001</v>
      </c>
      <c r="M43" t="n">
        <v>79.794</v>
      </c>
      <c r="N43" t="n">
        <v>84.26000000000001</v>
      </c>
      <c r="O43" t="n">
        <v>128.27</v>
      </c>
      <c r="P43" t="n">
        <v>219.74</v>
      </c>
      <c r="Q43" t="n">
        <v>209.953</v>
      </c>
      <c r="R43" t="n">
        <v>159.913</v>
      </c>
      <c r="S43" t="n">
        <v>168.272</v>
      </c>
      <c r="T43" t="n">
        <v>190.393</v>
      </c>
      <c r="U43" t="n">
        <v>233.036</v>
      </c>
      <c r="V43" t="n">
        <v>254.565</v>
      </c>
      <c r="W43" t="n">
        <v>335.98</v>
      </c>
      <c r="X43" t="n">
        <v>348.507</v>
      </c>
      <c r="Y43" t="n">
        <v>11582.093</v>
      </c>
      <c r="Z43" t="n">
        <v>12991.099</v>
      </c>
      <c r="AA43" t="n">
        <v>5959.653</v>
      </c>
      <c r="AB43" t="n">
        <v>11174.275</v>
      </c>
      <c r="AC43" t="n">
        <v>10781.722</v>
      </c>
      <c r="AD43" t="n">
        <v>12710.916</v>
      </c>
      <c r="AE43" t="n">
        <v>9902.194</v>
      </c>
      <c r="AF43" t="n">
        <v>9666.319</v>
      </c>
      <c r="AG43" t="n">
        <v>12475.599</v>
      </c>
      <c r="AH43" t="n">
        <v>10999.592</v>
      </c>
      <c r="AI43" t="n">
        <v>11634.921</v>
      </c>
      <c r="AJ43" t="n">
        <v>16720.564</v>
      </c>
      <c r="AK43" t="n">
        <v>11813.689</v>
      </c>
      <c r="AL43" t="n">
        <v>9827.014999999999</v>
      </c>
      <c r="AM43" t="n">
        <v>8749.726000000001</v>
      </c>
      <c r="AN43" t="n">
        <v>12961.034</v>
      </c>
      <c r="AO43" t="n">
        <v>10905.923</v>
      </c>
      <c r="AP43" t="n">
        <v>12414.721</v>
      </c>
      <c r="AQ43" t="n">
        <v>12846.451</v>
      </c>
      <c r="AR43" t="n">
        <v>13720.042</v>
      </c>
      <c r="AS43" t="n">
        <v>10808.799</v>
      </c>
      <c r="AT43" t="n">
        <v>9841.228999999999</v>
      </c>
      <c r="AU43" t="n">
        <v>9476.267</v>
      </c>
      <c r="AV43" t="n">
        <v>10322.445</v>
      </c>
      <c r="AW43" t="n">
        <v>11178.671</v>
      </c>
      <c r="AX43" t="n">
        <v>11447.538</v>
      </c>
      <c r="AY43" t="n">
        <v>9185.5</v>
      </c>
      <c r="AZ43" t="n">
        <v>9218.222</v>
      </c>
      <c r="BA43" t="n">
        <v>10355.915</v>
      </c>
      <c r="BB43" t="n">
        <v>10726.438</v>
      </c>
      <c r="BC43" t="n">
        <v>12932.446</v>
      </c>
      <c r="BD43" t="n">
        <v>12776.253</v>
      </c>
      <c r="BE43" t="n">
        <v>10789.799</v>
      </c>
      <c r="BF43" t="n">
        <v>9651.593999999999</v>
      </c>
      <c r="BG43" t="n">
        <v>11409.939</v>
      </c>
      <c r="BH43" t="n">
        <v>14660.893</v>
      </c>
      <c r="BI43" t="n">
        <v>13419.734</v>
      </c>
      <c r="BJ43" t="n">
        <v>11197.273</v>
      </c>
      <c r="BK43" t="n">
        <v>12714.392</v>
      </c>
      <c r="BL43" t="n">
        <v>10572.074</v>
      </c>
      <c r="BM43" t="n">
        <v>8588.929</v>
      </c>
      <c r="BN43" t="n">
        <v>8026.965</v>
      </c>
      <c r="BO43" t="n">
        <v>10865.293</v>
      </c>
      <c r="BP43" t="n">
        <v>11970.527</v>
      </c>
      <c r="BQ43" t="n">
        <v>8611.234</v>
      </c>
      <c r="BR43" t="n">
        <v>9994.781999999999</v>
      </c>
      <c r="BS43" t="n">
        <v>12661.578</v>
      </c>
      <c r="BT43" t="n">
        <v>10315.949</v>
      </c>
      <c r="BU43" t="n">
        <v>9832.388999999999</v>
      </c>
      <c r="BV43" t="n">
        <v>10334.984</v>
      </c>
    </row>
    <row r="44">
      <c r="A44" t="inlineStr">
        <is>
          <t>Metapenaeus</t>
        </is>
      </c>
      <c r="B44" t="inlineStr">
        <is>
          <t>Indo-Pacific prawns</t>
        </is>
      </c>
      <c r="C44" t="inlineStr">
        <is>
          <t>Shrimps</t>
        </is>
      </c>
      <c r="D44" t="inlineStr">
        <is>
          <t>Crustaceans</t>
        </is>
      </c>
      <c r="E44" t="n">
        <v>0.002</v>
      </c>
      <c r="F44" t="n">
        <v>0.002</v>
      </c>
      <c r="G44" t="n">
        <v>0.003</v>
      </c>
      <c r="H44" t="n">
        <v>0.003</v>
      </c>
      <c r="I44" t="n">
        <v>0.003</v>
      </c>
      <c r="J44" t="n">
        <v>0.003</v>
      </c>
      <c r="K44" t="n">
        <v>0.003</v>
      </c>
      <c r="L44" t="n">
        <v>0.003</v>
      </c>
      <c r="M44" t="n">
        <v>0.003</v>
      </c>
      <c r="N44" t="n">
        <v>0.003</v>
      </c>
      <c r="O44" t="n">
        <v>0.003</v>
      </c>
      <c r="P44" t="n">
        <v>0.004</v>
      </c>
      <c r="Q44" t="n">
        <v>0.004</v>
      </c>
      <c r="R44" t="n">
        <v>0.004</v>
      </c>
      <c r="S44" t="n">
        <v>0.004</v>
      </c>
      <c r="T44" t="n">
        <v>0.004</v>
      </c>
      <c r="U44" t="n">
        <v>0.004</v>
      </c>
      <c r="V44" t="n">
        <v>0.004</v>
      </c>
      <c r="W44" t="n">
        <v>0.004</v>
      </c>
      <c r="X44" t="n">
        <v>0.004</v>
      </c>
      <c r="Y44" t="n">
        <v>11726.31</v>
      </c>
      <c r="Z44" t="n">
        <v>12870.322</v>
      </c>
      <c r="AA44" t="n">
        <v>11984.915</v>
      </c>
      <c r="AB44" t="n">
        <v>19052.658</v>
      </c>
      <c r="AC44" t="n">
        <v>16370.297</v>
      </c>
      <c r="AD44" t="n">
        <v>17690.701</v>
      </c>
      <c r="AE44" t="n">
        <v>2118.765</v>
      </c>
      <c r="AF44" t="n">
        <v>15001.052</v>
      </c>
      <c r="AG44" t="n">
        <v>15389.894</v>
      </c>
      <c r="AH44" t="n">
        <v>13147.761</v>
      </c>
      <c r="AI44" t="n">
        <v>14412.92</v>
      </c>
      <c r="AJ44" t="n">
        <v>15860.88</v>
      </c>
      <c r="AK44" t="n">
        <v>15870.963</v>
      </c>
      <c r="AL44" t="n">
        <v>14096.205</v>
      </c>
      <c r="AM44" t="n">
        <v>11369.504</v>
      </c>
      <c r="AN44" t="n">
        <v>10613.524</v>
      </c>
      <c r="AO44" t="n">
        <v>9520.832</v>
      </c>
      <c r="AP44" t="n">
        <v>11320.941</v>
      </c>
      <c r="AQ44" t="n">
        <v>8799.735000000001</v>
      </c>
      <c r="AR44" t="n">
        <v>8194.227999999999</v>
      </c>
      <c r="AS44" t="n">
        <v>7117.882</v>
      </c>
      <c r="AT44" t="n">
        <v>8112.815</v>
      </c>
      <c r="AU44" t="n">
        <v>7214.124</v>
      </c>
      <c r="AV44" t="n">
        <v>7756.877</v>
      </c>
      <c r="AW44" t="n">
        <v>8390.329</v>
      </c>
      <c r="AX44" t="n">
        <v>8101.361</v>
      </c>
      <c r="AY44" t="n">
        <v>8964.925999999999</v>
      </c>
      <c r="AZ44" t="n">
        <v>8674.130999999999</v>
      </c>
      <c r="BA44" t="n">
        <v>7972.007</v>
      </c>
      <c r="BB44" t="n">
        <v>7307.723</v>
      </c>
      <c r="BC44" t="n">
        <v>11099.772</v>
      </c>
      <c r="BD44" t="n">
        <v>8853.643</v>
      </c>
      <c r="BE44" t="n">
        <v>7904.929</v>
      </c>
      <c r="BF44" t="n">
        <v>7190.411</v>
      </c>
      <c r="BG44" t="n">
        <v>8612.998</v>
      </c>
      <c r="BH44" t="n">
        <v>9054.768</v>
      </c>
      <c r="BI44" t="n">
        <v>9311.659</v>
      </c>
      <c r="BJ44" t="n">
        <v>7871.041</v>
      </c>
      <c r="BK44" t="n">
        <v>8971.954</v>
      </c>
      <c r="BL44" t="n">
        <v>8440.996999999999</v>
      </c>
      <c r="BM44" t="n">
        <v>9221.007</v>
      </c>
      <c r="BN44" t="n">
        <v>17962.435</v>
      </c>
      <c r="BO44" t="n">
        <v>13349.718</v>
      </c>
      <c r="BP44" t="n">
        <v>9614.35</v>
      </c>
      <c r="BQ44" t="n">
        <v>8235.395</v>
      </c>
      <c r="BR44" t="n">
        <v>7721.984</v>
      </c>
      <c r="BS44" t="n">
        <v>11048.291</v>
      </c>
      <c r="BT44" t="n">
        <v>8691.704</v>
      </c>
      <c r="BU44" t="n">
        <v>9160.181</v>
      </c>
      <c r="BV44" t="n">
        <v>12023.083</v>
      </c>
    </row>
    <row r="45">
      <c r="A45" t="inlineStr">
        <is>
          <t>Apogonidae</t>
        </is>
      </c>
      <c r="B45" t="inlineStr">
        <is>
          <t>Cardinalfishes</t>
        </is>
      </c>
      <c r="C45" t="inlineStr">
        <is>
          <t>Small reef assoc. fish (&lt;30 cm)</t>
        </is>
      </c>
      <c r="D45" t="inlineStr">
        <is>
          <t>Perch-likes</t>
        </is>
      </c>
      <c r="E45" t="n">
        <v>958.8390000000001</v>
      </c>
      <c r="F45" t="n">
        <v>966.697</v>
      </c>
      <c r="G45" t="n">
        <v>1285.47</v>
      </c>
      <c r="H45" t="n">
        <v>1144.654</v>
      </c>
      <c r="I45" t="n">
        <v>994.455</v>
      </c>
      <c r="J45" t="n">
        <v>1005.786</v>
      </c>
      <c r="K45" t="n">
        <v>1017.268</v>
      </c>
      <c r="L45" t="n">
        <v>988.234</v>
      </c>
      <c r="M45" t="n">
        <v>1070.52</v>
      </c>
      <c r="N45" t="n">
        <v>1052.212</v>
      </c>
      <c r="O45" t="n">
        <v>1397.277</v>
      </c>
      <c r="P45" t="n">
        <v>1794.918</v>
      </c>
      <c r="Q45" t="n">
        <v>1845.697</v>
      </c>
      <c r="R45" t="n">
        <v>2721.187</v>
      </c>
      <c r="S45" t="n">
        <v>2557.293</v>
      </c>
      <c r="T45" t="n">
        <v>3209.778</v>
      </c>
      <c r="U45" t="n">
        <v>3735.975</v>
      </c>
      <c r="V45" t="n">
        <v>3613.257</v>
      </c>
      <c r="W45" t="n">
        <v>3867.773</v>
      </c>
      <c r="X45" t="n">
        <v>3424.2</v>
      </c>
      <c r="Y45" t="n">
        <v>4443.52</v>
      </c>
      <c r="Z45" t="n">
        <v>5023.655</v>
      </c>
      <c r="AA45" t="n">
        <v>5008.48</v>
      </c>
      <c r="AB45" t="n">
        <v>4079.891</v>
      </c>
      <c r="AC45" t="n">
        <v>5022.561</v>
      </c>
      <c r="AD45" t="n">
        <v>4346.4</v>
      </c>
      <c r="AE45" t="n">
        <v>3840.178</v>
      </c>
      <c r="AF45" t="n">
        <v>4919.053</v>
      </c>
      <c r="AG45" t="n">
        <v>5085.822</v>
      </c>
      <c r="AH45" t="n">
        <v>4616.617</v>
      </c>
      <c r="AI45" t="n">
        <v>3663.371</v>
      </c>
      <c r="AJ45" t="n">
        <v>5481.066</v>
      </c>
      <c r="AK45" t="n">
        <v>4011.953</v>
      </c>
      <c r="AL45" t="n">
        <v>4580.443</v>
      </c>
      <c r="AM45" t="n">
        <v>3969.74</v>
      </c>
      <c r="AN45" t="n">
        <v>4565.049</v>
      </c>
      <c r="AO45" t="n">
        <v>4373.148</v>
      </c>
      <c r="AP45" t="n">
        <v>8702.944</v>
      </c>
      <c r="AQ45" t="n">
        <v>8239.431</v>
      </c>
      <c r="AR45" t="n">
        <v>11133.736</v>
      </c>
      <c r="AS45" t="n">
        <v>13359.405</v>
      </c>
      <c r="AT45" t="n">
        <v>12104.324</v>
      </c>
      <c r="AU45" t="n">
        <v>10632.721</v>
      </c>
      <c r="AV45" t="n">
        <v>11557.823</v>
      </c>
      <c r="AW45" t="n">
        <v>12464.725</v>
      </c>
      <c r="AX45" t="n">
        <v>11611.463</v>
      </c>
      <c r="AY45" t="n">
        <v>10522.93</v>
      </c>
      <c r="AZ45" t="n">
        <v>9806.153</v>
      </c>
      <c r="BA45" t="n">
        <v>11368.717</v>
      </c>
      <c r="BB45" t="n">
        <v>12278.563</v>
      </c>
      <c r="BC45" t="n">
        <v>12985.249</v>
      </c>
      <c r="BD45" t="n">
        <v>13389.873</v>
      </c>
      <c r="BE45" t="n">
        <v>14093.554</v>
      </c>
      <c r="BF45" t="n">
        <v>13688.85</v>
      </c>
      <c r="BG45" t="n">
        <v>12316.809</v>
      </c>
      <c r="BH45" t="n">
        <v>13493.715</v>
      </c>
      <c r="BI45" t="n">
        <v>12321.616</v>
      </c>
      <c r="BJ45" t="n">
        <v>12550.193</v>
      </c>
      <c r="BK45" t="n">
        <v>11455.922</v>
      </c>
      <c r="BL45" t="n">
        <v>10807.866</v>
      </c>
      <c r="BM45" t="n">
        <v>11790.635</v>
      </c>
      <c r="BN45" t="n">
        <v>12362.66</v>
      </c>
      <c r="BO45" t="n">
        <v>13427.806</v>
      </c>
      <c r="BP45" t="n">
        <v>13632.915</v>
      </c>
      <c r="BQ45" t="n">
        <v>12849.436</v>
      </c>
      <c r="BR45" t="n">
        <v>13327.897</v>
      </c>
      <c r="BS45" t="n">
        <v>13704.794</v>
      </c>
      <c r="BT45" t="n">
        <v>12986.79</v>
      </c>
      <c r="BU45" t="n">
        <v>12999.175</v>
      </c>
      <c r="BV45" t="n">
        <v>12047.433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112.642</v>
      </c>
      <c r="F46" t="n">
        <v>113.247</v>
      </c>
      <c r="G46" t="n">
        <v>118.654</v>
      </c>
      <c r="H46" t="n">
        <v>121.001</v>
      </c>
      <c r="I46" t="n">
        <v>123.241</v>
      </c>
      <c r="J46" t="n">
        <v>128.172</v>
      </c>
      <c r="K46" t="n">
        <v>131.079</v>
      </c>
      <c r="L46" t="n">
        <v>131.133</v>
      </c>
      <c r="M46" t="n">
        <v>133.813</v>
      </c>
      <c r="N46" t="n">
        <v>133.72</v>
      </c>
      <c r="O46" t="n">
        <v>137.91</v>
      </c>
      <c r="P46" t="n">
        <v>224.153</v>
      </c>
      <c r="Q46" t="n">
        <v>203.428</v>
      </c>
      <c r="R46" t="n">
        <v>147.323</v>
      </c>
      <c r="S46" t="n">
        <v>147.536</v>
      </c>
      <c r="T46" t="n">
        <v>93.14</v>
      </c>
      <c r="U46" t="n">
        <v>94.13</v>
      </c>
      <c r="V46" t="n">
        <v>95.06399999999999</v>
      </c>
      <c r="W46" t="n">
        <v>95.94199999999999</v>
      </c>
      <c r="X46" t="n">
        <v>96.76000000000001</v>
      </c>
      <c r="Y46" t="n">
        <v>18893.792</v>
      </c>
      <c r="Z46" t="n">
        <v>20916.382</v>
      </c>
      <c r="AA46" t="n">
        <v>11090.295</v>
      </c>
      <c r="AB46" t="n">
        <v>6651.383</v>
      </c>
      <c r="AC46" t="n">
        <v>5324.891</v>
      </c>
      <c r="AD46" t="n">
        <v>6370.975</v>
      </c>
      <c r="AE46" t="n">
        <v>5918.109</v>
      </c>
      <c r="AF46" t="n">
        <v>2979.07</v>
      </c>
      <c r="AG46" t="n">
        <v>5342.343</v>
      </c>
      <c r="AH46" t="n">
        <v>4485.242</v>
      </c>
      <c r="AI46" t="n">
        <v>3235.411</v>
      </c>
      <c r="AJ46" t="n">
        <v>3181.932</v>
      </c>
      <c r="AK46" t="n">
        <v>5986.83</v>
      </c>
      <c r="AL46" t="n">
        <v>4557.981</v>
      </c>
      <c r="AM46" t="n">
        <v>4079.676</v>
      </c>
      <c r="AN46" t="n">
        <v>6982.029</v>
      </c>
      <c r="AO46" t="n">
        <v>6681.89</v>
      </c>
      <c r="AP46" t="n">
        <v>6560.27</v>
      </c>
      <c r="AQ46" t="n">
        <v>5399.457</v>
      </c>
      <c r="AR46" t="n">
        <v>10862.379</v>
      </c>
      <c r="AS46" t="n">
        <v>6550.219</v>
      </c>
      <c r="AT46" t="n">
        <v>8262.297</v>
      </c>
      <c r="AU46" t="n">
        <v>8287.821</v>
      </c>
      <c r="AV46" t="n">
        <v>4526.347</v>
      </c>
      <c r="AW46" t="n">
        <v>4193.556</v>
      </c>
      <c r="AX46" t="n">
        <v>4410.329</v>
      </c>
      <c r="AY46" t="n">
        <v>4468.991</v>
      </c>
      <c r="AZ46" t="n">
        <v>4368.588</v>
      </c>
      <c r="BA46" t="n">
        <v>4693.813</v>
      </c>
      <c r="BB46" t="n">
        <v>6605.566</v>
      </c>
      <c r="BC46" t="n">
        <v>3748.125</v>
      </c>
      <c r="BD46" t="n">
        <v>3771.715</v>
      </c>
      <c r="BE46" t="n">
        <v>3146.937</v>
      </c>
      <c r="BF46" t="n">
        <v>4192.532</v>
      </c>
      <c r="BG46" t="n">
        <v>7147.191</v>
      </c>
      <c r="BH46" t="n">
        <v>6501.295</v>
      </c>
      <c r="BI46" t="n">
        <v>6960.013</v>
      </c>
      <c r="BJ46" t="n">
        <v>6785.894</v>
      </c>
      <c r="BK46" t="n">
        <v>7658.122</v>
      </c>
      <c r="BL46" t="n">
        <v>10803.222</v>
      </c>
      <c r="BM46" t="n">
        <v>11757.985</v>
      </c>
      <c r="BN46" t="n">
        <v>18709.244</v>
      </c>
      <c r="BO46" t="n">
        <v>20585.443</v>
      </c>
      <c r="BP46" t="n">
        <v>24167.289</v>
      </c>
      <c r="BQ46" t="n">
        <v>26985.579</v>
      </c>
      <c r="BR46" t="n">
        <v>23538.474</v>
      </c>
      <c r="BS46" t="n">
        <v>24138.817</v>
      </c>
      <c r="BT46" t="n">
        <v>25415.189</v>
      </c>
      <c r="BU46" t="n">
        <v>29763.144</v>
      </c>
      <c r="BV46" t="n">
        <v>23668.806</v>
      </c>
    </row>
    <row r="47">
      <c r="A47" t="inlineStr">
        <is>
          <t>Trichiurus lepturus</t>
        </is>
      </c>
      <c r="B47" t="inlineStr">
        <is>
          <t>Largehead hairtail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467.749</v>
      </c>
      <c r="F47" t="n">
        <v>469.263</v>
      </c>
      <c r="G47" t="n">
        <v>621.271</v>
      </c>
      <c r="H47" t="n">
        <v>551.9</v>
      </c>
      <c r="I47" t="n">
        <v>474.077</v>
      </c>
      <c r="J47" t="n">
        <v>474.036</v>
      </c>
      <c r="K47" t="n">
        <v>485.198</v>
      </c>
      <c r="L47" t="n">
        <v>482.148</v>
      </c>
      <c r="M47" t="n">
        <v>523.066</v>
      </c>
      <c r="N47" t="n">
        <v>504.666</v>
      </c>
      <c r="O47" t="n">
        <v>674.345</v>
      </c>
      <c r="P47" t="n">
        <v>861.772</v>
      </c>
      <c r="Q47" t="n">
        <v>884.802</v>
      </c>
      <c r="R47" t="n">
        <v>1342.325</v>
      </c>
      <c r="S47" t="n">
        <v>1254.309</v>
      </c>
      <c r="T47" t="n">
        <v>1474.902</v>
      </c>
      <c r="U47" t="n">
        <v>1724.724</v>
      </c>
      <c r="V47" t="n">
        <v>1619.877</v>
      </c>
      <c r="W47" t="n">
        <v>1713.297</v>
      </c>
      <c r="X47" t="n">
        <v>1490.393</v>
      </c>
      <c r="Y47" t="n">
        <v>5501.596</v>
      </c>
      <c r="Z47" t="n">
        <v>5936.592</v>
      </c>
      <c r="AA47" t="n">
        <v>6132.097</v>
      </c>
      <c r="AB47" t="n">
        <v>7238.913</v>
      </c>
      <c r="AC47" t="n">
        <v>8292.611000000001</v>
      </c>
      <c r="AD47" t="n">
        <v>8841.475</v>
      </c>
      <c r="AE47" t="n">
        <v>9747.348</v>
      </c>
      <c r="AF47" t="n">
        <v>12407.575</v>
      </c>
      <c r="AG47" t="n">
        <v>11640.098</v>
      </c>
      <c r="AH47" t="n">
        <v>9592.946</v>
      </c>
      <c r="AI47" t="n">
        <v>8393.089</v>
      </c>
      <c r="AJ47" t="n">
        <v>10200.417</v>
      </c>
      <c r="AK47" t="n">
        <v>7902.639</v>
      </c>
      <c r="AL47" t="n">
        <v>6161.407</v>
      </c>
      <c r="AM47" t="n">
        <v>5686.065</v>
      </c>
      <c r="AN47" t="n">
        <v>6001.124</v>
      </c>
      <c r="AO47" t="n">
        <v>5670.022</v>
      </c>
      <c r="AP47" t="n">
        <v>8721.489</v>
      </c>
      <c r="AQ47" t="n">
        <v>7993.92</v>
      </c>
      <c r="AR47" t="n">
        <v>8501.651</v>
      </c>
      <c r="AS47" t="n">
        <v>9391.081</v>
      </c>
      <c r="AT47" t="n">
        <v>7333.002</v>
      </c>
      <c r="AU47" t="n">
        <v>5985.417</v>
      </c>
      <c r="AV47" t="n">
        <v>7029.556</v>
      </c>
      <c r="AW47" t="n">
        <v>7967.172</v>
      </c>
      <c r="AX47" t="n">
        <v>9299.305</v>
      </c>
      <c r="AY47" t="n">
        <v>7573.419</v>
      </c>
      <c r="AZ47" t="n">
        <v>8471.155000000001</v>
      </c>
      <c r="BA47" t="n">
        <v>7114.057</v>
      </c>
      <c r="BB47" t="n">
        <v>11730.66</v>
      </c>
      <c r="BC47" t="n">
        <v>13123.967</v>
      </c>
      <c r="BD47" t="n">
        <v>13530.905</v>
      </c>
      <c r="BE47" t="n">
        <v>15567.408</v>
      </c>
      <c r="BF47" t="n">
        <v>15062.528</v>
      </c>
      <c r="BG47" t="n">
        <v>14927.616</v>
      </c>
      <c r="BH47" t="n">
        <v>14219.054</v>
      </c>
      <c r="BI47" t="n">
        <v>12849.434</v>
      </c>
      <c r="BJ47" t="n">
        <v>12434.108</v>
      </c>
      <c r="BK47" t="n">
        <v>8807.448</v>
      </c>
      <c r="BL47" t="n">
        <v>7909.604</v>
      </c>
      <c r="BM47" t="n">
        <v>9620.545</v>
      </c>
      <c r="BN47" t="n">
        <v>12966.601</v>
      </c>
      <c r="BO47" t="n">
        <v>10964.402</v>
      </c>
      <c r="BP47" t="n">
        <v>12109.134</v>
      </c>
      <c r="BQ47" t="n">
        <v>11322.197</v>
      </c>
      <c r="BR47" t="n">
        <v>8757.762000000001</v>
      </c>
      <c r="BS47" t="n">
        <v>7429.39</v>
      </c>
      <c r="BT47" t="n">
        <v>9409.424000000001</v>
      </c>
      <c r="BU47" t="n">
        <v>10132.351</v>
      </c>
      <c r="BV47" t="n">
        <v>8488.587</v>
      </c>
    </row>
    <row r="48">
      <c r="A48" t="inlineStr">
        <is>
          <t>Euthynnus affinis</t>
        </is>
      </c>
      <c r="B48" t="inlineStr">
        <is>
          <t>Kawakawa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0.005</v>
      </c>
      <c r="F48" t="n">
        <v>0.006</v>
      </c>
      <c r="G48" t="n">
        <v>0.006</v>
      </c>
      <c r="H48" t="n">
        <v>0.006</v>
      </c>
      <c r="I48" t="n">
        <v>0.007</v>
      </c>
      <c r="J48" t="n">
        <v>0.007</v>
      </c>
      <c r="K48" t="n">
        <v>0.007</v>
      </c>
      <c r="L48" t="n">
        <v>29.209</v>
      </c>
      <c r="M48" t="n">
        <v>29.21</v>
      </c>
      <c r="N48" t="n">
        <v>29.209</v>
      </c>
      <c r="O48" t="n">
        <v>43.679</v>
      </c>
      <c r="P48" t="n">
        <v>43.68</v>
      </c>
      <c r="Q48" t="n">
        <v>43.679</v>
      </c>
      <c r="R48" t="n">
        <v>29.208</v>
      </c>
      <c r="S48" t="n">
        <v>72.879</v>
      </c>
      <c r="T48" t="n">
        <v>87.348</v>
      </c>
      <c r="U48" t="n">
        <v>116.549</v>
      </c>
      <c r="V48" t="n">
        <v>145.752</v>
      </c>
      <c r="W48" t="n">
        <v>116.549</v>
      </c>
      <c r="X48" t="n">
        <v>87.34699999999999</v>
      </c>
      <c r="Y48" t="n">
        <v>2499.075</v>
      </c>
      <c r="Z48" t="n">
        <v>3391.769</v>
      </c>
      <c r="AA48" t="n">
        <v>3351.325</v>
      </c>
      <c r="AB48" t="n">
        <v>4006.664</v>
      </c>
      <c r="AC48" t="n">
        <v>4962.307</v>
      </c>
      <c r="AD48" t="n">
        <v>5848.002</v>
      </c>
      <c r="AE48" t="n">
        <v>5060.26</v>
      </c>
      <c r="AF48" t="n">
        <v>6183.185</v>
      </c>
      <c r="AG48" t="n">
        <v>4704.219</v>
      </c>
      <c r="AH48" t="n">
        <v>2091.282</v>
      </c>
      <c r="AI48" t="n">
        <v>2457.097</v>
      </c>
      <c r="AJ48" t="n">
        <v>4784.401</v>
      </c>
      <c r="AK48" t="n">
        <v>11543.44</v>
      </c>
      <c r="AL48" t="n">
        <v>14200.44</v>
      </c>
      <c r="AM48" t="n">
        <v>13789.698</v>
      </c>
      <c r="AN48" t="n">
        <v>16278.952</v>
      </c>
      <c r="AO48" t="n">
        <v>18608.759</v>
      </c>
      <c r="AP48" t="n">
        <v>18031.107</v>
      </c>
      <c r="AQ48" t="n">
        <v>11535.079</v>
      </c>
      <c r="AR48" t="n">
        <v>14014.04</v>
      </c>
      <c r="AS48" t="n">
        <v>14867.915</v>
      </c>
      <c r="AT48" t="n">
        <v>13771.309</v>
      </c>
      <c r="AU48" t="n">
        <v>18958.008</v>
      </c>
      <c r="AV48" t="n">
        <v>14506.432</v>
      </c>
      <c r="AW48" t="n">
        <v>13937.185</v>
      </c>
      <c r="AX48" t="n">
        <v>9759.209999999999</v>
      </c>
      <c r="AY48" t="n">
        <v>9405.049999999999</v>
      </c>
      <c r="AZ48" t="n">
        <v>8269.029</v>
      </c>
      <c r="BA48" t="n">
        <v>11179.277</v>
      </c>
      <c r="BB48" t="n">
        <v>13819.162</v>
      </c>
      <c r="BC48" t="n">
        <v>12858.602</v>
      </c>
      <c r="BD48" t="n">
        <v>7660.127</v>
      </c>
      <c r="BE48" t="n">
        <v>7899.217</v>
      </c>
      <c r="BF48" t="n">
        <v>6933.61</v>
      </c>
      <c r="BG48" t="n">
        <v>9024.703</v>
      </c>
      <c r="BH48" t="n">
        <v>12377.998</v>
      </c>
      <c r="BI48" t="n">
        <v>15336.261</v>
      </c>
      <c r="BJ48" t="n">
        <v>11972.773</v>
      </c>
      <c r="BK48" t="n">
        <v>8386.834999999999</v>
      </c>
      <c r="BL48" t="n">
        <v>7809.988</v>
      </c>
      <c r="BM48" t="n">
        <v>7656.812</v>
      </c>
      <c r="BN48" t="n">
        <v>6706.295</v>
      </c>
      <c r="BO48" t="n">
        <v>7823.778</v>
      </c>
      <c r="BP48" t="n">
        <v>8777.057000000001</v>
      </c>
      <c r="BQ48" t="n">
        <v>8671.42</v>
      </c>
      <c r="BR48" t="n">
        <v>8500.066999999999</v>
      </c>
      <c r="BS48" t="n">
        <v>6949.12</v>
      </c>
      <c r="BT48" t="n">
        <v>6149.732</v>
      </c>
      <c r="BU48" t="n">
        <v>5886.725</v>
      </c>
      <c r="BV48" t="n">
        <v>5474.985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0.001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8.734</v>
      </c>
      <c r="L49" t="n">
        <v>22.474</v>
      </c>
      <c r="M49" t="n">
        <v>27.305</v>
      </c>
      <c r="N49" t="n">
        <v>73.339</v>
      </c>
      <c r="O49" t="n">
        <v>163.628</v>
      </c>
      <c r="P49" t="n">
        <v>260.841</v>
      </c>
      <c r="Q49" t="n">
        <v>390.376</v>
      </c>
      <c r="R49" t="n">
        <v>554.274</v>
      </c>
      <c r="S49" t="n">
        <v>664.923</v>
      </c>
      <c r="T49" t="n">
        <v>1686.034</v>
      </c>
      <c r="U49" t="n">
        <v>2308.568</v>
      </c>
      <c r="V49" t="n">
        <v>2731.018</v>
      </c>
      <c r="W49" t="n">
        <v>2908.491</v>
      </c>
      <c r="X49" t="n">
        <v>3108.034</v>
      </c>
      <c r="Y49" t="n">
        <v>4092.414</v>
      </c>
      <c r="Z49" t="n">
        <v>3470.623</v>
      </c>
      <c r="AA49" t="n">
        <v>3663.382</v>
      </c>
      <c r="AB49" t="n">
        <v>3257.754</v>
      </c>
      <c r="AC49" t="n">
        <v>3209.581</v>
      </c>
      <c r="AD49" t="n">
        <v>3176.31</v>
      </c>
      <c r="AE49" t="n">
        <v>2048.967</v>
      </c>
      <c r="AF49" t="n">
        <v>2078.516</v>
      </c>
      <c r="AG49" t="n">
        <v>2171.16</v>
      </c>
      <c r="AH49" t="n">
        <v>2199.82</v>
      </c>
      <c r="AI49" t="n">
        <v>2063.464</v>
      </c>
      <c r="AJ49" t="n">
        <v>2623.032</v>
      </c>
      <c r="AK49" t="n">
        <v>2974.385</v>
      </c>
      <c r="AL49" t="n">
        <v>3608.353</v>
      </c>
      <c r="AM49" t="n">
        <v>3577.45</v>
      </c>
      <c r="AN49" t="n">
        <v>3884.386</v>
      </c>
      <c r="AO49" t="n">
        <v>3809.726</v>
      </c>
      <c r="AP49" t="n">
        <v>4161.952</v>
      </c>
      <c r="AQ49" t="n">
        <v>4353.505</v>
      </c>
      <c r="AR49" t="n">
        <v>4694.415</v>
      </c>
      <c r="AS49" t="n">
        <v>4964.126</v>
      </c>
      <c r="AT49" t="n">
        <v>5186.499</v>
      </c>
      <c r="AU49" t="n">
        <v>5529.991</v>
      </c>
      <c r="AV49" t="n">
        <v>6119.906</v>
      </c>
      <c r="AW49" t="n">
        <v>6705.143</v>
      </c>
      <c r="AX49" t="n">
        <v>7192.336</v>
      </c>
      <c r="AY49" t="n">
        <v>8297.233</v>
      </c>
      <c r="AZ49" t="n">
        <v>8820.634</v>
      </c>
      <c r="BA49" t="n">
        <v>9333.384</v>
      </c>
      <c r="BB49" t="n">
        <v>11328.831</v>
      </c>
      <c r="BC49" t="n">
        <v>11193.549</v>
      </c>
      <c r="BD49" t="n">
        <v>11537.555</v>
      </c>
      <c r="BE49" t="n">
        <v>11846.399</v>
      </c>
      <c r="BF49" t="n">
        <v>11990.799</v>
      </c>
      <c r="BG49" t="n">
        <v>12476.357</v>
      </c>
      <c r="BH49" t="n">
        <v>12704.195</v>
      </c>
      <c r="BI49" t="n">
        <v>13067.521</v>
      </c>
      <c r="BJ49" t="n">
        <v>13359.168</v>
      </c>
      <c r="BK49" t="n">
        <v>13677.323</v>
      </c>
      <c r="BL49" t="n">
        <v>14095.301</v>
      </c>
      <c r="BM49" t="n">
        <v>14481.968</v>
      </c>
      <c r="BN49" t="n">
        <v>14717.759</v>
      </c>
      <c r="BO49" t="n">
        <v>15205.789</v>
      </c>
      <c r="BP49" t="n">
        <v>15109.995</v>
      </c>
      <c r="BQ49" t="n">
        <v>15570.526</v>
      </c>
      <c r="BR49" t="n">
        <v>16157.618</v>
      </c>
      <c r="BS49" t="n">
        <v>17058.782</v>
      </c>
      <c r="BT49" t="n">
        <v>17245.642</v>
      </c>
      <c r="BU49" t="n">
        <v>18269.039</v>
      </c>
      <c r="BV49" t="n">
        <v>16787.639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3963.411</v>
      </c>
      <c r="F50" t="n">
        <v>3870.572</v>
      </c>
      <c r="G50" t="n">
        <v>4138.035</v>
      </c>
      <c r="H50" t="n">
        <v>4539.206</v>
      </c>
      <c r="I50" t="n">
        <v>4133.641</v>
      </c>
      <c r="J50" t="n">
        <v>3351.326</v>
      </c>
      <c r="K50" t="n">
        <v>3402.039</v>
      </c>
      <c r="L50" t="n">
        <v>6025.835</v>
      </c>
      <c r="M50" t="n">
        <v>6343.333</v>
      </c>
      <c r="N50" t="n">
        <v>6591.984</v>
      </c>
      <c r="O50" t="n">
        <v>10511.744</v>
      </c>
      <c r="P50" t="n">
        <v>6265.209</v>
      </c>
      <c r="Q50" t="n">
        <v>6453.694</v>
      </c>
      <c r="R50" t="n">
        <v>6584.039</v>
      </c>
      <c r="S50" t="n">
        <v>5248.922</v>
      </c>
      <c r="T50" t="n">
        <v>13554.7</v>
      </c>
      <c r="U50" t="n">
        <v>14722.326</v>
      </c>
      <c r="V50" t="n">
        <v>6683.799</v>
      </c>
      <c r="W50" t="n">
        <v>8125.811</v>
      </c>
      <c r="X50" t="n">
        <v>10795.661</v>
      </c>
      <c r="Y50" t="n">
        <v>8956.013000000001</v>
      </c>
      <c r="Z50" t="n">
        <v>9113.514999999999</v>
      </c>
      <c r="AA50" t="n">
        <v>10501.95</v>
      </c>
      <c r="AB50" t="n">
        <v>11694.161</v>
      </c>
      <c r="AC50" t="n">
        <v>9722.072</v>
      </c>
      <c r="AD50" t="n">
        <v>10038.891</v>
      </c>
      <c r="AE50" t="n">
        <v>3801.191</v>
      </c>
      <c r="AF50" t="n">
        <v>6152.992</v>
      </c>
      <c r="AG50" t="n">
        <v>5699.716</v>
      </c>
      <c r="AH50" t="n">
        <v>4515.22</v>
      </c>
      <c r="AI50" t="n">
        <v>4618.917</v>
      </c>
      <c r="AJ50" t="n">
        <v>4654.938</v>
      </c>
      <c r="AK50" t="n">
        <v>3875.659</v>
      </c>
      <c r="AL50" t="n">
        <v>3791.535</v>
      </c>
      <c r="AM50" t="n">
        <v>3845.825</v>
      </c>
      <c r="AN50" t="n">
        <v>5098.375</v>
      </c>
      <c r="AO50" t="n">
        <v>8058.458</v>
      </c>
      <c r="AP50" t="n">
        <v>8868.669</v>
      </c>
      <c r="AQ50" t="n">
        <v>6508.082</v>
      </c>
      <c r="AR50" t="n">
        <v>6942.529</v>
      </c>
      <c r="AS50" t="n">
        <v>5980.717</v>
      </c>
      <c r="AT50" t="n">
        <v>4393.119</v>
      </c>
      <c r="AU50" t="n">
        <v>3727.408</v>
      </c>
      <c r="AV50" t="n">
        <v>3981.184</v>
      </c>
      <c r="AW50" t="n">
        <v>8262.442999999999</v>
      </c>
      <c r="AX50" t="n">
        <v>6804.304</v>
      </c>
      <c r="AY50" t="n">
        <v>5126.795</v>
      </c>
      <c r="AZ50" t="n">
        <v>5306.281</v>
      </c>
      <c r="BA50" t="n">
        <v>4571.699</v>
      </c>
      <c r="BB50" t="n">
        <v>8172.359</v>
      </c>
      <c r="BC50" t="n">
        <v>9675.040000000001</v>
      </c>
      <c r="BD50" t="n">
        <v>8374.137000000001</v>
      </c>
      <c r="BE50" t="n">
        <v>11048.905</v>
      </c>
      <c r="BF50" t="n">
        <v>14327.668</v>
      </c>
      <c r="BG50" t="n">
        <v>11394.503</v>
      </c>
      <c r="BH50" t="n">
        <v>5460.427</v>
      </c>
      <c r="BI50" t="n">
        <v>5638.468</v>
      </c>
      <c r="BJ50" t="n">
        <v>4444.187</v>
      </c>
      <c r="BK50" t="n">
        <v>4414.421</v>
      </c>
      <c r="BL50" t="n">
        <v>3843.254</v>
      </c>
      <c r="BM50" t="n">
        <v>3272.657</v>
      </c>
      <c r="BN50" t="n">
        <v>2461.402</v>
      </c>
      <c r="BO50" t="n">
        <v>3578.858</v>
      </c>
      <c r="BP50" t="n">
        <v>4597.361</v>
      </c>
      <c r="BQ50" t="n">
        <v>4151.907</v>
      </c>
      <c r="BR50" t="n">
        <v>3133.183</v>
      </c>
      <c r="BS50" t="n">
        <v>3198.291</v>
      </c>
      <c r="BT50" t="n">
        <v>3532.14</v>
      </c>
      <c r="BU50" t="n">
        <v>2250.253</v>
      </c>
      <c r="BV50" t="n">
        <v>2055.558</v>
      </c>
    </row>
    <row r="51">
      <c r="A51" t="inlineStr">
        <is>
          <t>Sphyraena</t>
        </is>
      </c>
      <c r="B51" t="inlineStr">
        <is>
          <t>Barracudas, sennets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72.036</v>
      </c>
      <c r="F51" t="n">
        <v>68.724</v>
      </c>
      <c r="G51" t="n">
        <v>64.584</v>
      </c>
      <c r="H51" t="n">
        <v>60.444</v>
      </c>
      <c r="I51" t="n">
        <v>61.272</v>
      </c>
      <c r="J51" t="n">
        <v>64.584</v>
      </c>
      <c r="K51" t="n">
        <v>65.41200000000001</v>
      </c>
      <c r="L51" t="n">
        <v>66.23999999999999</v>
      </c>
      <c r="M51" t="n">
        <v>74.52</v>
      </c>
      <c r="N51" t="n">
        <v>81.14400000000001</v>
      </c>
      <c r="O51" t="n">
        <v>86.11199999999999</v>
      </c>
      <c r="P51" t="n">
        <v>90.252</v>
      </c>
      <c r="Q51" t="n">
        <v>99.36</v>
      </c>
      <c r="R51" t="n">
        <v>110.952</v>
      </c>
      <c r="S51" t="n">
        <v>124.2</v>
      </c>
      <c r="T51" t="n">
        <v>130.717</v>
      </c>
      <c r="U51" t="n">
        <v>150.048</v>
      </c>
      <c r="V51" t="n">
        <v>170.761</v>
      </c>
      <c r="W51" t="n">
        <v>188.968</v>
      </c>
      <c r="X51" t="n">
        <v>178.928</v>
      </c>
      <c r="Y51" t="n">
        <v>5422.5</v>
      </c>
      <c r="Z51" t="n">
        <v>5883.293</v>
      </c>
      <c r="AA51" t="n">
        <v>4921.154</v>
      </c>
      <c r="AB51" t="n">
        <v>5883.029</v>
      </c>
      <c r="AC51" t="n">
        <v>4244.057</v>
      </c>
      <c r="AD51" t="n">
        <v>4897.698</v>
      </c>
      <c r="AE51" t="n">
        <v>4173.023</v>
      </c>
      <c r="AF51" t="n">
        <v>4082.326</v>
      </c>
      <c r="AG51" t="n">
        <v>5743.925</v>
      </c>
      <c r="AH51" t="n">
        <v>5428.424</v>
      </c>
      <c r="AI51" t="n">
        <v>5144.339</v>
      </c>
      <c r="AJ51" t="n">
        <v>5355.708</v>
      </c>
      <c r="AK51" t="n">
        <v>5019.606</v>
      </c>
      <c r="AL51" t="n">
        <v>4499.402</v>
      </c>
      <c r="AM51" t="n">
        <v>4052.37</v>
      </c>
      <c r="AN51" t="n">
        <v>3542.011</v>
      </c>
      <c r="AO51" t="n">
        <v>3925.078</v>
      </c>
      <c r="AP51" t="n">
        <v>5007.722</v>
      </c>
      <c r="AQ51" t="n">
        <v>5023.938</v>
      </c>
      <c r="AR51" t="n">
        <v>4626.809</v>
      </c>
      <c r="AS51" t="n">
        <v>4346.819</v>
      </c>
      <c r="AT51" t="n">
        <v>4423.595</v>
      </c>
      <c r="AU51" t="n">
        <v>3507.345</v>
      </c>
      <c r="AV51" t="n">
        <v>3684.051</v>
      </c>
      <c r="AW51" t="n">
        <v>5254.677</v>
      </c>
      <c r="AX51" t="n">
        <v>5501.583</v>
      </c>
      <c r="AY51" t="n">
        <v>5129.83</v>
      </c>
      <c r="AZ51" t="n">
        <v>4930.362</v>
      </c>
      <c r="BA51" t="n">
        <v>4615.276</v>
      </c>
      <c r="BB51" t="n">
        <v>7251.818</v>
      </c>
      <c r="BC51" t="n">
        <v>8296.039000000001</v>
      </c>
      <c r="BD51" t="n">
        <v>9084.888999999999</v>
      </c>
      <c r="BE51" t="n">
        <v>9571.255999999999</v>
      </c>
      <c r="BF51" t="n">
        <v>11552.284</v>
      </c>
      <c r="BG51" t="n">
        <v>8394.901</v>
      </c>
      <c r="BH51" t="n">
        <v>11469.902</v>
      </c>
      <c r="BI51" t="n">
        <v>9352.082</v>
      </c>
      <c r="BJ51" t="n">
        <v>9247.571</v>
      </c>
      <c r="BK51" t="n">
        <v>9596.567999999999</v>
      </c>
      <c r="BL51" t="n">
        <v>10226.689</v>
      </c>
      <c r="BM51" t="n">
        <v>11985.496</v>
      </c>
      <c r="BN51" t="n">
        <v>14911.485</v>
      </c>
      <c r="BO51" t="n">
        <v>19923.97</v>
      </c>
      <c r="BP51" t="n">
        <v>22102.955</v>
      </c>
      <c r="BQ51" t="n">
        <v>17844.011</v>
      </c>
      <c r="BR51" t="n">
        <v>21340.215</v>
      </c>
      <c r="BS51" t="n">
        <v>25412.995</v>
      </c>
      <c r="BT51" t="n">
        <v>21876.567</v>
      </c>
      <c r="BU51" t="n">
        <v>17677.973</v>
      </c>
      <c r="BV51" t="n">
        <v>19022.589</v>
      </c>
    </row>
    <row r="52">
      <c r="A52" t="inlineStr">
        <is>
          <t>Modiolus</t>
        </is>
      </c>
      <c r="B52" t="inlineStr">
        <is>
          <t>Horse mussels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42465.88</v>
      </c>
      <c r="Z52" t="n">
        <v>46450.258</v>
      </c>
      <c r="AA52" t="n">
        <v>19283.278</v>
      </c>
      <c r="AB52" t="n">
        <v>19721.163</v>
      </c>
      <c r="AC52" t="n">
        <v>15120.28</v>
      </c>
      <c r="AD52" t="n">
        <v>34963.163</v>
      </c>
      <c r="AE52" t="n">
        <v>50320.741</v>
      </c>
      <c r="AF52" t="n">
        <v>17906.283</v>
      </c>
      <c r="AG52" t="n">
        <v>19677.022</v>
      </c>
      <c r="AH52" t="n">
        <v>15737.975</v>
      </c>
      <c r="AI52" t="n">
        <v>9135.365</v>
      </c>
      <c r="AJ52" t="n">
        <v>18325.266</v>
      </c>
      <c r="AK52" t="n">
        <v>34632.352</v>
      </c>
      <c r="AL52" t="n">
        <v>10514.536</v>
      </c>
      <c r="AM52" t="n">
        <v>11797.526</v>
      </c>
      <c r="AN52" t="n">
        <v>6680.743</v>
      </c>
      <c r="AO52" t="n">
        <v>6249.897</v>
      </c>
      <c r="AP52" t="n">
        <v>11531.564</v>
      </c>
      <c r="AQ52" t="n">
        <v>24127.395</v>
      </c>
      <c r="AR52" t="n">
        <v>6086.919</v>
      </c>
      <c r="AS52" t="n">
        <v>2727.839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80.209</v>
      </c>
      <c r="BD52" t="n">
        <v>97.95999999999999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2.327</v>
      </c>
      <c r="BT52" t="n">
        <v>0</v>
      </c>
      <c r="BU52" t="n">
        <v>1.718</v>
      </c>
      <c r="BV52" t="n">
        <v>1.623</v>
      </c>
    </row>
    <row r="53">
      <c r="A53" t="inlineStr">
        <is>
          <t>Scombroidei</t>
        </is>
      </c>
      <c r="B53" t="inlineStr">
        <is>
          <t>Tunas, bonitos, 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1916.73</v>
      </c>
      <c r="BA53" t="n">
        <v>5576.215</v>
      </c>
      <c r="BB53" t="n">
        <v>9100.384</v>
      </c>
      <c r="BC53" t="n">
        <v>0</v>
      </c>
      <c r="BD53" t="n">
        <v>0.002</v>
      </c>
      <c r="BE53" t="n">
        <v>0.002</v>
      </c>
      <c r="BF53" t="n">
        <v>0.001</v>
      </c>
      <c r="BG53" t="n">
        <v>0.002</v>
      </c>
      <c r="BH53" t="n">
        <v>0.002</v>
      </c>
      <c r="BI53" t="n">
        <v>4.83</v>
      </c>
      <c r="BJ53" t="n">
        <v>0</v>
      </c>
      <c r="BK53" t="n">
        <v>0</v>
      </c>
      <c r="BL53" t="n">
        <v>0</v>
      </c>
      <c r="BM53" t="n">
        <v>0</v>
      </c>
      <c r="BN53" t="n">
        <v>35780.764</v>
      </c>
      <c r="BO53" t="n">
        <v>35860.404</v>
      </c>
      <c r="BP53" t="n">
        <v>39323.308</v>
      </c>
      <c r="BQ53" t="n">
        <v>40913.373</v>
      </c>
      <c r="BR53" t="n">
        <v>40568.429</v>
      </c>
      <c r="BS53" t="n">
        <v>41507.009</v>
      </c>
      <c r="BT53" t="n">
        <v>41464.417</v>
      </c>
      <c r="BU53" t="n">
        <v>27418.816</v>
      </c>
      <c r="BV53" t="n">
        <v>38191.09</v>
      </c>
    </row>
    <row r="54">
      <c r="A54" t="inlineStr">
        <is>
          <t>Lutjanidae</t>
        </is>
      </c>
      <c r="B54" t="inlineStr">
        <is>
          <t>Snappers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177.378</v>
      </c>
      <c r="F54" t="n">
        <v>175.577</v>
      </c>
      <c r="G54" t="n">
        <v>179.113</v>
      </c>
      <c r="H54" t="n">
        <v>187.944</v>
      </c>
      <c r="I54" t="n">
        <v>187.603</v>
      </c>
      <c r="J54" t="n">
        <v>190.061</v>
      </c>
      <c r="K54" t="n">
        <v>179.285</v>
      </c>
      <c r="L54" t="n">
        <v>174.405</v>
      </c>
      <c r="M54" t="n">
        <v>172.767</v>
      </c>
      <c r="N54" t="n">
        <v>167.292</v>
      </c>
      <c r="O54" t="n">
        <v>166.848</v>
      </c>
      <c r="P54" t="n">
        <v>261.663</v>
      </c>
      <c r="Q54" t="n">
        <v>228.56</v>
      </c>
      <c r="R54" t="n">
        <v>158.867</v>
      </c>
      <c r="S54" t="n">
        <v>152.218</v>
      </c>
      <c r="T54" t="n">
        <v>420.735</v>
      </c>
      <c r="U54" t="n">
        <v>566.962</v>
      </c>
      <c r="V54" t="n">
        <v>693.002</v>
      </c>
      <c r="W54" t="n">
        <v>744.539</v>
      </c>
      <c r="X54" t="n">
        <v>783.176</v>
      </c>
      <c r="Y54" t="n">
        <v>5720.76</v>
      </c>
      <c r="Z54" t="n">
        <v>6166.261</v>
      </c>
      <c r="AA54" t="n">
        <v>8627.129000000001</v>
      </c>
      <c r="AB54" t="n">
        <v>5557.452</v>
      </c>
      <c r="AC54" t="n">
        <v>5135.563</v>
      </c>
      <c r="AD54" t="n">
        <v>5232.289</v>
      </c>
      <c r="AE54" t="n">
        <v>7205.87</v>
      </c>
      <c r="AF54" t="n">
        <v>3959.153</v>
      </c>
      <c r="AG54" t="n">
        <v>6517.095</v>
      </c>
      <c r="AH54" t="n">
        <v>4966.582</v>
      </c>
      <c r="AI54" t="n">
        <v>5191.687</v>
      </c>
      <c r="AJ54" t="n">
        <v>4904.183</v>
      </c>
      <c r="AK54" t="n">
        <v>4663.047</v>
      </c>
      <c r="AL54" t="n">
        <v>4133.213</v>
      </c>
      <c r="AM54" t="n">
        <v>4583.814</v>
      </c>
      <c r="AN54" t="n">
        <v>4711.364</v>
      </c>
      <c r="AO54" t="n">
        <v>5734.448</v>
      </c>
      <c r="AP54" t="n">
        <v>4890.903</v>
      </c>
      <c r="AQ54" t="n">
        <v>5789.856</v>
      </c>
      <c r="AR54" t="n">
        <v>5138.032</v>
      </c>
      <c r="AS54" t="n">
        <v>5496.824</v>
      </c>
      <c r="AT54" t="n">
        <v>3537.175</v>
      </c>
      <c r="AU54" t="n">
        <v>8842.165000000001</v>
      </c>
      <c r="AV54" t="n">
        <v>14930.652</v>
      </c>
      <c r="AW54" t="n">
        <v>12043.81</v>
      </c>
      <c r="AX54" t="n">
        <v>13699.925</v>
      </c>
      <c r="AY54" t="n">
        <v>9929.052</v>
      </c>
      <c r="AZ54" t="n">
        <v>9128.4</v>
      </c>
      <c r="BA54" t="n">
        <v>13231.327</v>
      </c>
      <c r="BB54" t="n">
        <v>9956.715</v>
      </c>
      <c r="BC54" t="n">
        <v>6096.137</v>
      </c>
      <c r="BD54" t="n">
        <v>4625.672</v>
      </c>
      <c r="BE54" t="n">
        <v>6920.716</v>
      </c>
      <c r="BF54" t="n">
        <v>6995.472</v>
      </c>
      <c r="BG54" t="n">
        <v>11892.188</v>
      </c>
      <c r="BH54" t="n">
        <v>11729.396</v>
      </c>
      <c r="BI54" t="n">
        <v>7708.232</v>
      </c>
      <c r="BJ54" t="n">
        <v>6230.854</v>
      </c>
      <c r="BK54" t="n">
        <v>1767.371</v>
      </c>
      <c r="BL54" t="n">
        <v>1726.414</v>
      </c>
      <c r="BM54" t="n">
        <v>2300.286</v>
      </c>
      <c r="BN54" t="n">
        <v>2850.209</v>
      </c>
      <c r="BO54" t="n">
        <v>4865.252</v>
      </c>
      <c r="BP54" t="n">
        <v>5665.56</v>
      </c>
      <c r="BQ54" t="n">
        <v>4369.208</v>
      </c>
      <c r="BR54" t="n">
        <v>6832.054</v>
      </c>
      <c r="BS54" t="n">
        <v>6210.377</v>
      </c>
      <c r="BT54" t="n">
        <v>9785.594999999999</v>
      </c>
      <c r="BU54" t="n">
        <v>7149.569</v>
      </c>
      <c r="BV54" t="n">
        <v>10763.002</v>
      </c>
    </row>
    <row r="55">
      <c r="A55" t="inlineStr">
        <is>
          <t>Saurida tumbil</t>
        </is>
      </c>
      <c r="B55" t="inlineStr">
        <is>
          <t>Greater lizardfish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778.426</v>
      </c>
      <c r="F55" t="n">
        <v>778.426</v>
      </c>
      <c r="G55" t="n">
        <v>1030.021</v>
      </c>
      <c r="H55" t="n">
        <v>908.4450000000001</v>
      </c>
      <c r="I55" t="n">
        <v>778.426</v>
      </c>
      <c r="J55" t="n">
        <v>778.426</v>
      </c>
      <c r="K55" t="n">
        <v>778.426</v>
      </c>
      <c r="L55" t="n">
        <v>746.343</v>
      </c>
      <c r="M55" t="n">
        <v>802.91</v>
      </c>
      <c r="N55" t="n">
        <v>778.426</v>
      </c>
      <c r="O55" t="n">
        <v>1046.062</v>
      </c>
      <c r="P55" t="n">
        <v>1297.657</v>
      </c>
      <c r="Q55" t="n">
        <v>1338.183</v>
      </c>
      <c r="R55" t="n">
        <v>2081.149</v>
      </c>
      <c r="S55" t="n">
        <v>1935.933</v>
      </c>
      <c r="T55" t="n">
        <v>2333.062</v>
      </c>
      <c r="U55" t="n">
        <v>2671.772</v>
      </c>
      <c r="V55" t="n">
        <v>2497.559</v>
      </c>
      <c r="W55" t="n">
        <v>2651.295</v>
      </c>
      <c r="X55" t="n">
        <v>2260.527</v>
      </c>
      <c r="Y55" t="n">
        <v>2968.426</v>
      </c>
      <c r="Z55" t="n">
        <v>3400.943</v>
      </c>
      <c r="AA55" t="n">
        <v>3377.497</v>
      </c>
      <c r="AB55" t="n">
        <v>2687.046</v>
      </c>
      <c r="AC55" t="n">
        <v>3419.522</v>
      </c>
      <c r="AD55" t="n">
        <v>3041.449</v>
      </c>
      <c r="AE55" t="n">
        <v>2792.024</v>
      </c>
      <c r="AF55" t="n">
        <v>3644.969</v>
      </c>
      <c r="AG55" t="n">
        <v>3778.003</v>
      </c>
      <c r="AH55" t="n">
        <v>3416.727</v>
      </c>
      <c r="AI55" t="n">
        <v>2581.966</v>
      </c>
      <c r="AJ55" t="n">
        <v>3790.557</v>
      </c>
      <c r="AK55" t="n">
        <v>2508.654</v>
      </c>
      <c r="AL55" t="n">
        <v>2792.333</v>
      </c>
      <c r="AM55" t="n">
        <v>2190.733</v>
      </c>
      <c r="AN55" t="n">
        <v>2492.942</v>
      </c>
      <c r="AO55" t="n">
        <v>2346.421</v>
      </c>
      <c r="AP55" t="n">
        <v>5626.692</v>
      </c>
      <c r="AQ55" t="n">
        <v>5211.213</v>
      </c>
      <c r="AR55" t="n">
        <v>7426.492</v>
      </c>
      <c r="AS55" t="n">
        <v>9256.571</v>
      </c>
      <c r="AT55" t="n">
        <v>8265.191000000001</v>
      </c>
      <c r="AU55" t="n">
        <v>7093.839</v>
      </c>
      <c r="AV55" t="n">
        <v>7846.98</v>
      </c>
      <c r="AW55" t="n">
        <v>8617.054</v>
      </c>
      <c r="AX55" t="n">
        <v>7910.269</v>
      </c>
      <c r="AY55" t="n">
        <v>7017.132</v>
      </c>
      <c r="AZ55" t="n">
        <v>6464.163</v>
      </c>
      <c r="BA55" t="n">
        <v>7537.305</v>
      </c>
      <c r="BB55" t="n">
        <v>8328.539000000001</v>
      </c>
      <c r="BC55" t="n">
        <v>8804.019</v>
      </c>
      <c r="BD55" t="n">
        <v>9269.188</v>
      </c>
      <c r="BE55" t="n">
        <v>9858.356</v>
      </c>
      <c r="BF55" t="n">
        <v>9448.143</v>
      </c>
      <c r="BG55" t="n">
        <v>8315.186</v>
      </c>
      <c r="BH55" t="n">
        <v>9177.994000000001</v>
      </c>
      <c r="BI55" t="n">
        <v>8344.213</v>
      </c>
      <c r="BJ55" t="n">
        <v>8504.581</v>
      </c>
      <c r="BK55" t="n">
        <v>7468.668</v>
      </c>
      <c r="BL55" t="n">
        <v>6935.535</v>
      </c>
      <c r="BM55" t="n">
        <v>7518.288</v>
      </c>
      <c r="BN55" t="n">
        <v>7362.83</v>
      </c>
      <c r="BO55" t="n">
        <v>8277.504999999999</v>
      </c>
      <c r="BP55" t="n">
        <v>8602.269</v>
      </c>
      <c r="BQ55" t="n">
        <v>7910.077</v>
      </c>
      <c r="BR55" t="n">
        <v>8137.339</v>
      </c>
      <c r="BS55" t="n">
        <v>8438.059999999999</v>
      </c>
      <c r="BT55" t="n">
        <v>7844.639</v>
      </c>
      <c r="BU55" t="n">
        <v>7435.166</v>
      </c>
      <c r="BV55" t="n">
        <v>6967.599</v>
      </c>
    </row>
    <row r="56">
      <c r="A56" t="inlineStr">
        <is>
          <t>Scolopsis</t>
        </is>
      </c>
      <c r="B56" t="inlineStr">
        <is>
          <t>Monocle breams</t>
        </is>
      </c>
      <c r="C56" t="inlineStr">
        <is>
          <t>Small reef assoc. fish (&lt;30 cm)</t>
        </is>
      </c>
      <c r="D56" t="inlineStr">
        <is>
          <t>Perch-likes</t>
        </is>
      </c>
      <c r="E56" t="n">
        <v>260.692</v>
      </c>
      <c r="F56" t="n">
        <v>293.279</v>
      </c>
      <c r="G56" t="n">
        <v>325.866</v>
      </c>
      <c r="H56" t="n">
        <v>358.452</v>
      </c>
      <c r="I56" t="n">
        <v>918.941</v>
      </c>
      <c r="J56" t="n">
        <v>1546.232</v>
      </c>
      <c r="K56" t="n">
        <v>1823.348</v>
      </c>
      <c r="L56" t="n">
        <v>2112.489</v>
      </c>
      <c r="M56" t="n">
        <v>2482.933</v>
      </c>
      <c r="N56" t="n">
        <v>3108.032</v>
      </c>
      <c r="O56" t="n">
        <v>4395.764</v>
      </c>
      <c r="P56" t="n">
        <v>4543.127</v>
      </c>
      <c r="Q56" t="n">
        <v>5813.554</v>
      </c>
      <c r="R56" t="n">
        <v>7035.251</v>
      </c>
      <c r="S56" t="n">
        <v>7398.192</v>
      </c>
      <c r="T56" t="n">
        <v>7430.945</v>
      </c>
      <c r="U56" t="n">
        <v>7434.287</v>
      </c>
      <c r="V56" t="n">
        <v>7394.324</v>
      </c>
      <c r="W56" t="n">
        <v>7286.434</v>
      </c>
      <c r="X56" t="n">
        <v>7177.082</v>
      </c>
      <c r="Y56" t="n">
        <v>12135.204</v>
      </c>
      <c r="Z56" t="n">
        <v>12626.115</v>
      </c>
      <c r="AA56" t="n">
        <v>12082.02</v>
      </c>
      <c r="AB56" t="n">
        <v>11823.738</v>
      </c>
      <c r="AC56" t="n">
        <v>8884.241</v>
      </c>
      <c r="AD56" t="n">
        <v>6246.325</v>
      </c>
      <c r="AE56" t="n">
        <v>8995.588</v>
      </c>
      <c r="AF56" t="n">
        <v>6659.561</v>
      </c>
      <c r="AG56" t="n">
        <v>260.013</v>
      </c>
      <c r="AH56" t="n">
        <v>1088.989</v>
      </c>
      <c r="AI56" t="n">
        <v>2298.744</v>
      </c>
      <c r="AJ56" t="n">
        <v>1983.788</v>
      </c>
      <c r="AK56" t="n">
        <v>14772.787</v>
      </c>
      <c r="AL56" t="n">
        <v>3637.284</v>
      </c>
      <c r="AM56" t="n">
        <v>2584.65</v>
      </c>
      <c r="AN56" t="n">
        <v>441.227</v>
      </c>
      <c r="AO56" t="n">
        <v>539.028</v>
      </c>
      <c r="AP56" t="n">
        <v>1401.323</v>
      </c>
      <c r="AQ56" t="n">
        <v>1487.942</v>
      </c>
      <c r="AR56" t="n">
        <v>1300.506</v>
      </c>
      <c r="AS56" t="n">
        <v>2023.797</v>
      </c>
      <c r="AT56" t="n">
        <v>1480.931</v>
      </c>
      <c r="AU56" t="n">
        <v>930.115</v>
      </c>
      <c r="AV56" t="n">
        <v>964.37</v>
      </c>
      <c r="AW56" t="n">
        <v>836.1660000000001</v>
      </c>
      <c r="AX56" t="n">
        <v>1736.676</v>
      </c>
      <c r="AY56" t="n">
        <v>1824.383</v>
      </c>
      <c r="AZ56" t="n">
        <v>2385.875</v>
      </c>
      <c r="BA56" t="n">
        <v>2682.392</v>
      </c>
      <c r="BB56" t="n">
        <v>2212.942</v>
      </c>
      <c r="BC56" t="n">
        <v>2152.572</v>
      </c>
      <c r="BD56" t="n">
        <v>2133.879</v>
      </c>
      <c r="BE56" t="n">
        <v>1905.184</v>
      </c>
      <c r="BF56" t="n">
        <v>2015.74</v>
      </c>
      <c r="BG56" t="n">
        <v>1968.505</v>
      </c>
      <c r="BH56" t="n">
        <v>1616.701</v>
      </c>
      <c r="BI56" t="n">
        <v>1923.049</v>
      </c>
      <c r="BJ56" t="n">
        <v>1879.981</v>
      </c>
      <c r="BK56" t="n">
        <v>2062.444</v>
      </c>
      <c r="BL56" t="n">
        <v>2274.814</v>
      </c>
      <c r="BM56" t="n">
        <v>3841.164</v>
      </c>
      <c r="BN56" t="n">
        <v>5440.482</v>
      </c>
      <c r="BO56" t="n">
        <v>4393.614</v>
      </c>
      <c r="BP56" t="n">
        <v>10705.872</v>
      </c>
      <c r="BQ56" t="n">
        <v>11374.301</v>
      </c>
      <c r="BR56" t="n">
        <v>16237.479</v>
      </c>
      <c r="BS56" t="n">
        <v>11898.755</v>
      </c>
      <c r="BT56" t="n">
        <v>14043.538</v>
      </c>
      <c r="BU56" t="n">
        <v>11203.698</v>
      </c>
      <c r="BV56" t="n">
        <v>13982.321</v>
      </c>
    </row>
    <row r="57">
      <c r="A57" t="inlineStr">
        <is>
          <t>Sepia</t>
        </is>
      </c>
      <c r="B57" t="inlineStr">
        <is>
          <t>Sepia cuttlefishes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65.223</v>
      </c>
      <c r="F57" t="n">
        <v>65.223</v>
      </c>
      <c r="G57" t="n">
        <v>86.68899999999999</v>
      </c>
      <c r="H57" t="n">
        <v>76.78100000000001</v>
      </c>
      <c r="I57" t="n">
        <v>65.223</v>
      </c>
      <c r="J57" t="n">
        <v>65.223</v>
      </c>
      <c r="K57" t="n">
        <v>65.223</v>
      </c>
      <c r="L57" t="n">
        <v>62.746</v>
      </c>
      <c r="M57" t="n">
        <v>67.7</v>
      </c>
      <c r="N57" t="n">
        <v>65.223</v>
      </c>
      <c r="O57" t="n">
        <v>88.34</v>
      </c>
      <c r="P57" t="n">
        <v>108.98</v>
      </c>
      <c r="Q57" t="n">
        <v>113.108</v>
      </c>
      <c r="R57" t="n">
        <v>175.029</v>
      </c>
      <c r="S57" t="n">
        <v>163.47</v>
      </c>
      <c r="T57" t="n">
        <v>197.582</v>
      </c>
      <c r="U57" t="n">
        <v>226.965</v>
      </c>
      <c r="V57" t="n">
        <v>212.571</v>
      </c>
      <c r="W57" t="n">
        <v>226.268</v>
      </c>
      <c r="X57" t="n">
        <v>194.528</v>
      </c>
      <c r="Y57" t="n">
        <v>254.104</v>
      </c>
      <c r="Z57" t="n">
        <v>294.971</v>
      </c>
      <c r="AA57" t="n">
        <v>293.97</v>
      </c>
      <c r="AB57" t="n">
        <v>235.051</v>
      </c>
      <c r="AC57" t="n">
        <v>295.014</v>
      </c>
      <c r="AD57" t="n">
        <v>263.725</v>
      </c>
      <c r="AE57" t="n">
        <v>3352.635</v>
      </c>
      <c r="AF57" t="n">
        <v>4134.968</v>
      </c>
      <c r="AG57" t="n">
        <v>4666.175</v>
      </c>
      <c r="AH57" t="n">
        <v>4725.931</v>
      </c>
      <c r="AI57" t="n">
        <v>2422.765</v>
      </c>
      <c r="AJ57" t="n">
        <v>2900.102</v>
      </c>
      <c r="AK57" t="n">
        <v>2620.252</v>
      </c>
      <c r="AL57" t="n">
        <v>2544.516</v>
      </c>
      <c r="AM57" t="n">
        <v>1975.98</v>
      </c>
      <c r="AN57" t="n">
        <v>2997.984</v>
      </c>
      <c r="AO57" t="n">
        <v>2177.436</v>
      </c>
      <c r="AP57" t="n">
        <v>2779.598</v>
      </c>
      <c r="AQ57" t="n">
        <v>3497.755</v>
      </c>
      <c r="AR57" t="n">
        <v>3713.071</v>
      </c>
      <c r="AS57" t="n">
        <v>8974.526</v>
      </c>
      <c r="AT57" t="n">
        <v>9404.467000000001</v>
      </c>
      <c r="AU57" t="n">
        <v>9421.228999999999</v>
      </c>
      <c r="AV57" t="n">
        <v>9911.772999999999</v>
      </c>
      <c r="AW57" t="n">
        <v>9241.357</v>
      </c>
      <c r="AX57" t="n">
        <v>9009.932000000001</v>
      </c>
      <c r="AY57" t="n">
        <v>9260.912</v>
      </c>
      <c r="AZ57" t="n">
        <v>9764.700999999999</v>
      </c>
      <c r="BA57" t="n">
        <v>9814.121999999999</v>
      </c>
      <c r="BB57" t="n">
        <v>10896.135</v>
      </c>
      <c r="BC57" t="n">
        <v>9705.244000000001</v>
      </c>
      <c r="BD57" t="n">
        <v>9539.809999999999</v>
      </c>
      <c r="BE57" t="n">
        <v>9337.726000000001</v>
      </c>
      <c r="BF57" t="n">
        <v>9214.406999999999</v>
      </c>
      <c r="BG57" t="n">
        <v>9073.091</v>
      </c>
      <c r="BH57" t="n">
        <v>2389.951</v>
      </c>
      <c r="BI57" t="n">
        <v>2486.917</v>
      </c>
      <c r="BJ57" t="n">
        <v>2433.195</v>
      </c>
      <c r="BK57" t="n">
        <v>2660.937</v>
      </c>
      <c r="BL57" t="n">
        <v>9366.987999999999</v>
      </c>
      <c r="BM57" t="n">
        <v>9810.873</v>
      </c>
      <c r="BN57" t="n">
        <v>9546.029</v>
      </c>
      <c r="BO57" t="n">
        <v>10744.069</v>
      </c>
      <c r="BP57" t="n">
        <v>11165.262</v>
      </c>
      <c r="BQ57" t="n">
        <v>10235.657</v>
      </c>
      <c r="BR57" t="n">
        <v>10538.928</v>
      </c>
      <c r="BS57" t="n">
        <v>10917.264</v>
      </c>
      <c r="BT57" t="n">
        <v>10126.785</v>
      </c>
      <c r="BU57" t="n">
        <v>9552.645</v>
      </c>
      <c r="BV57" t="n">
        <v>11391.58</v>
      </c>
    </row>
    <row r="58">
      <c r="A58" t="inlineStr">
        <is>
          <t>Portunus</t>
        </is>
      </c>
      <c r="B58" t="inlineStr">
        <is>
          <t>Swimmer crabs</t>
        </is>
      </c>
      <c r="C58" t="inlineStr">
        <is>
          <t>Lobsters, crabs</t>
        </is>
      </c>
      <c r="D58" t="inlineStr">
        <is>
          <t>Crustaceans</t>
        </is>
      </c>
      <c r="E58" t="n">
        <v>240.684</v>
      </c>
      <c r="F58" t="n">
        <v>260.311</v>
      </c>
      <c r="G58" t="n">
        <v>292.465</v>
      </c>
      <c r="H58" t="n">
        <v>318.911</v>
      </c>
      <c r="I58" t="n">
        <v>346.438</v>
      </c>
      <c r="J58" t="n">
        <v>383.413</v>
      </c>
      <c r="K58" t="n">
        <v>416.417</v>
      </c>
      <c r="L58" t="n">
        <v>441.608</v>
      </c>
      <c r="M58" t="n">
        <v>476.905</v>
      </c>
      <c r="N58" t="n">
        <v>503.6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1349.402</v>
      </c>
      <c r="Z58" t="n">
        <v>1412.214</v>
      </c>
      <c r="AA58" t="n">
        <v>1530.573</v>
      </c>
      <c r="AB58" t="n">
        <v>1642.65</v>
      </c>
      <c r="AC58" t="n">
        <v>1680.412</v>
      </c>
      <c r="AD58" t="n">
        <v>877.449</v>
      </c>
      <c r="AE58" t="n">
        <v>561.17</v>
      </c>
      <c r="AF58" t="n">
        <v>561.981</v>
      </c>
      <c r="AG58" t="n">
        <v>562.724</v>
      </c>
      <c r="AH58" t="n">
        <v>529.958</v>
      </c>
      <c r="AI58" t="n">
        <v>995.231</v>
      </c>
      <c r="AJ58" t="n">
        <v>1706.96</v>
      </c>
      <c r="AK58" t="n">
        <v>2307.214</v>
      </c>
      <c r="AL58" t="n">
        <v>2949.118</v>
      </c>
      <c r="AM58" t="n">
        <v>3373.381</v>
      </c>
      <c r="AN58" t="n">
        <v>4309.043</v>
      </c>
      <c r="AO58" t="n">
        <v>9943.263000000001</v>
      </c>
      <c r="AP58" t="n">
        <v>13425.569</v>
      </c>
      <c r="AQ58" t="n">
        <v>8648.096</v>
      </c>
      <c r="AR58" t="n">
        <v>7280.43</v>
      </c>
      <c r="AS58" t="n">
        <v>7734.978</v>
      </c>
      <c r="AT58" t="n">
        <v>8638.912</v>
      </c>
      <c r="AU58" t="n">
        <v>7908.873</v>
      </c>
      <c r="AV58" t="n">
        <v>8073.78</v>
      </c>
      <c r="AW58" t="n">
        <v>8230.491</v>
      </c>
      <c r="AX58" t="n">
        <v>8277.567999999999</v>
      </c>
      <c r="AY58" t="n">
        <v>8153.029</v>
      </c>
      <c r="AZ58" t="n">
        <v>7821.802</v>
      </c>
      <c r="BA58" t="n">
        <v>8874.800999999999</v>
      </c>
      <c r="BB58" t="n">
        <v>8197.433000000001</v>
      </c>
      <c r="BC58" t="n">
        <v>10049.016</v>
      </c>
      <c r="BD58" t="n">
        <v>7765.617</v>
      </c>
      <c r="BE58" t="n">
        <v>7354.805</v>
      </c>
      <c r="BF58" t="n">
        <v>7399.372</v>
      </c>
      <c r="BG58" t="n">
        <v>7137.907</v>
      </c>
      <c r="BH58" t="n">
        <v>7411.765</v>
      </c>
      <c r="BI58" t="n">
        <v>7224.701</v>
      </c>
      <c r="BJ58" t="n">
        <v>6760.576</v>
      </c>
      <c r="BK58" t="n">
        <v>7140.82</v>
      </c>
      <c r="BL58" t="n">
        <v>7234.165</v>
      </c>
      <c r="BM58" t="n">
        <v>6986.372</v>
      </c>
      <c r="BN58" t="n">
        <v>6488.359</v>
      </c>
      <c r="BO58" t="n">
        <v>7527.37</v>
      </c>
      <c r="BP58" t="n">
        <v>7638.311</v>
      </c>
      <c r="BQ58" t="n">
        <v>9670.959000000001</v>
      </c>
      <c r="BR58" t="n">
        <v>8040.812</v>
      </c>
      <c r="BS58" t="n">
        <v>8124.148</v>
      </c>
      <c r="BT58" t="n">
        <v>8163.074</v>
      </c>
      <c r="BU58" t="n">
        <v>7919.479</v>
      </c>
      <c r="BV58" t="n">
        <v>7916.32</v>
      </c>
    </row>
    <row r="59">
      <c r="A59" t="inlineStr">
        <is>
          <t>Parastromateus niger</t>
        </is>
      </c>
      <c r="B59" t="inlineStr">
        <is>
          <t>Black pomfret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898.175</v>
      </c>
      <c r="F59" t="n">
        <v>858.624</v>
      </c>
      <c r="G59" t="n">
        <v>790.232</v>
      </c>
      <c r="H59" t="n">
        <v>742.4400000000001</v>
      </c>
      <c r="I59" t="n">
        <v>751.504</v>
      </c>
      <c r="J59" t="n">
        <v>805.889</v>
      </c>
      <c r="K59" t="n">
        <v>813.3049999999999</v>
      </c>
      <c r="L59" t="n">
        <v>838.849</v>
      </c>
      <c r="M59" t="n">
        <v>950.915</v>
      </c>
      <c r="N59" t="n">
        <v>1030.843</v>
      </c>
      <c r="O59" t="n">
        <v>1078.636</v>
      </c>
      <c r="P59" t="n">
        <v>1106.653</v>
      </c>
      <c r="Q59" t="n">
        <v>1238.494</v>
      </c>
      <c r="R59" t="n">
        <v>1327.487</v>
      </c>
      <c r="S59" t="n">
        <v>1512.888</v>
      </c>
      <c r="T59" t="n">
        <v>1391.113</v>
      </c>
      <c r="U59" t="n">
        <v>1440.433</v>
      </c>
      <c r="V59" t="n">
        <v>1535.467</v>
      </c>
      <c r="W59" t="n">
        <v>1589.445</v>
      </c>
      <c r="X59" t="n">
        <v>1452.959</v>
      </c>
      <c r="Y59" t="n">
        <v>4247.341</v>
      </c>
      <c r="Z59" t="n">
        <v>4505.261</v>
      </c>
      <c r="AA59" t="n">
        <v>5257.878</v>
      </c>
      <c r="AB59" t="n">
        <v>5954.752</v>
      </c>
      <c r="AC59" t="n">
        <v>5216.922</v>
      </c>
      <c r="AD59" t="n">
        <v>7103.044</v>
      </c>
      <c r="AE59" t="n">
        <v>7280.708</v>
      </c>
      <c r="AF59" t="n">
        <v>7486.785</v>
      </c>
      <c r="AG59" t="n">
        <v>8610.728999999999</v>
      </c>
      <c r="AH59" t="n">
        <v>6525.264</v>
      </c>
      <c r="AI59" t="n">
        <v>4143.469</v>
      </c>
      <c r="AJ59" t="n">
        <v>4960.318</v>
      </c>
      <c r="AK59" t="n">
        <v>4287.535</v>
      </c>
      <c r="AL59" t="n">
        <v>4262.476</v>
      </c>
      <c r="AM59" t="n">
        <v>4546.498</v>
      </c>
      <c r="AN59" t="n">
        <v>6899.985</v>
      </c>
      <c r="AO59" t="n">
        <v>7713.823</v>
      </c>
      <c r="AP59" t="n">
        <v>7934.918</v>
      </c>
      <c r="AQ59" t="n">
        <v>8979.575000000001</v>
      </c>
      <c r="AR59" t="n">
        <v>7306.838</v>
      </c>
      <c r="AS59" t="n">
        <v>4404.656</v>
      </c>
      <c r="AT59" t="n">
        <v>2941.889</v>
      </c>
      <c r="AU59" t="n">
        <v>2791.941</v>
      </c>
      <c r="AV59" t="n">
        <v>2731.379</v>
      </c>
      <c r="AW59" t="n">
        <v>3333.588</v>
      </c>
      <c r="AX59" t="n">
        <v>4030.971</v>
      </c>
      <c r="AY59" t="n">
        <v>3918.771</v>
      </c>
      <c r="AZ59" t="n">
        <v>3717.324</v>
      </c>
      <c r="BA59" t="n">
        <v>2449.284</v>
      </c>
      <c r="BB59" t="n">
        <v>5390.666</v>
      </c>
      <c r="BC59" t="n">
        <v>4725.811</v>
      </c>
      <c r="BD59" t="n">
        <v>5053.888</v>
      </c>
      <c r="BE59" t="n">
        <v>5064.697</v>
      </c>
      <c r="BF59" t="n">
        <v>4871.301</v>
      </c>
      <c r="BG59" t="n">
        <v>4347.62</v>
      </c>
      <c r="BH59" t="n">
        <v>4725.427</v>
      </c>
      <c r="BI59" t="n">
        <v>4857.049</v>
      </c>
      <c r="BJ59" t="n">
        <v>4960.772</v>
      </c>
      <c r="BK59" t="n">
        <v>4623.843</v>
      </c>
      <c r="BL59" t="n">
        <v>2970.476</v>
      </c>
      <c r="BM59" t="n">
        <v>2926.016</v>
      </c>
      <c r="BN59" t="n">
        <v>2706.093</v>
      </c>
      <c r="BO59" t="n">
        <v>2865.883</v>
      </c>
      <c r="BP59" t="n">
        <v>3072.046</v>
      </c>
      <c r="BQ59" t="n">
        <v>2734.842</v>
      </c>
      <c r="BR59" t="n">
        <v>2791.52</v>
      </c>
      <c r="BS59" t="n">
        <v>2816.898</v>
      </c>
      <c r="BT59" t="n">
        <v>5043.351</v>
      </c>
      <c r="BU59" t="n">
        <v>8158.105</v>
      </c>
      <c r="BV59" t="n">
        <v>7577.886</v>
      </c>
    </row>
    <row r="60">
      <c r="A60" t="inlineStr">
        <is>
          <t>Himantura</t>
        </is>
      </c>
      <c r="B60" t="inlineStr">
        <is>
          <t>Whiprays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530.841</v>
      </c>
      <c r="F60" t="n">
        <v>508.516</v>
      </c>
      <c r="G60" t="n">
        <v>467.173</v>
      </c>
      <c r="H60" t="n">
        <v>439.887</v>
      </c>
      <c r="I60" t="n">
        <v>444.848</v>
      </c>
      <c r="J60" t="n">
        <v>476.269</v>
      </c>
      <c r="K60" t="n">
        <v>482.057</v>
      </c>
      <c r="L60" t="n">
        <v>496.94</v>
      </c>
      <c r="M60" t="n">
        <v>562.2619999999999</v>
      </c>
      <c r="N60" t="n">
        <v>610.2190000000001</v>
      </c>
      <c r="O60" t="n">
        <v>637.505</v>
      </c>
      <c r="P60" t="n">
        <v>654.869</v>
      </c>
      <c r="Q60" t="n">
        <v>732.5940000000001</v>
      </c>
      <c r="R60" t="n">
        <v>784.686</v>
      </c>
      <c r="S60" t="n">
        <v>895.484</v>
      </c>
      <c r="T60" t="n">
        <v>916.335</v>
      </c>
      <c r="U60" t="n">
        <v>1018.704</v>
      </c>
      <c r="V60" t="n">
        <v>1166.118</v>
      </c>
      <c r="W60" t="n">
        <v>1280.647</v>
      </c>
      <c r="X60" t="n">
        <v>1222.225</v>
      </c>
      <c r="Y60" t="n">
        <v>2083.447</v>
      </c>
      <c r="Z60" t="n">
        <v>2173.509</v>
      </c>
      <c r="AA60" t="n">
        <v>2811.246</v>
      </c>
      <c r="AB60" t="n">
        <v>3254.558</v>
      </c>
      <c r="AC60" t="n">
        <v>3874.157</v>
      </c>
      <c r="AD60" t="n">
        <v>4274.487</v>
      </c>
      <c r="AE60" t="n">
        <v>3324.779</v>
      </c>
      <c r="AF60" t="n">
        <v>3990.911</v>
      </c>
      <c r="AG60" t="n">
        <v>4677.514</v>
      </c>
      <c r="AH60" t="n">
        <v>4454.699</v>
      </c>
      <c r="AI60" t="n">
        <v>1914.675</v>
      </c>
      <c r="AJ60" t="n">
        <v>2279.485</v>
      </c>
      <c r="AK60" t="n">
        <v>2048.67</v>
      </c>
      <c r="AL60" t="n">
        <v>1995.194</v>
      </c>
      <c r="AM60" t="n">
        <v>1570.643</v>
      </c>
      <c r="AN60" t="n">
        <v>3331.054</v>
      </c>
      <c r="AO60" t="n">
        <v>2487.214</v>
      </c>
      <c r="AP60" t="n">
        <v>2714.185</v>
      </c>
      <c r="AQ60" t="n">
        <v>3278.9</v>
      </c>
      <c r="AR60" t="n">
        <v>3251.221</v>
      </c>
      <c r="AS60" t="n">
        <v>5406.234</v>
      </c>
      <c r="AT60" t="n">
        <v>5677.894</v>
      </c>
      <c r="AU60" t="n">
        <v>5756.149</v>
      </c>
      <c r="AV60" t="n">
        <v>6037.262</v>
      </c>
      <c r="AW60" t="n">
        <v>5576.238</v>
      </c>
      <c r="AX60" t="n">
        <v>8251.297</v>
      </c>
      <c r="AY60" t="n">
        <v>8549.618</v>
      </c>
      <c r="AZ60" t="n">
        <v>9536.615</v>
      </c>
      <c r="BA60" t="n">
        <v>8816.091</v>
      </c>
      <c r="BB60" t="n">
        <v>10471.45</v>
      </c>
      <c r="BC60" t="n">
        <v>6272.718</v>
      </c>
      <c r="BD60" t="n">
        <v>6157.548</v>
      </c>
      <c r="BE60" t="n">
        <v>5930.577</v>
      </c>
      <c r="BF60" t="n">
        <v>5910.183</v>
      </c>
      <c r="BG60" t="n">
        <v>5871.479</v>
      </c>
      <c r="BH60" t="n">
        <v>4060.281</v>
      </c>
      <c r="BI60" t="n">
        <v>4859.036</v>
      </c>
      <c r="BJ60" t="n">
        <v>4613.59</v>
      </c>
      <c r="BK60" t="n">
        <v>5219.308</v>
      </c>
      <c r="BL60" t="n">
        <v>5728.626</v>
      </c>
      <c r="BM60" t="n">
        <v>5762.296</v>
      </c>
      <c r="BN60" t="n">
        <v>5602.388</v>
      </c>
      <c r="BO60" t="n">
        <v>6305.835</v>
      </c>
      <c r="BP60" t="n">
        <v>6556.669</v>
      </c>
      <c r="BQ60" t="n">
        <v>6009.006</v>
      </c>
      <c r="BR60" t="n">
        <v>6187.707</v>
      </c>
      <c r="BS60" t="n">
        <v>6408.518</v>
      </c>
      <c r="BT60" t="n">
        <v>5942.896</v>
      </c>
      <c r="BU60" t="n">
        <v>5616.862</v>
      </c>
      <c r="BV60" t="n">
        <v>5264.283</v>
      </c>
    </row>
    <row r="61">
      <c r="A61" t="inlineStr">
        <is>
          <t>Acetes</t>
        </is>
      </c>
      <c r="B61" t="inlineStr">
        <is>
          <t>Acetes shrimps</t>
        </is>
      </c>
      <c r="C61" t="inlineStr">
        <is>
          <t>Shrimps</t>
        </is>
      </c>
      <c r="D61" t="inlineStr">
        <is>
          <t>Crustaceans</t>
        </is>
      </c>
      <c r="E61" t="n">
        <v>2319.962</v>
      </c>
      <c r="F61" t="n">
        <v>2224.854</v>
      </c>
      <c r="G61" t="n">
        <v>2055.963</v>
      </c>
      <c r="H61" t="n">
        <v>1940.317</v>
      </c>
      <c r="I61" t="n">
        <v>1966.602</v>
      </c>
      <c r="J61" t="n">
        <v>2109.537</v>
      </c>
      <c r="K61" t="n">
        <v>2138.406</v>
      </c>
      <c r="L61" t="n">
        <v>2205.992</v>
      </c>
      <c r="M61" t="n">
        <v>2498.736</v>
      </c>
      <c r="N61" t="n">
        <v>2701.654</v>
      </c>
      <c r="O61" t="n">
        <v>2867.404</v>
      </c>
      <c r="P61" t="n">
        <v>3030.585</v>
      </c>
      <c r="Q61" t="n">
        <v>3355.997</v>
      </c>
      <c r="R61" t="n">
        <v>3532.758</v>
      </c>
      <c r="S61" t="n">
        <v>4011.397</v>
      </c>
      <c r="T61" t="n">
        <v>3529.885</v>
      </c>
      <c r="U61" t="n">
        <v>3549.182</v>
      </c>
      <c r="V61" t="n">
        <v>3620.741</v>
      </c>
      <c r="W61" t="n">
        <v>3664.636</v>
      </c>
      <c r="X61" t="n">
        <v>3288.598</v>
      </c>
      <c r="Y61" t="n">
        <v>3006.776</v>
      </c>
      <c r="Z61" t="n">
        <v>3211.865</v>
      </c>
      <c r="AA61" t="n">
        <v>2875.059</v>
      </c>
      <c r="AB61" t="n">
        <v>2905.864</v>
      </c>
      <c r="AC61" t="n">
        <v>2869.211</v>
      </c>
      <c r="AD61" t="n">
        <v>2385.18</v>
      </c>
      <c r="AE61" t="n">
        <v>9249.556</v>
      </c>
      <c r="AF61" t="n">
        <v>10794.514</v>
      </c>
      <c r="AG61" t="n">
        <v>13092.051</v>
      </c>
      <c r="AH61" t="n">
        <v>11479.218</v>
      </c>
      <c r="AI61" t="n">
        <v>2837.109</v>
      </c>
      <c r="AJ61" t="n">
        <v>3936.298</v>
      </c>
      <c r="AK61" t="n">
        <v>2610.129</v>
      </c>
      <c r="AL61" t="n">
        <v>3059.933</v>
      </c>
      <c r="AM61" t="n">
        <v>2844.117</v>
      </c>
      <c r="AN61" t="n">
        <v>8098.172</v>
      </c>
      <c r="AO61" t="n">
        <v>6643.122</v>
      </c>
      <c r="AP61" t="n">
        <v>6277.269</v>
      </c>
      <c r="AQ61" t="n">
        <v>5957.096</v>
      </c>
      <c r="AR61" t="n">
        <v>5801.023</v>
      </c>
      <c r="AS61" t="n">
        <v>3705.269</v>
      </c>
      <c r="AT61" t="n">
        <v>3763.342</v>
      </c>
      <c r="AU61" t="n">
        <v>3995.651</v>
      </c>
      <c r="AV61" t="n">
        <v>4121.247</v>
      </c>
      <c r="AW61" t="n">
        <v>3996.966</v>
      </c>
      <c r="AX61" t="n">
        <v>4247.021</v>
      </c>
      <c r="AY61" t="n">
        <v>4376.358</v>
      </c>
      <c r="AZ61" t="n">
        <v>5254.263</v>
      </c>
      <c r="BA61" t="n">
        <v>4292.99</v>
      </c>
      <c r="BB61" t="n">
        <v>5244.854</v>
      </c>
      <c r="BC61" t="n">
        <v>1207.38</v>
      </c>
      <c r="BD61" t="n">
        <v>1585.501</v>
      </c>
      <c r="BE61" t="n">
        <v>1522.981</v>
      </c>
      <c r="BF61" t="n">
        <v>1579.6</v>
      </c>
      <c r="BG61" t="n">
        <v>1532.553</v>
      </c>
      <c r="BH61" t="n">
        <v>1391.441</v>
      </c>
      <c r="BI61" t="n">
        <v>1376.942</v>
      </c>
      <c r="BJ61" t="n">
        <v>1255.323</v>
      </c>
      <c r="BK61" t="n">
        <v>1256.364</v>
      </c>
      <c r="BL61" t="n">
        <v>2911.549</v>
      </c>
      <c r="BM61" t="n">
        <v>2838.136</v>
      </c>
      <c r="BN61" t="n">
        <v>2845.982</v>
      </c>
      <c r="BO61" t="n">
        <v>3136.389</v>
      </c>
      <c r="BP61" t="n">
        <v>3227.348</v>
      </c>
      <c r="BQ61" t="n">
        <v>3120.279</v>
      </c>
      <c r="BR61" t="n">
        <v>3202.852</v>
      </c>
      <c r="BS61" t="n">
        <v>3284.513</v>
      </c>
      <c r="BT61" t="n">
        <v>3120.908</v>
      </c>
      <c r="BU61" t="n">
        <v>3056.415</v>
      </c>
      <c r="BV61" t="n">
        <v>2920.666</v>
      </c>
    </row>
    <row r="62">
      <c r="A62" t="inlineStr">
        <is>
          <t>Pennahia</t>
        </is>
      </c>
      <c r="B62" t="inlineStr">
        <is>
          <t>Pennah croakers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384.991</v>
      </c>
      <c r="F62" t="n">
        <v>367.88</v>
      </c>
      <c r="G62" t="n">
        <v>337.937</v>
      </c>
      <c r="H62" t="n">
        <v>318.259</v>
      </c>
      <c r="I62" t="n">
        <v>321.681</v>
      </c>
      <c r="J62" t="n">
        <v>344.781</v>
      </c>
      <c r="K62" t="n">
        <v>349.058</v>
      </c>
      <c r="L62" t="n">
        <v>360.18</v>
      </c>
      <c r="M62" t="n">
        <v>408.09</v>
      </c>
      <c r="N62" t="n">
        <v>441.456</v>
      </c>
      <c r="O62" t="n">
        <v>461.989</v>
      </c>
      <c r="P62" t="n">
        <v>473.967</v>
      </c>
      <c r="Q62" t="n">
        <v>531.288</v>
      </c>
      <c r="R62" t="n">
        <v>568.931</v>
      </c>
      <c r="S62" t="n">
        <v>648.496</v>
      </c>
      <c r="T62" t="n">
        <v>1029.127</v>
      </c>
      <c r="U62" t="n">
        <v>1390.78</v>
      </c>
      <c r="V62" t="n">
        <v>1853.008</v>
      </c>
      <c r="W62" t="n">
        <v>2273.066</v>
      </c>
      <c r="X62" t="n">
        <v>2313.487</v>
      </c>
      <c r="Y62" t="n">
        <v>5221.455</v>
      </c>
      <c r="Z62" t="n">
        <v>5558.759</v>
      </c>
      <c r="AA62" t="n">
        <v>7226.659</v>
      </c>
      <c r="AB62" t="n">
        <v>8587.763000000001</v>
      </c>
      <c r="AC62" t="n">
        <v>10152.052</v>
      </c>
      <c r="AD62" t="n">
        <v>10808.506</v>
      </c>
      <c r="AE62" t="n">
        <v>4979.471</v>
      </c>
      <c r="AF62" t="n">
        <v>6051.424</v>
      </c>
      <c r="AG62" t="n">
        <v>6948.542</v>
      </c>
      <c r="AH62" t="n">
        <v>6920.461</v>
      </c>
      <c r="AI62" t="n">
        <v>3857.84</v>
      </c>
      <c r="AJ62" t="n">
        <v>4696.611</v>
      </c>
      <c r="AK62" t="n">
        <v>4017.768</v>
      </c>
      <c r="AL62" t="n">
        <v>3997.859</v>
      </c>
      <c r="AM62" t="n">
        <v>3199.343</v>
      </c>
      <c r="AN62" t="n">
        <v>7433.98</v>
      </c>
      <c r="AO62" t="n">
        <v>5579.185</v>
      </c>
      <c r="AP62" t="n">
        <v>6051.654</v>
      </c>
      <c r="AQ62" t="n">
        <v>7227.086</v>
      </c>
      <c r="AR62" t="n">
        <v>7151.733</v>
      </c>
      <c r="AS62" t="n">
        <v>2068.082</v>
      </c>
      <c r="AT62" t="n">
        <v>2219.546</v>
      </c>
      <c r="AU62" t="n">
        <v>2254.972</v>
      </c>
      <c r="AV62" t="n">
        <v>2366.298</v>
      </c>
      <c r="AW62" t="n">
        <v>2199.635</v>
      </c>
      <c r="AX62" t="n">
        <v>2555.51</v>
      </c>
      <c r="AY62" t="n">
        <v>2656.912</v>
      </c>
      <c r="AZ62" t="n">
        <v>2961.516</v>
      </c>
      <c r="BA62" t="n">
        <v>2741.858</v>
      </c>
      <c r="BB62" t="n">
        <v>3320.895</v>
      </c>
      <c r="BC62" t="n">
        <v>3017.593</v>
      </c>
      <c r="BD62" t="n">
        <v>2985.82</v>
      </c>
      <c r="BE62" t="n">
        <v>2819.65</v>
      </c>
      <c r="BF62" t="n">
        <v>2854.505</v>
      </c>
      <c r="BG62" t="n">
        <v>2834.045</v>
      </c>
      <c r="BH62" t="n">
        <v>4354.968</v>
      </c>
      <c r="BI62" t="n">
        <v>5251.319</v>
      </c>
      <c r="BJ62" t="n">
        <v>4980.144</v>
      </c>
      <c r="BK62" t="n">
        <v>5614.313</v>
      </c>
      <c r="BL62" t="n">
        <v>3211.359</v>
      </c>
      <c r="BM62" t="n">
        <v>3290.377</v>
      </c>
      <c r="BN62" t="n">
        <v>3199.59</v>
      </c>
      <c r="BO62" t="n">
        <v>3601.387</v>
      </c>
      <c r="BP62" t="n">
        <v>3744.746</v>
      </c>
      <c r="BQ62" t="n">
        <v>3432.095</v>
      </c>
      <c r="BR62" t="n">
        <v>3534.079</v>
      </c>
      <c r="BS62" t="n">
        <v>3660.451</v>
      </c>
      <c r="BT62" t="n">
        <v>3394.691</v>
      </c>
      <c r="BU62" t="n">
        <v>3204.927</v>
      </c>
      <c r="BV62" t="n">
        <v>3003.855</v>
      </c>
    </row>
    <row r="63">
      <c r="A63" t="inlineStr">
        <is>
          <t>Metapenaeus tenuipes</t>
        </is>
      </c>
      <c r="B63" t="inlineStr">
        <is>
          <t>Stork shrimp</t>
        </is>
      </c>
      <c r="C63" t="inlineStr">
        <is>
          <t>Shrimps</t>
        </is>
      </c>
      <c r="D63" t="inlineStr">
        <is>
          <t>Crustaceans</t>
        </is>
      </c>
      <c r="E63" t="n">
        <v>241.463</v>
      </c>
      <c r="F63" t="n">
        <v>261.153</v>
      </c>
      <c r="G63" t="n">
        <v>293.411</v>
      </c>
      <c r="H63" t="n">
        <v>319.943</v>
      </c>
      <c r="I63" t="n">
        <v>347.559</v>
      </c>
      <c r="J63" t="n">
        <v>384.654</v>
      </c>
      <c r="K63" t="n">
        <v>417.764</v>
      </c>
      <c r="L63" t="n">
        <v>443.037</v>
      </c>
      <c r="M63" t="n">
        <v>478.448</v>
      </c>
      <c r="N63" t="n">
        <v>505.229</v>
      </c>
      <c r="O63" t="n">
        <v>768.99</v>
      </c>
      <c r="P63" t="n">
        <v>1217.879</v>
      </c>
      <c r="Q63" t="n">
        <v>1109.353</v>
      </c>
      <c r="R63" t="n">
        <v>809.314</v>
      </c>
      <c r="S63" t="n">
        <v>809.587</v>
      </c>
      <c r="T63" t="n">
        <v>1141.044</v>
      </c>
      <c r="U63" t="n">
        <v>1396.481</v>
      </c>
      <c r="V63" t="n">
        <v>1525.465</v>
      </c>
      <c r="W63" t="n">
        <v>2013.11</v>
      </c>
      <c r="X63" t="n">
        <v>2088.183</v>
      </c>
      <c r="Y63" t="n">
        <v>539.751</v>
      </c>
      <c r="Z63" t="n">
        <v>2117.903</v>
      </c>
      <c r="AA63" t="n">
        <v>1224.304</v>
      </c>
      <c r="AB63" t="n">
        <v>1313.949</v>
      </c>
      <c r="AC63" t="n">
        <v>1344.159</v>
      </c>
      <c r="AD63" t="n">
        <v>701.7569999999999</v>
      </c>
      <c r="AE63" t="n">
        <v>448.817</v>
      </c>
      <c r="AF63" t="n">
        <v>449.465</v>
      </c>
      <c r="AG63" t="n">
        <v>450.06</v>
      </c>
      <c r="AH63" t="n">
        <v>423.856</v>
      </c>
      <c r="AI63" t="n">
        <v>1010.61</v>
      </c>
      <c r="AJ63" t="n">
        <v>1462.988</v>
      </c>
      <c r="AK63" t="n">
        <v>1845.663</v>
      </c>
      <c r="AL63" t="n">
        <v>2372.742</v>
      </c>
      <c r="AM63" t="n">
        <v>2868.635</v>
      </c>
      <c r="AN63" t="n">
        <v>3464.072</v>
      </c>
      <c r="AO63" t="n">
        <v>2089.127</v>
      </c>
      <c r="AP63" t="n">
        <v>1800.22</v>
      </c>
      <c r="AQ63" t="n">
        <v>3354.642</v>
      </c>
      <c r="AR63" t="n">
        <v>4577.84</v>
      </c>
      <c r="AS63" t="n">
        <v>7282.937</v>
      </c>
      <c r="AT63" t="n">
        <v>5646.234</v>
      </c>
      <c r="AU63" t="n">
        <v>6402.231</v>
      </c>
      <c r="AV63" t="n">
        <v>6319.845</v>
      </c>
      <c r="AW63" t="n">
        <v>5986.862</v>
      </c>
      <c r="AX63" t="n">
        <v>6047.326</v>
      </c>
      <c r="AY63" t="n">
        <v>5968.457</v>
      </c>
      <c r="AZ63" t="n">
        <v>5741.697</v>
      </c>
      <c r="BA63" t="n">
        <v>6514.288</v>
      </c>
      <c r="BB63" t="n">
        <v>6041.694</v>
      </c>
      <c r="BC63" t="n">
        <v>5595.075</v>
      </c>
      <c r="BD63" t="n">
        <v>7812.695</v>
      </c>
      <c r="BE63" t="n">
        <v>7745.185</v>
      </c>
      <c r="BF63" t="n">
        <v>7918.438</v>
      </c>
      <c r="BG63" t="n">
        <v>7658.899</v>
      </c>
      <c r="BH63" t="n">
        <v>7852.697</v>
      </c>
      <c r="BI63" t="n">
        <v>7711.32</v>
      </c>
      <c r="BJ63" t="n">
        <v>6990.459</v>
      </c>
      <c r="BK63" t="n">
        <v>6889.191</v>
      </c>
      <c r="BL63" t="n">
        <v>4077.846</v>
      </c>
      <c r="BM63" t="n">
        <v>4423.031</v>
      </c>
      <c r="BN63" t="n">
        <v>4833.709</v>
      </c>
      <c r="BO63" t="n">
        <v>5092.138</v>
      </c>
      <c r="BP63" t="n">
        <v>5084.022</v>
      </c>
      <c r="BQ63" t="n">
        <v>5643.698</v>
      </c>
      <c r="BR63" t="n">
        <v>5747.447</v>
      </c>
      <c r="BS63" t="n">
        <v>5758.939</v>
      </c>
      <c r="BT63" t="n">
        <v>5797.088</v>
      </c>
      <c r="BU63" t="n">
        <v>5574.767</v>
      </c>
      <c r="BV63" t="n">
        <v>5562.113</v>
      </c>
    </row>
    <row r="64">
      <c r="A64" t="inlineStr">
        <is>
          <t>Metapenaeus affinis</t>
        </is>
      </c>
      <c r="B64" t="inlineStr">
        <is>
          <t>Jinga shrimp</t>
        </is>
      </c>
      <c r="C64" t="inlineStr">
        <is>
          <t>Shrimps</t>
        </is>
      </c>
      <c r="D64" t="inlineStr">
        <is>
          <t>Crustaceans</t>
        </is>
      </c>
      <c r="E64" t="n">
        <v>241.62</v>
      </c>
      <c r="F64" t="n">
        <v>261.324</v>
      </c>
      <c r="G64" t="n">
        <v>293.602</v>
      </c>
      <c r="H64" t="n">
        <v>320.151</v>
      </c>
      <c r="I64" t="n">
        <v>347.785</v>
      </c>
      <c r="J64" t="n">
        <v>384.904</v>
      </c>
      <c r="K64" t="n">
        <v>418.037</v>
      </c>
      <c r="L64" t="n">
        <v>443.326</v>
      </c>
      <c r="M64" t="n">
        <v>478.76</v>
      </c>
      <c r="N64" t="n">
        <v>505.558</v>
      </c>
      <c r="O64" t="n">
        <v>769.491</v>
      </c>
      <c r="P64" t="n">
        <v>1218.673</v>
      </c>
      <c r="Q64" t="n">
        <v>1110.075</v>
      </c>
      <c r="R64" t="n">
        <v>809.841</v>
      </c>
      <c r="S64" t="n">
        <v>810.115</v>
      </c>
      <c r="T64" t="n">
        <v>1142.348</v>
      </c>
      <c r="U64" t="n">
        <v>1398.207</v>
      </c>
      <c r="V64" t="n">
        <v>1527.379</v>
      </c>
      <c r="W64" t="n">
        <v>2015.87</v>
      </c>
      <c r="X64" t="n">
        <v>2091.027</v>
      </c>
      <c r="Y64" t="n">
        <v>540.2190000000001</v>
      </c>
      <c r="Z64" t="n">
        <v>2120.924</v>
      </c>
      <c r="AA64" t="n">
        <v>1225.779</v>
      </c>
      <c r="AB64" t="n">
        <v>1315.549</v>
      </c>
      <c r="AC64" t="n">
        <v>1345.78</v>
      </c>
      <c r="AD64" t="n">
        <v>702.958</v>
      </c>
      <c r="AE64" t="n">
        <v>449.553</v>
      </c>
      <c r="AF64" t="n">
        <v>450.201</v>
      </c>
      <c r="AG64" t="n">
        <v>450.797</v>
      </c>
      <c r="AH64" t="n">
        <v>424.544</v>
      </c>
      <c r="AI64" t="n">
        <v>1011.625</v>
      </c>
      <c r="AJ64" t="n">
        <v>1464.551</v>
      </c>
      <c r="AK64" t="n">
        <v>1847.498</v>
      </c>
      <c r="AL64" t="n">
        <v>2375.015</v>
      </c>
      <c r="AM64" t="n">
        <v>2871.169</v>
      </c>
      <c r="AN64" t="n">
        <v>3467.071</v>
      </c>
      <c r="AO64" t="n">
        <v>2091.19</v>
      </c>
      <c r="AP64" t="n">
        <v>1802.212</v>
      </c>
      <c r="AQ64" t="n">
        <v>3358.204</v>
      </c>
      <c r="AR64" t="n">
        <v>4583.017</v>
      </c>
      <c r="AS64" t="n">
        <v>7215.595</v>
      </c>
      <c r="AT64" t="n">
        <v>5601.628</v>
      </c>
      <c r="AU64" t="n">
        <v>6350.535</v>
      </c>
      <c r="AV64" t="n">
        <v>6269.277</v>
      </c>
      <c r="AW64" t="n">
        <v>5942.412</v>
      </c>
      <c r="AX64" t="n">
        <v>6000.455</v>
      </c>
      <c r="AY64" t="n">
        <v>5920.259</v>
      </c>
      <c r="AZ64" t="n">
        <v>5695.781</v>
      </c>
      <c r="BA64" t="n">
        <v>6464.659</v>
      </c>
      <c r="BB64" t="n">
        <v>5981.403</v>
      </c>
      <c r="BC64" t="n">
        <v>5537.509</v>
      </c>
      <c r="BD64" t="n">
        <v>7709.058</v>
      </c>
      <c r="BE64" t="n">
        <v>7625.564</v>
      </c>
      <c r="BF64" t="n">
        <v>7768.772</v>
      </c>
      <c r="BG64" t="n">
        <v>7504.367</v>
      </c>
      <c r="BH64" t="n">
        <v>7686.896</v>
      </c>
      <c r="BI64" t="n">
        <v>7544.161</v>
      </c>
      <c r="BJ64" t="n">
        <v>6838.024</v>
      </c>
      <c r="BK64" t="n">
        <v>6753.908</v>
      </c>
      <c r="BL64" t="n">
        <v>3991.12</v>
      </c>
      <c r="BM64" t="n">
        <v>4327.693</v>
      </c>
      <c r="BN64" t="n">
        <v>4726.383</v>
      </c>
      <c r="BO64" t="n">
        <v>4983.669</v>
      </c>
      <c r="BP64" t="n">
        <v>4981.503</v>
      </c>
      <c r="BQ64" t="n">
        <v>5531.728</v>
      </c>
      <c r="BR64" t="n">
        <v>5635.638</v>
      </c>
      <c r="BS64" t="n">
        <v>5646.844</v>
      </c>
      <c r="BT64" t="n">
        <v>5684.614</v>
      </c>
      <c r="BU64" t="n">
        <v>5585.177</v>
      </c>
      <c r="BV64" t="n">
        <v>5572.484</v>
      </c>
    </row>
    <row r="65">
      <c r="A65" t="inlineStr">
        <is>
          <t>Atule mate</t>
        </is>
      </c>
      <c r="B65" t="inlineStr">
        <is>
          <t>Yellowtail scad</t>
        </is>
      </c>
      <c r="C65" t="inlineStr">
        <is>
          <t>Small pelagics (&lt;30 cm)</t>
        </is>
      </c>
      <c r="D65" t="inlineStr">
        <is>
          <t>Perch-likes</t>
        </is>
      </c>
      <c r="E65" t="n">
        <v>540.708</v>
      </c>
      <c r="F65" t="n">
        <v>544.809</v>
      </c>
      <c r="G65" t="n">
        <v>572.11</v>
      </c>
      <c r="H65" t="n">
        <v>584.775</v>
      </c>
      <c r="I65" t="n">
        <v>597.014</v>
      </c>
      <c r="J65" t="n">
        <v>622.408</v>
      </c>
      <c r="K65" t="n">
        <v>638.111</v>
      </c>
      <c r="L65" t="n">
        <v>640.011</v>
      </c>
      <c r="M65" t="n">
        <v>654.807</v>
      </c>
      <c r="N65" t="n">
        <v>656.1130000000001</v>
      </c>
      <c r="O65" t="n">
        <v>678.548</v>
      </c>
      <c r="P65" t="n">
        <v>1106.025</v>
      </c>
      <c r="Q65" t="n">
        <v>1006.703</v>
      </c>
      <c r="R65" t="n">
        <v>731.251</v>
      </c>
      <c r="S65" t="n">
        <v>734.573</v>
      </c>
      <c r="T65" t="n">
        <v>1680.8</v>
      </c>
      <c r="U65" t="n">
        <v>2241.055</v>
      </c>
      <c r="V65" t="n">
        <v>2727.683</v>
      </c>
      <c r="W65" t="n">
        <v>2939.311</v>
      </c>
      <c r="X65" t="n">
        <v>3104.99</v>
      </c>
      <c r="Y65" t="n">
        <v>4071.429</v>
      </c>
      <c r="Z65" t="n">
        <v>3826.695</v>
      </c>
      <c r="AA65" t="n">
        <v>3965.958</v>
      </c>
      <c r="AB65" t="n">
        <v>3414.08</v>
      </c>
      <c r="AC65" t="n">
        <v>3437.4</v>
      </c>
      <c r="AD65" t="n">
        <v>2996.567</v>
      </c>
      <c r="AE65" t="n">
        <v>1816.17</v>
      </c>
      <c r="AF65" t="n">
        <v>1827.254</v>
      </c>
      <c r="AG65" t="n">
        <v>1838.342</v>
      </c>
      <c r="AH65" t="n">
        <v>1698.098</v>
      </c>
      <c r="AI65" t="n">
        <v>1661.583</v>
      </c>
      <c r="AJ65" t="n">
        <v>3019.403</v>
      </c>
      <c r="AK65" t="n">
        <v>3315.655</v>
      </c>
      <c r="AL65" t="n">
        <v>3852.218</v>
      </c>
      <c r="AM65" t="n">
        <v>3933.045</v>
      </c>
      <c r="AN65" t="n">
        <v>4300.174</v>
      </c>
      <c r="AO65" t="n">
        <v>3783.574</v>
      </c>
      <c r="AP65" t="n">
        <v>4109.695</v>
      </c>
      <c r="AQ65" t="n">
        <v>4356.231</v>
      </c>
      <c r="AR65" t="n">
        <v>4076.499</v>
      </c>
      <c r="AS65" t="n">
        <v>4638.966</v>
      </c>
      <c r="AT65" t="n">
        <v>4495.587</v>
      </c>
      <c r="AU65" t="n">
        <v>4082.043</v>
      </c>
      <c r="AV65" t="n">
        <v>4401.72</v>
      </c>
      <c r="AW65" t="n">
        <v>4351.419</v>
      </c>
      <c r="AX65" t="n">
        <v>4206.686</v>
      </c>
      <c r="AY65" t="n">
        <v>4123.613</v>
      </c>
      <c r="AZ65" t="n">
        <v>3932.994</v>
      </c>
      <c r="BA65" t="n">
        <v>4149.516</v>
      </c>
      <c r="BB65" t="n">
        <v>4151.393</v>
      </c>
      <c r="BC65" t="n">
        <v>3657.711</v>
      </c>
      <c r="BD65" t="n">
        <v>3104.168</v>
      </c>
      <c r="BE65" t="n">
        <v>2992.407</v>
      </c>
      <c r="BF65" t="n">
        <v>2842.128</v>
      </c>
      <c r="BG65" t="n">
        <v>2546.882</v>
      </c>
      <c r="BH65" t="n">
        <v>2618.068</v>
      </c>
      <c r="BI65" t="n">
        <v>2744.453</v>
      </c>
      <c r="BJ65" t="n">
        <v>3072.543</v>
      </c>
      <c r="BK65" t="n">
        <v>3549.96</v>
      </c>
      <c r="BL65" t="n">
        <v>4208.745</v>
      </c>
      <c r="BM65" t="n">
        <v>4846.242</v>
      </c>
      <c r="BN65" t="n">
        <v>6999.634</v>
      </c>
      <c r="BO65" t="n">
        <v>6824.159</v>
      </c>
      <c r="BP65" t="n">
        <v>6361.303</v>
      </c>
      <c r="BQ65" t="n">
        <v>6511.575</v>
      </c>
      <c r="BR65" t="n">
        <v>6967.063</v>
      </c>
      <c r="BS65" t="n">
        <v>6979.791</v>
      </c>
      <c r="BT65" t="n">
        <v>7009.273</v>
      </c>
      <c r="BU65" t="n">
        <v>8289.305</v>
      </c>
      <c r="BV65" t="n">
        <v>7423.115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n">
        <v>0.011</v>
      </c>
      <c r="F66" t="n">
        <v>0.013</v>
      </c>
      <c r="G66" t="n">
        <v>0.015</v>
      </c>
      <c r="H66" t="n">
        <v>0.015</v>
      </c>
      <c r="I66" t="n">
        <v>0.016</v>
      </c>
      <c r="J66" t="n">
        <v>0.017</v>
      </c>
      <c r="K66" t="n">
        <v>0.017</v>
      </c>
      <c r="L66" t="n">
        <v>0.016</v>
      </c>
      <c r="M66" t="n">
        <v>0.017</v>
      </c>
      <c r="N66" t="n">
        <v>0.016</v>
      </c>
      <c r="O66" t="n">
        <v>0.016</v>
      </c>
      <c r="P66" t="n">
        <v>0.02</v>
      </c>
      <c r="Q66" t="n">
        <v>0.02</v>
      </c>
      <c r="R66" t="n">
        <v>0.02</v>
      </c>
      <c r="S66" t="n">
        <v>0.021</v>
      </c>
      <c r="T66" t="n">
        <v>0.022</v>
      </c>
      <c r="U66" t="n">
        <v>0.023</v>
      </c>
      <c r="V66" t="n">
        <v>0.022</v>
      </c>
      <c r="W66" t="n">
        <v>0.024</v>
      </c>
      <c r="X66" t="n">
        <v>0.026</v>
      </c>
      <c r="Y66" t="n">
        <v>0.03</v>
      </c>
      <c r="Z66" t="n">
        <v>4982.471</v>
      </c>
      <c r="AA66" t="n">
        <v>1500.554</v>
      </c>
      <c r="AB66" t="n">
        <v>1379.75</v>
      </c>
      <c r="AC66" t="n">
        <v>1717.739</v>
      </c>
      <c r="AD66" t="n">
        <v>2625.268</v>
      </c>
      <c r="AE66" t="n">
        <v>1468.334</v>
      </c>
      <c r="AF66" t="n">
        <v>1197.365</v>
      </c>
      <c r="AG66" t="n">
        <v>2585.351</v>
      </c>
      <c r="AH66" t="n">
        <v>4614.669</v>
      </c>
      <c r="AI66" t="n">
        <v>2692.713</v>
      </c>
      <c r="AJ66" t="n">
        <v>3293.302</v>
      </c>
      <c r="AK66" t="n">
        <v>2332.987</v>
      </c>
      <c r="AL66" t="n">
        <v>2646.241</v>
      </c>
      <c r="AM66" t="n">
        <v>2175.601</v>
      </c>
      <c r="AN66" t="n">
        <v>2372.582</v>
      </c>
      <c r="AO66" t="n">
        <v>2681.596</v>
      </c>
      <c r="AP66" t="n">
        <v>3758.368</v>
      </c>
      <c r="AQ66" t="n">
        <v>4400.347</v>
      </c>
      <c r="AR66" t="n">
        <v>4441.328</v>
      </c>
      <c r="AS66" t="n">
        <v>5839.924</v>
      </c>
      <c r="AT66" t="n">
        <v>5918.308</v>
      </c>
      <c r="AU66" t="n">
        <v>5786.972</v>
      </c>
      <c r="AV66" t="n">
        <v>6234.231</v>
      </c>
      <c r="AW66" t="n">
        <v>7568.298</v>
      </c>
      <c r="AX66" t="n">
        <v>10120.24</v>
      </c>
      <c r="AY66" t="n">
        <v>2783.513</v>
      </c>
      <c r="AZ66" t="n">
        <v>2737.618</v>
      </c>
      <c r="BA66" t="n">
        <v>5099.856</v>
      </c>
      <c r="BB66" t="n">
        <v>6967.212</v>
      </c>
      <c r="BC66" t="n">
        <v>8131.206</v>
      </c>
      <c r="BD66" t="n">
        <v>6030.204</v>
      </c>
      <c r="BE66" t="n">
        <v>6601.837</v>
      </c>
      <c r="BF66" t="n">
        <v>7519.814</v>
      </c>
      <c r="BG66" t="n">
        <v>6214.728</v>
      </c>
      <c r="BH66" t="n">
        <v>5386.127</v>
      </c>
      <c r="BI66" t="n">
        <v>5300.136</v>
      </c>
      <c r="BJ66" t="n">
        <v>3729.119</v>
      </c>
      <c r="BK66" t="n">
        <v>3744.291</v>
      </c>
      <c r="BL66" t="n">
        <v>3158.063</v>
      </c>
      <c r="BM66" t="n">
        <v>4071.771</v>
      </c>
      <c r="BN66" t="n">
        <v>3607.454</v>
      </c>
      <c r="BO66" t="n">
        <v>3454.761</v>
      </c>
      <c r="BP66" t="n">
        <v>2990.275</v>
      </c>
      <c r="BQ66" t="n">
        <v>3185.152</v>
      </c>
      <c r="BR66" t="n">
        <v>2871.941</v>
      </c>
      <c r="BS66" t="n">
        <v>6122.922</v>
      </c>
      <c r="BT66" t="n">
        <v>6253.123</v>
      </c>
      <c r="BU66" t="n">
        <v>4648.559</v>
      </c>
      <c r="BV66" t="n">
        <v>5225.394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0.127</v>
      </c>
      <c r="F67" t="n">
        <v>7.146</v>
      </c>
      <c r="G67" t="n">
        <v>0</v>
      </c>
      <c r="H67" t="n">
        <v>33.802</v>
      </c>
      <c r="I67" t="n">
        <v>36.046</v>
      </c>
      <c r="J67" t="n">
        <v>35.816</v>
      </c>
      <c r="K67" t="n">
        <v>14.277</v>
      </c>
      <c r="L67" t="n">
        <v>36.83</v>
      </c>
      <c r="M67" t="n">
        <v>44.809</v>
      </c>
      <c r="N67" t="n">
        <v>40.305</v>
      </c>
      <c r="O67" t="n">
        <v>50.198</v>
      </c>
      <c r="P67" t="n">
        <v>100.851</v>
      </c>
      <c r="Q67" t="n">
        <v>99.16800000000001</v>
      </c>
      <c r="R67" t="n">
        <v>113.648</v>
      </c>
      <c r="S67" t="n">
        <v>423.122</v>
      </c>
      <c r="T67" t="n">
        <v>963.913</v>
      </c>
      <c r="U67" t="n">
        <v>746.679</v>
      </c>
      <c r="V67" t="n">
        <v>4101.437</v>
      </c>
      <c r="W67" t="n">
        <v>5697.963</v>
      </c>
      <c r="X67" t="n">
        <v>7949.872</v>
      </c>
      <c r="Y67" t="n">
        <v>4965.354</v>
      </c>
      <c r="Z67" t="n">
        <v>4916.675</v>
      </c>
      <c r="AA67" t="n">
        <v>3537.993</v>
      </c>
      <c r="AB67" t="n">
        <v>5402.991</v>
      </c>
      <c r="AC67" t="n">
        <v>3899.238</v>
      </c>
      <c r="AD67" t="n">
        <v>3298.504</v>
      </c>
      <c r="AE67" t="n">
        <v>4383.431</v>
      </c>
      <c r="AF67" t="n">
        <v>4290.35</v>
      </c>
      <c r="AG67" t="n">
        <v>3526.8</v>
      </c>
      <c r="AH67" t="n">
        <v>3346.584</v>
      </c>
      <c r="AI67" t="n">
        <v>3586.783</v>
      </c>
      <c r="AJ67" t="n">
        <v>3763.413</v>
      </c>
      <c r="AK67" t="n">
        <v>3404.132</v>
      </c>
      <c r="AL67" t="n">
        <v>3003.463</v>
      </c>
      <c r="AM67" t="n">
        <v>3302.262</v>
      </c>
      <c r="AN67" t="n">
        <v>3588.298</v>
      </c>
      <c r="AO67" t="n">
        <v>4448.331</v>
      </c>
      <c r="AP67" t="n">
        <v>4497.424</v>
      </c>
      <c r="AQ67" t="n">
        <v>4153.941</v>
      </c>
      <c r="AR67" t="n">
        <v>3314.024</v>
      </c>
      <c r="AS67" t="n">
        <v>2549.312</v>
      </c>
      <c r="AT67" t="n">
        <v>2772.947</v>
      </c>
      <c r="AU67" t="n">
        <v>1789.84</v>
      </c>
      <c r="AV67" t="n">
        <v>2153.463</v>
      </c>
      <c r="AW67" t="n">
        <v>2415.45</v>
      </c>
      <c r="AX67" t="n">
        <v>3023.504</v>
      </c>
      <c r="AY67" t="n">
        <v>3364.873</v>
      </c>
      <c r="AZ67" t="n">
        <v>3159.791</v>
      </c>
      <c r="BA67" t="n">
        <v>3733.059</v>
      </c>
      <c r="BB67" t="n">
        <v>7002.283</v>
      </c>
      <c r="BC67" t="n">
        <v>8259.762000000001</v>
      </c>
      <c r="BD67" t="n">
        <v>7417.524</v>
      </c>
      <c r="BE67" t="n">
        <v>9491.742</v>
      </c>
      <c r="BF67" t="n">
        <v>11208.964</v>
      </c>
      <c r="BG67" t="n">
        <v>6313.796</v>
      </c>
      <c r="BH67" t="n">
        <v>4411.603</v>
      </c>
      <c r="BI67" t="n">
        <v>4406.279</v>
      </c>
      <c r="BJ67" t="n">
        <v>3522.378</v>
      </c>
      <c r="BK67" t="n">
        <v>2483.139</v>
      </c>
      <c r="BL67" t="n">
        <v>2401.029</v>
      </c>
      <c r="BM67" t="n">
        <v>1568.194</v>
      </c>
      <c r="BN67" t="n">
        <v>1077.839</v>
      </c>
      <c r="BO67" t="n">
        <v>2677.577</v>
      </c>
      <c r="BP67" t="n">
        <v>2688.318</v>
      </c>
      <c r="BQ67" t="n">
        <v>2551.498</v>
      </c>
      <c r="BR67" t="n">
        <v>1139.944</v>
      </c>
      <c r="BS67" t="n">
        <v>688.614</v>
      </c>
      <c r="BT67" t="n">
        <v>908.672</v>
      </c>
      <c r="BU67" t="n">
        <v>410.284</v>
      </c>
      <c r="BV67" t="n">
        <v>485.067</v>
      </c>
    </row>
    <row r="68">
      <c r="A68" t="inlineStr">
        <is>
          <t>Sillago</t>
        </is>
      </c>
      <c r="B68" t="inlineStr">
        <is>
          <t>Smelt-whitings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59.06</v>
      </c>
      <c r="F68" t="n">
        <v>58.167</v>
      </c>
      <c r="G68" t="n">
        <v>59.643</v>
      </c>
      <c r="H68" t="n">
        <v>59.46</v>
      </c>
      <c r="I68" t="n">
        <v>59.134</v>
      </c>
      <c r="J68" t="n">
        <v>59.974</v>
      </c>
      <c r="K68" t="n">
        <v>59.73</v>
      </c>
      <c r="L68" t="n">
        <v>58.105</v>
      </c>
      <c r="M68" t="n">
        <v>57.559</v>
      </c>
      <c r="N68" t="n">
        <v>55.735</v>
      </c>
      <c r="O68" t="n">
        <v>55.587</v>
      </c>
      <c r="P68" t="n">
        <v>87.176</v>
      </c>
      <c r="Q68" t="n">
        <v>76.14700000000001</v>
      </c>
      <c r="R68" t="n">
        <v>52.928</v>
      </c>
      <c r="S68" t="n">
        <v>50.713</v>
      </c>
      <c r="T68" t="n">
        <v>30.521</v>
      </c>
      <c r="U68" t="n">
        <v>94.654</v>
      </c>
      <c r="V68" t="n">
        <v>92.877</v>
      </c>
      <c r="W68" t="n">
        <v>57.932</v>
      </c>
      <c r="X68" t="n">
        <v>60.034</v>
      </c>
      <c r="Y68" t="n">
        <v>1116.573</v>
      </c>
      <c r="Z68" t="n">
        <v>1040.741</v>
      </c>
      <c r="AA68" t="n">
        <v>1161.734</v>
      </c>
      <c r="AB68" t="n">
        <v>2098.73</v>
      </c>
      <c r="AC68" t="n">
        <v>2041.942</v>
      </c>
      <c r="AD68" t="n">
        <v>1349.314</v>
      </c>
      <c r="AE68" t="n">
        <v>1378.44</v>
      </c>
      <c r="AF68" t="n">
        <v>2413.497</v>
      </c>
      <c r="AG68" t="n">
        <v>4404.264</v>
      </c>
      <c r="AH68" t="n">
        <v>2993.731</v>
      </c>
      <c r="AI68" t="n">
        <v>3169.62</v>
      </c>
      <c r="AJ68" t="n">
        <v>3255.17</v>
      </c>
      <c r="AK68" t="n">
        <v>2588.169</v>
      </c>
      <c r="AL68" t="n">
        <v>2660.699</v>
      </c>
      <c r="AM68" t="n">
        <v>3340.305</v>
      </c>
      <c r="AN68" t="n">
        <v>4324.886</v>
      </c>
      <c r="AO68" t="n">
        <v>4159.995</v>
      </c>
      <c r="AP68" t="n">
        <v>4489.254</v>
      </c>
      <c r="AQ68" t="n">
        <v>5031.027</v>
      </c>
      <c r="AR68" t="n">
        <v>4528.212</v>
      </c>
      <c r="AS68" t="n">
        <v>3496.59</v>
      </c>
      <c r="AT68" t="n">
        <v>3776.866</v>
      </c>
      <c r="AU68" t="n">
        <v>3325.319</v>
      </c>
      <c r="AV68" t="n">
        <v>3304.1</v>
      </c>
      <c r="AW68" t="n">
        <v>3748.825</v>
      </c>
      <c r="AX68" t="n">
        <v>5403.904</v>
      </c>
      <c r="AY68" t="n">
        <v>4494.585</v>
      </c>
      <c r="AZ68" t="n">
        <v>4358.465</v>
      </c>
      <c r="BA68" t="n">
        <v>3878.013</v>
      </c>
      <c r="BB68" t="n">
        <v>3664.711</v>
      </c>
      <c r="BC68" t="n">
        <v>3095.05</v>
      </c>
      <c r="BD68" t="n">
        <v>3436.43</v>
      </c>
      <c r="BE68" t="n">
        <v>4772.305</v>
      </c>
      <c r="BF68" t="n">
        <v>4885.988</v>
      </c>
      <c r="BG68" t="n">
        <v>8044.043</v>
      </c>
      <c r="BH68" t="n">
        <v>10783.859</v>
      </c>
      <c r="BI68" t="n">
        <v>11681.873</v>
      </c>
      <c r="BJ68" t="n">
        <v>11893.681</v>
      </c>
      <c r="BK68" t="n">
        <v>4743.254</v>
      </c>
      <c r="BL68" t="n">
        <v>4204.758</v>
      </c>
      <c r="BM68" t="n">
        <v>2496.59</v>
      </c>
      <c r="BN68" t="n">
        <v>2095.812</v>
      </c>
      <c r="BO68" t="n">
        <v>2903.891</v>
      </c>
      <c r="BP68" t="n">
        <v>3005.539</v>
      </c>
      <c r="BQ68" t="n">
        <v>3052.139</v>
      </c>
      <c r="BR68" t="n">
        <v>1997.841</v>
      </c>
      <c r="BS68" t="n">
        <v>2144.78</v>
      </c>
      <c r="BT68" t="n">
        <v>2445.877</v>
      </c>
      <c r="BU68" t="n">
        <v>1909.678</v>
      </c>
      <c r="BV68" t="n">
        <v>3723.635</v>
      </c>
    </row>
    <row r="69">
      <c r="A69" t="inlineStr">
        <is>
          <t>Psettodes erumei</t>
        </is>
      </c>
      <c r="B69" t="inlineStr">
        <is>
          <t>Indian halibut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9663.799999999999</v>
      </c>
      <c r="AC69" t="n">
        <v>6715.204</v>
      </c>
      <c r="AD69" t="n">
        <v>7343.638</v>
      </c>
      <c r="AE69" t="n">
        <v>6994.067</v>
      </c>
      <c r="AF69" t="n">
        <v>8083.456</v>
      </c>
      <c r="AG69" t="n">
        <v>7764.664</v>
      </c>
      <c r="AH69" t="n">
        <v>7195.522</v>
      </c>
      <c r="AI69" t="n">
        <v>7677.655</v>
      </c>
      <c r="AJ69" t="n">
        <v>8560.914000000001</v>
      </c>
      <c r="AK69" t="n">
        <v>6442.048</v>
      </c>
      <c r="AL69" t="n">
        <v>4890.386</v>
      </c>
      <c r="AM69" t="n">
        <v>6349.005</v>
      </c>
      <c r="AN69" t="n">
        <v>6008.767</v>
      </c>
      <c r="AO69" t="n">
        <v>7158.361</v>
      </c>
      <c r="AP69" t="n">
        <v>7175.39</v>
      </c>
      <c r="AQ69" t="n">
        <v>6138.747</v>
      </c>
      <c r="AR69" t="n">
        <v>5873.521</v>
      </c>
      <c r="AS69" t="n">
        <v>5739.181</v>
      </c>
      <c r="AT69" t="n">
        <v>2295.521</v>
      </c>
      <c r="AU69" t="n">
        <v>1690.047</v>
      </c>
      <c r="AV69" t="n">
        <v>1433.045</v>
      </c>
      <c r="AW69" t="n">
        <v>1850.553</v>
      </c>
      <c r="AX69" t="n">
        <v>2277.875</v>
      </c>
      <c r="AY69" t="n">
        <v>1910.067</v>
      </c>
      <c r="AZ69" t="n">
        <v>1825.091</v>
      </c>
      <c r="BA69" t="n">
        <v>1698.366</v>
      </c>
      <c r="BB69" t="n">
        <v>2531.263</v>
      </c>
      <c r="BC69" t="n">
        <v>2666.898</v>
      </c>
      <c r="BD69" t="n">
        <v>932.6079999999999</v>
      </c>
      <c r="BE69" t="n">
        <v>1172.354</v>
      </c>
      <c r="BF69" t="n">
        <v>1614.929</v>
      </c>
      <c r="BG69" t="n">
        <v>2298.632</v>
      </c>
      <c r="BH69" t="n">
        <v>2841.755</v>
      </c>
      <c r="BI69" t="n">
        <v>2644.052</v>
      </c>
      <c r="BJ69" t="n">
        <v>2295.922</v>
      </c>
      <c r="BK69" t="n">
        <v>2373.298</v>
      </c>
      <c r="BL69" t="n">
        <v>2280.957</v>
      </c>
      <c r="BM69" t="n">
        <v>1867.831</v>
      </c>
      <c r="BN69" t="n">
        <v>2078.236</v>
      </c>
      <c r="BO69" t="n">
        <v>2575.353</v>
      </c>
      <c r="BP69" t="n">
        <v>4204.625</v>
      </c>
      <c r="BQ69" t="n">
        <v>3212.493</v>
      </c>
      <c r="BR69" t="n">
        <v>1871.374</v>
      </c>
      <c r="BS69" t="n">
        <v>1689.924</v>
      </c>
      <c r="BT69" t="n">
        <v>2186.596</v>
      </c>
      <c r="BU69" t="n">
        <v>1732.484</v>
      </c>
      <c r="BV69" t="n">
        <v>1844.564</v>
      </c>
    </row>
    <row r="70">
      <c r="A70" t="inlineStr">
        <is>
          <t>Serranidae</t>
        </is>
      </c>
      <c r="B70" t="inlineStr">
        <is>
          <t>Basses, groupers,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0.035</v>
      </c>
      <c r="F70" t="n">
        <v>1.179</v>
      </c>
      <c r="G70" t="n">
        <v>5.988</v>
      </c>
      <c r="H70" t="n">
        <v>5.11</v>
      </c>
      <c r="I70" t="n">
        <v>5.453</v>
      </c>
      <c r="J70" t="n">
        <v>5.419</v>
      </c>
      <c r="K70" t="n">
        <v>17.314</v>
      </c>
      <c r="L70" t="n">
        <v>33.407</v>
      </c>
      <c r="M70" t="n">
        <v>40.585</v>
      </c>
      <c r="N70" t="n">
        <v>36.538</v>
      </c>
      <c r="O70" t="n">
        <v>45.443</v>
      </c>
      <c r="P70" t="n">
        <v>81.004</v>
      </c>
      <c r="Q70" t="n">
        <v>79.658</v>
      </c>
      <c r="R70" t="n">
        <v>91.22199999999999</v>
      </c>
      <c r="S70" t="n">
        <v>90.694</v>
      </c>
      <c r="T70" t="n">
        <v>114.203</v>
      </c>
      <c r="U70" t="n">
        <v>194.637</v>
      </c>
      <c r="V70" t="n">
        <v>193.328</v>
      </c>
      <c r="W70" t="n">
        <v>160.4</v>
      </c>
      <c r="X70" t="n">
        <v>179.008</v>
      </c>
      <c r="Y70" t="n">
        <v>414.94</v>
      </c>
      <c r="Z70" t="n">
        <v>71.565</v>
      </c>
      <c r="AA70" t="n">
        <v>74.023</v>
      </c>
      <c r="AB70" t="n">
        <v>69.172</v>
      </c>
      <c r="AC70" t="n">
        <v>70.151</v>
      </c>
      <c r="AD70" t="n">
        <v>62.244</v>
      </c>
      <c r="AE70" t="n">
        <v>1488.245</v>
      </c>
      <c r="AF70" t="n">
        <v>44.768</v>
      </c>
      <c r="AG70" t="n">
        <v>682.075</v>
      </c>
      <c r="AH70" t="n">
        <v>869.477</v>
      </c>
      <c r="AI70" t="n">
        <v>604.5359999999999</v>
      </c>
      <c r="AJ70" t="n">
        <v>760.1849999999999</v>
      </c>
      <c r="AK70" t="n">
        <v>788.1900000000001</v>
      </c>
      <c r="AL70" t="n">
        <v>653.272</v>
      </c>
      <c r="AM70" t="n">
        <v>954.408</v>
      </c>
      <c r="AN70" t="n">
        <v>923.0700000000001</v>
      </c>
      <c r="AO70" t="n">
        <v>871.523</v>
      </c>
      <c r="AP70" t="n">
        <v>737.39</v>
      </c>
      <c r="AQ70" t="n">
        <v>827.026</v>
      </c>
      <c r="AR70" t="n">
        <v>694.624</v>
      </c>
      <c r="AS70" t="n">
        <v>671.702</v>
      </c>
      <c r="AT70" t="n">
        <v>374.435</v>
      </c>
      <c r="AU70" t="n">
        <v>267.527</v>
      </c>
      <c r="AV70" t="n">
        <v>379.697</v>
      </c>
      <c r="AW70" t="n">
        <v>9302.591</v>
      </c>
      <c r="AX70" t="n">
        <v>8156.302</v>
      </c>
      <c r="AY70" t="n">
        <v>8858.022000000001</v>
      </c>
      <c r="AZ70" t="n">
        <v>8431.231</v>
      </c>
      <c r="BA70" t="n">
        <v>7999.844</v>
      </c>
      <c r="BB70" t="n">
        <v>8119.911</v>
      </c>
      <c r="BC70" t="n">
        <v>7463.874</v>
      </c>
      <c r="BD70" t="n">
        <v>7277.328</v>
      </c>
      <c r="BE70" t="n">
        <v>7722.683</v>
      </c>
      <c r="BF70" t="n">
        <v>6876.874</v>
      </c>
      <c r="BG70" t="n">
        <v>5150.476</v>
      </c>
      <c r="BH70" t="n">
        <v>5515.835</v>
      </c>
      <c r="BI70" t="n">
        <v>4983.963</v>
      </c>
      <c r="BJ70" t="n">
        <v>4995.085</v>
      </c>
      <c r="BK70" t="n">
        <v>4701.867</v>
      </c>
      <c r="BL70" t="n">
        <v>4888.606</v>
      </c>
      <c r="BM70" t="n">
        <v>4938.315</v>
      </c>
      <c r="BN70" t="n">
        <v>4713.643</v>
      </c>
      <c r="BO70" t="n">
        <v>6001.666</v>
      </c>
      <c r="BP70" t="n">
        <v>5854.171</v>
      </c>
      <c r="BQ70" t="n">
        <v>5359.429</v>
      </c>
      <c r="BR70" t="n">
        <v>6804.378</v>
      </c>
      <c r="BS70" t="n">
        <v>6120.04</v>
      </c>
      <c r="BT70" t="n">
        <v>7065.134</v>
      </c>
      <c r="BU70" t="n">
        <v>6768.201</v>
      </c>
      <c r="BV70" t="n">
        <v>6347.942</v>
      </c>
    </row>
    <row r="71">
      <c r="A71" t="inlineStr">
        <is>
          <t>Chirocentrus</t>
        </is>
      </c>
      <c r="B71" t="inlineStr">
        <is>
          <t>Wolf herrings</t>
        </is>
      </c>
      <c r="C71" t="inlineStr">
        <is>
          <t>Large pelagics (&gt;=90 cm)</t>
        </is>
      </c>
      <c r="D71" t="inlineStr">
        <is>
          <t>Herring-likes</t>
        </is>
      </c>
      <c r="E71" t="n">
        <v>1435.215</v>
      </c>
      <c r="F71" t="n">
        <v>1379.746</v>
      </c>
      <c r="G71" t="n">
        <v>1263.358</v>
      </c>
      <c r="H71" t="n">
        <v>1222.525</v>
      </c>
      <c r="I71" t="n">
        <v>1237.33</v>
      </c>
      <c r="J71" t="n">
        <v>1323.752</v>
      </c>
      <c r="K71" t="n">
        <v>1343.764</v>
      </c>
      <c r="L71" t="n">
        <v>1408.87</v>
      </c>
      <c r="M71" t="n">
        <v>1603.156</v>
      </c>
      <c r="N71" t="n">
        <v>1720.072</v>
      </c>
      <c r="O71" t="n">
        <v>1815.314</v>
      </c>
      <c r="P71" t="n">
        <v>1869.824</v>
      </c>
      <c r="Q71" t="n">
        <v>2078.955</v>
      </c>
      <c r="R71" t="n">
        <v>2235.848</v>
      </c>
      <c r="S71" t="n">
        <v>2531.817</v>
      </c>
      <c r="T71" t="n">
        <v>2273.372</v>
      </c>
      <c r="U71" t="n">
        <v>2438.596</v>
      </c>
      <c r="V71" t="n">
        <v>2527.075</v>
      </c>
      <c r="W71" t="n">
        <v>2546.21</v>
      </c>
      <c r="X71" t="n">
        <v>2343.892</v>
      </c>
      <c r="Y71" t="n">
        <v>2940.296</v>
      </c>
      <c r="Z71" t="n">
        <v>2484.496</v>
      </c>
      <c r="AA71" t="n">
        <v>2651.061</v>
      </c>
      <c r="AB71" t="n">
        <v>2837.842</v>
      </c>
      <c r="AC71" t="n">
        <v>3065.387</v>
      </c>
      <c r="AD71" t="n">
        <v>3030.828</v>
      </c>
      <c r="AE71" t="n">
        <v>3302.462</v>
      </c>
      <c r="AF71" t="n">
        <v>3870.923</v>
      </c>
      <c r="AG71" t="n">
        <v>4625.231</v>
      </c>
      <c r="AH71" t="n">
        <v>4319.702</v>
      </c>
      <c r="AI71" t="n">
        <v>1978.646</v>
      </c>
      <c r="AJ71" t="n">
        <v>2640.018</v>
      </c>
      <c r="AK71" t="n">
        <v>1822.138</v>
      </c>
      <c r="AL71" t="n">
        <v>2011.228</v>
      </c>
      <c r="AM71" t="n">
        <v>1774.144</v>
      </c>
      <c r="AN71" t="n">
        <v>2592.817</v>
      </c>
      <c r="AO71" t="n">
        <v>2073.613</v>
      </c>
      <c r="AP71" t="n">
        <v>2070.532</v>
      </c>
      <c r="AQ71" t="n">
        <v>2170.124</v>
      </c>
      <c r="AR71" t="n">
        <v>2095.293</v>
      </c>
      <c r="AS71" t="n">
        <v>1709.785</v>
      </c>
      <c r="AT71" t="n">
        <v>1872.005</v>
      </c>
      <c r="AU71" t="n">
        <v>1922.583</v>
      </c>
      <c r="AV71" t="n">
        <v>2010.074</v>
      </c>
      <c r="AW71" t="n">
        <v>1942.26</v>
      </c>
      <c r="AX71" t="n">
        <v>1707.073</v>
      </c>
      <c r="AY71" t="n">
        <v>1780.043</v>
      </c>
      <c r="AZ71" t="n">
        <v>2067.421</v>
      </c>
      <c r="BA71" t="n">
        <v>1783.285</v>
      </c>
      <c r="BB71" t="n">
        <v>2212.099</v>
      </c>
      <c r="BC71" t="n">
        <v>1566.108</v>
      </c>
      <c r="BD71" t="n">
        <v>1578.907</v>
      </c>
      <c r="BE71" t="n">
        <v>1432.992</v>
      </c>
      <c r="BF71" t="n">
        <v>1490.413</v>
      </c>
      <c r="BG71" t="n">
        <v>1478.664</v>
      </c>
      <c r="BH71" t="n">
        <v>6549.36</v>
      </c>
      <c r="BI71" t="n">
        <v>7964.735</v>
      </c>
      <c r="BJ71" t="n">
        <v>7555.094</v>
      </c>
      <c r="BK71" t="n">
        <v>8473.111000000001</v>
      </c>
      <c r="BL71" t="n">
        <v>3200.677</v>
      </c>
      <c r="BM71" t="n">
        <v>3171.07</v>
      </c>
      <c r="BN71" t="n">
        <v>3080.728</v>
      </c>
      <c r="BO71" t="n">
        <v>3469.884</v>
      </c>
      <c r="BP71" t="n">
        <v>3607.479</v>
      </c>
      <c r="BQ71" t="n">
        <v>3307.989</v>
      </c>
      <c r="BR71" t="n">
        <v>3404.297</v>
      </c>
      <c r="BS71" t="n">
        <v>3528.521</v>
      </c>
      <c r="BT71" t="n">
        <v>3267.878</v>
      </c>
      <c r="BU71" t="n">
        <v>3094.942</v>
      </c>
      <c r="BV71" t="n">
        <v>2900.448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627.136</v>
      </c>
      <c r="F72" t="n">
        <v>599.117</v>
      </c>
      <c r="G72" t="n">
        <v>554.616</v>
      </c>
      <c r="H72" t="n">
        <v>520.828</v>
      </c>
      <c r="I72" t="n">
        <v>525.773</v>
      </c>
      <c r="J72" t="n">
        <v>562.033</v>
      </c>
      <c r="K72" t="n">
        <v>567.801</v>
      </c>
      <c r="L72" t="n">
        <v>584.283</v>
      </c>
      <c r="M72" t="n">
        <v>663.396</v>
      </c>
      <c r="N72" t="n">
        <v>716.963</v>
      </c>
      <c r="O72" t="n">
        <v>753.223</v>
      </c>
      <c r="P72" t="n">
        <v>775.473</v>
      </c>
      <c r="Q72" t="n">
        <v>866.948</v>
      </c>
      <c r="R72" t="n">
        <v>935.348</v>
      </c>
      <c r="S72" t="n">
        <v>1061.434</v>
      </c>
      <c r="T72" t="n">
        <v>960.253</v>
      </c>
      <c r="U72" t="n">
        <v>979.263</v>
      </c>
      <c r="V72" t="n">
        <v>1022.542</v>
      </c>
      <c r="W72" t="n">
        <v>1040.542</v>
      </c>
      <c r="X72" t="n">
        <v>937.53</v>
      </c>
      <c r="Y72" t="n">
        <v>1124.802</v>
      </c>
      <c r="Z72" t="n">
        <v>1138.384</v>
      </c>
      <c r="AA72" t="n">
        <v>1234.088</v>
      </c>
      <c r="AB72" t="n">
        <v>1327.492</v>
      </c>
      <c r="AC72" t="n">
        <v>1459.549</v>
      </c>
      <c r="AD72" t="n">
        <v>1459.349</v>
      </c>
      <c r="AE72" t="n">
        <v>4091.122</v>
      </c>
      <c r="AF72" t="n">
        <v>4749.206</v>
      </c>
      <c r="AG72" t="n">
        <v>5671.024</v>
      </c>
      <c r="AH72" t="n">
        <v>5156.568</v>
      </c>
      <c r="AI72" t="n">
        <v>2670.342</v>
      </c>
      <c r="AJ72" t="n">
        <v>3607.518</v>
      </c>
      <c r="AK72" t="n">
        <v>2411.387</v>
      </c>
      <c r="AL72" t="n">
        <v>2693.229</v>
      </c>
      <c r="AM72" t="n">
        <v>2337.34</v>
      </c>
      <c r="AN72" t="n">
        <v>1736.907</v>
      </c>
      <c r="AO72" t="n">
        <v>1374.632</v>
      </c>
      <c r="AP72" t="n">
        <v>1438.453</v>
      </c>
      <c r="AQ72" t="n">
        <v>1525.779</v>
      </c>
      <c r="AR72" t="n">
        <v>1502.97</v>
      </c>
      <c r="AS72" t="n">
        <v>2437.306</v>
      </c>
      <c r="AT72" t="n">
        <v>2634.173</v>
      </c>
      <c r="AU72" t="n">
        <v>2681.543</v>
      </c>
      <c r="AV72" t="n">
        <v>2786.186</v>
      </c>
      <c r="AW72" t="n">
        <v>2643.401</v>
      </c>
      <c r="AX72" t="n">
        <v>1464.221</v>
      </c>
      <c r="AY72" t="n">
        <v>1511.327</v>
      </c>
      <c r="AZ72" t="n">
        <v>1748.733</v>
      </c>
      <c r="BA72" t="n">
        <v>1518.667</v>
      </c>
      <c r="BB72" t="n">
        <v>1885.214</v>
      </c>
      <c r="BC72" t="n">
        <v>3966.592</v>
      </c>
      <c r="BD72" t="n">
        <v>4083.072</v>
      </c>
      <c r="BE72" t="n">
        <v>3536.071</v>
      </c>
      <c r="BF72" t="n">
        <v>3838.391</v>
      </c>
      <c r="BG72" t="n">
        <v>3794.231</v>
      </c>
      <c r="BH72" t="n">
        <v>1366.172</v>
      </c>
      <c r="BI72" t="n">
        <v>1537.858</v>
      </c>
      <c r="BJ72" t="n">
        <v>1478.325</v>
      </c>
      <c r="BK72" t="n">
        <v>1678.161</v>
      </c>
      <c r="BL72" t="n">
        <v>6114.331</v>
      </c>
      <c r="BM72" t="n">
        <v>5784.927</v>
      </c>
      <c r="BN72" t="n">
        <v>5621.701</v>
      </c>
      <c r="BO72" t="n">
        <v>6327.144</v>
      </c>
      <c r="BP72" t="n">
        <v>6578.121</v>
      </c>
      <c r="BQ72" t="n">
        <v>6028.09</v>
      </c>
      <c r="BR72" t="n">
        <v>6207.791</v>
      </c>
      <c r="BS72" t="n">
        <v>6427.815</v>
      </c>
      <c r="BT72" t="n">
        <v>5959.776</v>
      </c>
      <c r="BU72" t="n">
        <v>6482.946</v>
      </c>
      <c r="BV72" t="n">
        <v>6075.826</v>
      </c>
    </row>
    <row r="73">
      <c r="A73" t="inlineStr">
        <is>
          <t>Portunidae</t>
        </is>
      </c>
      <c r="B73" t="inlineStr">
        <is>
          <t>Swimming crabs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15.086</v>
      </c>
      <c r="G73" t="n">
        <v>32.037</v>
      </c>
      <c r="H73" t="n">
        <v>49.671</v>
      </c>
      <c r="I73" t="n">
        <v>68.38200000000001</v>
      </c>
      <c r="J73" t="n">
        <v>90.13800000000001</v>
      </c>
      <c r="K73" t="n">
        <v>112.184</v>
      </c>
      <c r="L73" t="n">
        <v>132.816</v>
      </c>
      <c r="M73" t="n">
        <v>157.148</v>
      </c>
      <c r="N73" t="n">
        <v>179.278</v>
      </c>
      <c r="O73" t="n">
        <v>208.521</v>
      </c>
      <c r="P73" t="n">
        <v>378.491</v>
      </c>
      <c r="Q73" t="n">
        <v>380.519</v>
      </c>
      <c r="R73" t="n">
        <v>303.226</v>
      </c>
      <c r="S73" t="n">
        <v>332.24</v>
      </c>
      <c r="T73" t="n">
        <v>615.0599999999999</v>
      </c>
      <c r="U73" t="n">
        <v>813.092</v>
      </c>
      <c r="V73" t="n">
        <v>982.492</v>
      </c>
      <c r="W73" t="n">
        <v>1094.273</v>
      </c>
      <c r="X73" t="n">
        <v>1167.781</v>
      </c>
      <c r="Y73" t="n">
        <v>1410.154</v>
      </c>
      <c r="Z73" t="n">
        <v>1465.691</v>
      </c>
      <c r="AA73" t="n">
        <v>1477.089</v>
      </c>
      <c r="AB73" t="n">
        <v>1341.243</v>
      </c>
      <c r="AC73" t="n">
        <v>1354.829</v>
      </c>
      <c r="AD73" t="n">
        <v>957.452</v>
      </c>
      <c r="AE73" t="n">
        <v>588.4880000000001</v>
      </c>
      <c r="AF73" t="n">
        <v>588.376</v>
      </c>
      <c r="AG73" t="n">
        <v>588.2430000000001</v>
      </c>
      <c r="AH73" t="n">
        <v>542.973</v>
      </c>
      <c r="AI73" t="n">
        <v>763.556</v>
      </c>
      <c r="AJ73" t="n">
        <v>1317.773</v>
      </c>
      <c r="AK73" t="n">
        <v>1604.773</v>
      </c>
      <c r="AL73" t="n">
        <v>2002.049</v>
      </c>
      <c r="AM73" t="n">
        <v>2283.357</v>
      </c>
      <c r="AN73" t="n">
        <v>2696.031</v>
      </c>
      <c r="AO73" t="n">
        <v>2679.792</v>
      </c>
      <c r="AP73" t="n">
        <v>2951.868</v>
      </c>
      <c r="AQ73" t="n">
        <v>3078.28</v>
      </c>
      <c r="AR73" t="n">
        <v>3233.413</v>
      </c>
      <c r="AS73" t="n">
        <v>3750.617</v>
      </c>
      <c r="AT73" t="n">
        <v>3686.47</v>
      </c>
      <c r="AU73" t="n">
        <v>3627.199</v>
      </c>
      <c r="AV73" t="n">
        <v>3655.222</v>
      </c>
      <c r="AW73" t="n">
        <v>3587.368</v>
      </c>
      <c r="AX73" t="n">
        <v>3610.043</v>
      </c>
      <c r="AY73" t="n">
        <v>3622.497</v>
      </c>
      <c r="AZ73" t="n">
        <v>3544.599</v>
      </c>
      <c r="BA73" t="n">
        <v>4014.905</v>
      </c>
      <c r="BB73" t="n">
        <v>3887.561</v>
      </c>
      <c r="BC73" t="n">
        <v>4117.14</v>
      </c>
      <c r="BD73" t="n">
        <v>3789.55</v>
      </c>
      <c r="BE73" t="n">
        <v>3542.477</v>
      </c>
      <c r="BF73" t="n">
        <v>3718.893</v>
      </c>
      <c r="BG73" t="n">
        <v>3763.217</v>
      </c>
      <c r="BH73" t="n">
        <v>3958.534</v>
      </c>
      <c r="BI73" t="n">
        <v>3696.477</v>
      </c>
      <c r="BJ73" t="n">
        <v>3748.557</v>
      </c>
      <c r="BK73" t="n">
        <v>4104.379</v>
      </c>
      <c r="BL73" t="n">
        <v>4108.776</v>
      </c>
      <c r="BM73" t="n">
        <v>4522.936</v>
      </c>
      <c r="BN73" t="n">
        <v>5992.577</v>
      </c>
      <c r="BO73" t="n">
        <v>5862.089</v>
      </c>
      <c r="BP73" t="n">
        <v>5497.294</v>
      </c>
      <c r="BQ73" t="n">
        <v>6024.846</v>
      </c>
      <c r="BR73" t="n">
        <v>5816.764</v>
      </c>
      <c r="BS73" t="n">
        <v>5826.01</v>
      </c>
      <c r="BT73" t="n">
        <v>5853.36</v>
      </c>
      <c r="BU73" t="n">
        <v>6944.947</v>
      </c>
      <c r="BV73" t="n">
        <v>6166.963</v>
      </c>
    </row>
    <row r="74">
      <c r="A74" t="inlineStr">
        <is>
          <t>Lutjanus malabaricus</t>
        </is>
      </c>
      <c r="B74" t="inlineStr">
        <is>
          <t>Malabar blood snapper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2342.878</v>
      </c>
      <c r="F74" t="n">
        <v>2242.539</v>
      </c>
      <c r="G74" t="n">
        <v>2063.071</v>
      </c>
      <c r="H74" t="n">
        <v>1939.89</v>
      </c>
      <c r="I74" t="n">
        <v>1961.916</v>
      </c>
      <c r="J74" t="n">
        <v>2103.043</v>
      </c>
      <c r="K74" t="n">
        <v>2125.885</v>
      </c>
      <c r="L74" t="n">
        <v>2191.146</v>
      </c>
      <c r="M74" t="n">
        <v>2485.637</v>
      </c>
      <c r="N74" t="n">
        <v>2690.394</v>
      </c>
      <c r="O74" t="n">
        <v>2816.838</v>
      </c>
      <c r="P74" t="n">
        <v>2890.257</v>
      </c>
      <c r="Q74" t="n">
        <v>3233.694</v>
      </c>
      <c r="R74" t="n">
        <v>3465.371</v>
      </c>
      <c r="S74" t="n">
        <v>3949.936</v>
      </c>
      <c r="T74" t="n">
        <v>3470.505</v>
      </c>
      <c r="U74" t="n">
        <v>3475.783</v>
      </c>
      <c r="V74" t="n">
        <v>3564.15</v>
      </c>
      <c r="W74" t="n">
        <v>3561.99</v>
      </c>
      <c r="X74" t="n">
        <v>3169.486</v>
      </c>
      <c r="Y74" t="n">
        <v>3383.741</v>
      </c>
      <c r="Z74" t="n">
        <v>3350.69</v>
      </c>
      <c r="AA74" t="n">
        <v>3347.064</v>
      </c>
      <c r="AB74" t="n">
        <v>3483.943</v>
      </c>
      <c r="AC74" t="n">
        <v>3614.319</v>
      </c>
      <c r="AD74" t="n">
        <v>3286.208</v>
      </c>
      <c r="AE74" t="n">
        <v>3436.275</v>
      </c>
      <c r="AF74" t="n">
        <v>4075.661</v>
      </c>
      <c r="AG74" t="n">
        <v>4807.644</v>
      </c>
      <c r="AH74" t="n">
        <v>4412.231</v>
      </c>
      <c r="AI74" t="n">
        <v>3877.164</v>
      </c>
      <c r="AJ74" t="n">
        <v>5248.072</v>
      </c>
      <c r="AK74" t="n">
        <v>3483.283</v>
      </c>
      <c r="AL74" t="n">
        <v>3904.512</v>
      </c>
      <c r="AM74" t="n">
        <v>3398.42</v>
      </c>
      <c r="AN74" t="n">
        <v>1997.227</v>
      </c>
      <c r="AO74" t="n">
        <v>1623.335</v>
      </c>
      <c r="AP74" t="n">
        <v>1598.711</v>
      </c>
      <c r="AQ74" t="n">
        <v>1576.622</v>
      </c>
      <c r="AR74" t="n">
        <v>1502.627</v>
      </c>
      <c r="AS74" t="n">
        <v>2793.345</v>
      </c>
      <c r="AT74" t="n">
        <v>3058.214</v>
      </c>
      <c r="AU74" t="n">
        <v>3133.467</v>
      </c>
      <c r="AV74" t="n">
        <v>3252.007</v>
      </c>
      <c r="AW74" t="n">
        <v>3085.933</v>
      </c>
      <c r="AX74" t="n">
        <v>2272.212</v>
      </c>
      <c r="AY74" t="n">
        <v>2366.142</v>
      </c>
      <c r="AZ74" t="n">
        <v>2793.983</v>
      </c>
      <c r="BA74" t="n">
        <v>2356.047</v>
      </c>
      <c r="BB74" t="n">
        <v>2960.567</v>
      </c>
      <c r="BC74" t="n">
        <v>2611.719</v>
      </c>
      <c r="BD74" t="n">
        <v>2674.138</v>
      </c>
      <c r="BE74" t="n">
        <v>2329.205</v>
      </c>
      <c r="BF74" t="n">
        <v>2515.211</v>
      </c>
      <c r="BG74" t="n">
        <v>2493.867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Muraenesox cinereus</t>
        </is>
      </c>
      <c r="B75" t="inlineStr">
        <is>
          <t>Daggertooth pike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10.902</v>
      </c>
      <c r="F75" t="n">
        <v>10.902</v>
      </c>
      <c r="G75" t="n">
        <v>15.095</v>
      </c>
      <c r="H75" t="n">
        <v>12.579</v>
      </c>
      <c r="I75" t="n">
        <v>10.902</v>
      </c>
      <c r="J75" t="n">
        <v>10.902</v>
      </c>
      <c r="K75" t="n">
        <v>10.902</v>
      </c>
      <c r="L75" t="n">
        <v>10.902</v>
      </c>
      <c r="M75" t="n">
        <v>11.741</v>
      </c>
      <c r="N75" t="n">
        <v>10.902</v>
      </c>
      <c r="O75" t="n">
        <v>15.095</v>
      </c>
      <c r="P75" t="n">
        <v>18.45</v>
      </c>
      <c r="Q75" t="n">
        <v>19.288</v>
      </c>
      <c r="R75" t="n">
        <v>29.352</v>
      </c>
      <c r="S75" t="n">
        <v>27.674</v>
      </c>
      <c r="T75" t="n">
        <v>33.486</v>
      </c>
      <c r="U75" t="n">
        <v>38.464</v>
      </c>
      <c r="V75" t="n">
        <v>35.038</v>
      </c>
      <c r="W75" t="n">
        <v>37.501</v>
      </c>
      <c r="X75" t="n">
        <v>31.895</v>
      </c>
      <c r="Y75" t="n">
        <v>43.581</v>
      </c>
      <c r="Z75" t="n">
        <v>49.256</v>
      </c>
      <c r="AA75" t="n">
        <v>49.132</v>
      </c>
      <c r="AB75" t="n">
        <v>2404.436</v>
      </c>
      <c r="AC75" t="n">
        <v>1843.398</v>
      </c>
      <c r="AD75" t="n">
        <v>3815.207</v>
      </c>
      <c r="AE75" t="n">
        <v>2831.758</v>
      </c>
      <c r="AF75" t="n">
        <v>4168.205</v>
      </c>
      <c r="AG75" t="n">
        <v>4205.027</v>
      </c>
      <c r="AH75" t="n">
        <v>5048.038</v>
      </c>
      <c r="AI75" t="n">
        <v>4569.456</v>
      </c>
      <c r="AJ75" t="n">
        <v>4745.314</v>
      </c>
      <c r="AK75" t="n">
        <v>4771.995</v>
      </c>
      <c r="AL75" t="n">
        <v>4691.25</v>
      </c>
      <c r="AM75" t="n">
        <v>3744.472</v>
      </c>
      <c r="AN75" t="n">
        <v>4643.21</v>
      </c>
      <c r="AO75" t="n">
        <v>4988.057</v>
      </c>
      <c r="AP75" t="n">
        <v>5136.885</v>
      </c>
      <c r="AQ75" t="n">
        <v>4304.225</v>
      </c>
      <c r="AR75" t="n">
        <v>3132.374</v>
      </c>
      <c r="AS75" t="n">
        <v>3528.993</v>
      </c>
      <c r="AT75" t="n">
        <v>2078.018</v>
      </c>
      <c r="AU75" t="n">
        <v>1719.498</v>
      </c>
      <c r="AV75" t="n">
        <v>3296.48</v>
      </c>
      <c r="AW75" t="n">
        <v>4752.023</v>
      </c>
      <c r="AX75" t="n">
        <v>3826.405</v>
      </c>
      <c r="AY75" t="n">
        <v>1351.752</v>
      </c>
      <c r="AZ75" t="n">
        <v>1268.568</v>
      </c>
      <c r="BA75" t="n">
        <v>1815.91</v>
      </c>
      <c r="BB75" t="n">
        <v>1661.535</v>
      </c>
      <c r="BC75" t="n">
        <v>1633.627</v>
      </c>
      <c r="BD75" t="n">
        <v>1600.787</v>
      </c>
      <c r="BE75" t="n">
        <v>1610.089</v>
      </c>
      <c r="BF75" t="n">
        <v>1673.744</v>
      </c>
      <c r="BG75" t="n">
        <v>2557.934</v>
      </c>
      <c r="BH75" t="n">
        <v>2490.934</v>
      </c>
      <c r="BI75" t="n">
        <v>2394.81</v>
      </c>
      <c r="BJ75" t="n">
        <v>2438.051</v>
      </c>
      <c r="BK75" t="n">
        <v>3154.399</v>
      </c>
      <c r="BL75" t="n">
        <v>3406.226</v>
      </c>
      <c r="BM75" t="n">
        <v>4140.96</v>
      </c>
      <c r="BN75" t="n">
        <v>4757.292</v>
      </c>
      <c r="BO75" t="n">
        <v>4022.877</v>
      </c>
      <c r="BP75" t="n">
        <v>4422.332</v>
      </c>
      <c r="BQ75" t="n">
        <v>4130.801</v>
      </c>
      <c r="BR75" t="n">
        <v>4221.201</v>
      </c>
      <c r="BS75" t="n">
        <v>4009.553</v>
      </c>
      <c r="BT75" t="n">
        <v>4507.604</v>
      </c>
      <c r="BU75" t="n">
        <v>4842.366</v>
      </c>
      <c r="BV75" t="n">
        <v>4297.987</v>
      </c>
    </row>
    <row r="76">
      <c r="A76" t="inlineStr">
        <is>
          <t>Upeneus</t>
        </is>
      </c>
      <c r="B76" t="inlineStr">
        <is>
          <t>Upeneid goatfishes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39.224</v>
      </c>
      <c r="F76" t="n">
        <v>39.224</v>
      </c>
      <c r="G76" t="n">
        <v>48.404</v>
      </c>
      <c r="H76" t="n">
        <v>42.562</v>
      </c>
      <c r="I76" t="n">
        <v>37.555</v>
      </c>
      <c r="J76" t="n">
        <v>37.555</v>
      </c>
      <c r="K76" t="n">
        <v>37.555</v>
      </c>
      <c r="L76" t="n">
        <v>35.886</v>
      </c>
      <c r="M76" t="n">
        <v>40.059</v>
      </c>
      <c r="N76" t="n">
        <v>39.224</v>
      </c>
      <c r="O76" t="n">
        <v>50.073</v>
      </c>
      <c r="P76" t="n">
        <v>61.757</v>
      </c>
      <c r="Q76" t="n">
        <v>63.426</v>
      </c>
      <c r="R76" t="n">
        <v>95.974</v>
      </c>
      <c r="S76" t="n">
        <v>90.13200000000001</v>
      </c>
      <c r="T76" t="n">
        <v>249.437</v>
      </c>
      <c r="U76" t="n">
        <v>376.441</v>
      </c>
      <c r="V76" t="n">
        <v>506.137</v>
      </c>
      <c r="W76" t="n">
        <v>642.123</v>
      </c>
      <c r="X76" t="n">
        <v>659.321</v>
      </c>
      <c r="Y76" t="n">
        <v>1583.154</v>
      </c>
      <c r="Z76" t="n">
        <v>1708.07</v>
      </c>
      <c r="AA76" t="n">
        <v>2408.934</v>
      </c>
      <c r="AB76" t="n">
        <v>2832.465</v>
      </c>
      <c r="AC76" t="n">
        <v>3262.069</v>
      </c>
      <c r="AD76" t="n">
        <v>3715.782</v>
      </c>
      <c r="AE76" t="n">
        <v>591.716</v>
      </c>
      <c r="AF76" t="n">
        <v>732.96</v>
      </c>
      <c r="AG76" t="n">
        <v>813.398</v>
      </c>
      <c r="AH76" t="n">
        <v>820.1079999999999</v>
      </c>
      <c r="AI76" t="n">
        <v>2515.253</v>
      </c>
      <c r="AJ76" t="n">
        <v>2895.447</v>
      </c>
      <c r="AK76" t="n">
        <v>2817.399</v>
      </c>
      <c r="AL76" t="n">
        <v>2655.803</v>
      </c>
      <c r="AM76" t="n">
        <v>2019.745</v>
      </c>
      <c r="AN76" t="n">
        <v>951.254</v>
      </c>
      <c r="AO76" t="n">
        <v>701.453</v>
      </c>
      <c r="AP76" t="n">
        <v>927.187</v>
      </c>
      <c r="AQ76" t="n">
        <v>1134.273</v>
      </c>
      <c r="AR76" t="n">
        <v>1231.319</v>
      </c>
      <c r="AS76" t="n">
        <v>3108.129</v>
      </c>
      <c r="AT76" t="n">
        <v>3235.793</v>
      </c>
      <c r="AU76" t="n">
        <v>3223.856</v>
      </c>
      <c r="AV76" t="n">
        <v>3397.509</v>
      </c>
      <c r="AW76" t="n">
        <v>3185.043</v>
      </c>
      <c r="AX76" t="n">
        <v>4272.751</v>
      </c>
      <c r="AY76" t="n">
        <v>4388.999</v>
      </c>
      <c r="AZ76" t="n">
        <v>4600.745</v>
      </c>
      <c r="BA76" t="n">
        <v>4667.295</v>
      </c>
      <c r="BB76" t="n">
        <v>5177.277</v>
      </c>
      <c r="BC76" t="n">
        <v>2381.446</v>
      </c>
      <c r="BD76" t="n">
        <v>2359.084</v>
      </c>
      <c r="BE76" t="n">
        <v>2313.348</v>
      </c>
      <c r="BF76" t="n">
        <v>2285.571</v>
      </c>
      <c r="BG76" t="n">
        <v>2230.35</v>
      </c>
      <c r="BH76" t="n">
        <v>1316.444</v>
      </c>
      <c r="BI76" t="n">
        <v>1377.037</v>
      </c>
      <c r="BJ76" t="n">
        <v>1346.125</v>
      </c>
      <c r="BK76" t="n">
        <v>1482.497</v>
      </c>
      <c r="BL76" t="n">
        <v>4368.537</v>
      </c>
      <c r="BM76" t="n">
        <v>4552.514</v>
      </c>
      <c r="BN76" t="n">
        <v>4430.965</v>
      </c>
      <c r="BO76" t="n">
        <v>4987.158</v>
      </c>
      <c r="BP76" t="n">
        <v>5185.849</v>
      </c>
      <c r="BQ76" t="n">
        <v>4754.463</v>
      </c>
      <c r="BR76" t="n">
        <v>4895.119</v>
      </c>
      <c r="BS76" t="n">
        <v>5071.48</v>
      </c>
      <c r="BT76" t="n">
        <v>4704.777</v>
      </c>
      <c r="BU76" t="n">
        <v>4441.423</v>
      </c>
      <c r="BV76" t="n">
        <v>4163.095</v>
      </c>
    </row>
    <row r="77">
      <c r="A77" t="inlineStr">
        <is>
          <t>Gobiidae</t>
        </is>
      </c>
      <c r="B77" t="inlineStr">
        <is>
          <t>Gobies</t>
        </is>
      </c>
      <c r="C77" t="inlineStr">
        <is>
          <t>Small reef assoc. fish (&lt;30 cm)</t>
        </is>
      </c>
      <c r="D77" t="inlineStr">
        <is>
          <t>Perch-likes</t>
        </is>
      </c>
      <c r="E77" t="n">
        <v>110.762</v>
      </c>
      <c r="F77" t="n">
        <v>118.619</v>
      </c>
      <c r="G77" t="n">
        <v>163.529</v>
      </c>
      <c r="H77" t="n">
        <v>155.092</v>
      </c>
      <c r="I77" t="n">
        <v>146.378</v>
      </c>
      <c r="J77" t="n">
        <v>157.709</v>
      </c>
      <c r="K77" t="n">
        <v>169.191</v>
      </c>
      <c r="L77" t="n">
        <v>175.741</v>
      </c>
      <c r="M77" t="n">
        <v>195.966</v>
      </c>
      <c r="N77" t="n">
        <v>204.136</v>
      </c>
      <c r="O77" t="n">
        <v>257.965</v>
      </c>
      <c r="P77" t="n">
        <v>382.573</v>
      </c>
      <c r="Q77" t="n">
        <v>388.664</v>
      </c>
      <c r="R77" t="n">
        <v>454.134</v>
      </c>
      <c r="S77" t="n">
        <v>449.107</v>
      </c>
      <c r="T77" t="n">
        <v>654.526</v>
      </c>
      <c r="U77" t="n">
        <v>806.769</v>
      </c>
      <c r="V77" t="n">
        <v>869.955</v>
      </c>
      <c r="W77" t="n">
        <v>952.077</v>
      </c>
      <c r="X77" t="n">
        <v>933.402</v>
      </c>
      <c r="Y77" t="n">
        <v>1162.326</v>
      </c>
      <c r="Z77" t="n">
        <v>1254.868</v>
      </c>
      <c r="AA77" t="n">
        <v>1259.716</v>
      </c>
      <c r="AB77" t="n">
        <v>1091.027</v>
      </c>
      <c r="AC77" t="n">
        <v>1205.842</v>
      </c>
      <c r="AD77" t="n">
        <v>946.115</v>
      </c>
      <c r="AE77" t="n">
        <v>715.994</v>
      </c>
      <c r="AF77" t="n">
        <v>842.471</v>
      </c>
      <c r="AG77" t="n">
        <v>861.4059999999999</v>
      </c>
      <c r="AH77" t="n">
        <v>786.171</v>
      </c>
      <c r="AI77" t="n">
        <v>777.646</v>
      </c>
      <c r="AJ77" t="n">
        <v>1245.971</v>
      </c>
      <c r="AK77" t="n">
        <v>1204.929</v>
      </c>
      <c r="AL77" t="n">
        <v>1453.61</v>
      </c>
      <c r="AM77" t="n">
        <v>1512.412</v>
      </c>
      <c r="AN77" t="n">
        <v>1770.298</v>
      </c>
      <c r="AO77" t="n">
        <v>1742.302</v>
      </c>
      <c r="AP77" t="n">
        <v>2371.929</v>
      </c>
      <c r="AQ77" t="n">
        <v>2375.674</v>
      </c>
      <c r="AR77" t="n">
        <v>2783.904</v>
      </c>
      <c r="AS77" t="n">
        <v>3365.838</v>
      </c>
      <c r="AT77" t="n">
        <v>3181.675</v>
      </c>
      <c r="AU77" t="n">
        <v>2973.083</v>
      </c>
      <c r="AV77" t="n">
        <v>3104.42</v>
      </c>
      <c r="AW77" t="n">
        <v>3182.073</v>
      </c>
      <c r="AX77" t="n">
        <v>3087.746</v>
      </c>
      <c r="AY77" t="n">
        <v>2960.597</v>
      </c>
      <c r="AZ77" t="n">
        <v>2837.194</v>
      </c>
      <c r="BA77" t="n">
        <v>3249.643</v>
      </c>
      <c r="BB77" t="n">
        <v>3308.492</v>
      </c>
      <c r="BC77" t="n">
        <v>3498.287</v>
      </c>
      <c r="BD77" t="n">
        <v>3399.873</v>
      </c>
      <c r="BE77" t="n">
        <v>3321.326</v>
      </c>
      <c r="BF77" t="n">
        <v>3362.558</v>
      </c>
      <c r="BG77" t="n">
        <v>3224.857</v>
      </c>
      <c r="BH77" t="n">
        <v>3456.521</v>
      </c>
      <c r="BI77" t="n">
        <v>3196.477</v>
      </c>
      <c r="BJ77" t="n">
        <v>3249.917</v>
      </c>
      <c r="BK77" t="n">
        <v>3285.68</v>
      </c>
      <c r="BL77" t="n">
        <v>3215.294</v>
      </c>
      <c r="BM77" t="n">
        <v>3559.083</v>
      </c>
      <c r="BN77" t="n">
        <v>4290.82</v>
      </c>
      <c r="BO77" t="n">
        <v>4357.72</v>
      </c>
      <c r="BP77" t="n">
        <v>4210.627</v>
      </c>
      <c r="BQ77" t="n">
        <v>4178.829</v>
      </c>
      <c r="BR77" t="n">
        <v>4409.269</v>
      </c>
      <c r="BS77" t="n">
        <v>4457.999</v>
      </c>
      <c r="BT77" t="n">
        <v>4387.23</v>
      </c>
      <c r="BU77" t="n">
        <v>4883.781</v>
      </c>
      <c r="BV77" t="n">
        <v>4442.57</v>
      </c>
    </row>
    <row r="78">
      <c r="A78" t="inlineStr">
        <is>
          <t>Penaeus latisulcatus</t>
        </is>
      </c>
      <c r="B78" t="inlineStr">
        <is>
          <t>Western king prawn</t>
        </is>
      </c>
      <c r="C78" t="inlineStr">
        <is>
          <t>Shrimps</t>
        </is>
      </c>
      <c r="D78" t="inlineStr">
        <is>
          <t>Crustaceans</t>
        </is>
      </c>
      <c r="E78" t="n">
        <v>40.267</v>
      </c>
      <c r="F78" t="n">
        <v>43.551</v>
      </c>
      <c r="G78" t="n">
        <v>48.931</v>
      </c>
      <c r="H78" t="n">
        <v>53.355</v>
      </c>
      <c r="I78" t="n">
        <v>57.961</v>
      </c>
      <c r="J78" t="n">
        <v>64.14700000000001</v>
      </c>
      <c r="K78" t="n">
        <v>69.66800000000001</v>
      </c>
      <c r="L78" t="n">
        <v>73.883</v>
      </c>
      <c r="M78" t="n">
        <v>79.788</v>
      </c>
      <c r="N78" t="n">
        <v>84.254</v>
      </c>
      <c r="O78" t="n">
        <v>128.261</v>
      </c>
      <c r="P78" t="n">
        <v>219.724</v>
      </c>
      <c r="Q78" t="n">
        <v>209.938</v>
      </c>
      <c r="R78" t="n">
        <v>159.902</v>
      </c>
      <c r="S78" t="n">
        <v>168.26</v>
      </c>
      <c r="T78" t="n">
        <v>190.356</v>
      </c>
      <c r="U78" t="n">
        <v>232.985</v>
      </c>
      <c r="V78" t="n">
        <v>254.508</v>
      </c>
      <c r="W78" t="n">
        <v>335.896</v>
      </c>
      <c r="X78" t="n">
        <v>348.42</v>
      </c>
      <c r="Y78" t="n">
        <v>689.086</v>
      </c>
      <c r="Z78" t="n">
        <v>1069.418</v>
      </c>
      <c r="AA78" t="n">
        <v>924.702</v>
      </c>
      <c r="AB78" t="n">
        <v>1888.678</v>
      </c>
      <c r="AC78" t="n">
        <v>1649.962</v>
      </c>
      <c r="AD78" t="n">
        <v>1382.33</v>
      </c>
      <c r="AE78" t="n">
        <v>1529.148</v>
      </c>
      <c r="AF78" t="n">
        <v>1743.586</v>
      </c>
      <c r="AG78" t="n">
        <v>2423.61</v>
      </c>
      <c r="AH78" t="n">
        <v>2313.029</v>
      </c>
      <c r="AI78" t="n">
        <v>2396.669</v>
      </c>
      <c r="AJ78" t="n">
        <v>2240.372</v>
      </c>
      <c r="AK78" t="n">
        <v>1708.126</v>
      </c>
      <c r="AL78" t="n">
        <v>2056.92</v>
      </c>
      <c r="AM78" t="n">
        <v>1899.359</v>
      </c>
      <c r="AN78" t="n">
        <v>1964.828</v>
      </c>
      <c r="AO78" t="n">
        <v>1969.61</v>
      </c>
      <c r="AP78" t="n">
        <v>1985.753</v>
      </c>
      <c r="AQ78" t="n">
        <v>2104.251</v>
      </c>
      <c r="AR78" t="n">
        <v>2425.091</v>
      </c>
      <c r="AS78" t="n">
        <v>2697.174</v>
      </c>
      <c r="AT78" t="n">
        <v>2326.311</v>
      </c>
      <c r="AU78" t="n">
        <v>2826.481</v>
      </c>
      <c r="AV78" t="n">
        <v>2565.922</v>
      </c>
      <c r="AW78" t="n">
        <v>2391.815</v>
      </c>
      <c r="AX78" t="n">
        <v>2585.175</v>
      </c>
      <c r="AY78" t="n">
        <v>2677.93</v>
      </c>
      <c r="AZ78" t="n">
        <v>2875.98</v>
      </c>
      <c r="BA78" t="n">
        <v>3075.171</v>
      </c>
      <c r="BB78" t="n">
        <v>3757.839</v>
      </c>
      <c r="BC78" t="n">
        <v>4238.77</v>
      </c>
      <c r="BD78" t="n">
        <v>3767.507</v>
      </c>
      <c r="BE78" t="n">
        <v>3926.453</v>
      </c>
      <c r="BF78" t="n">
        <v>3294.854</v>
      </c>
      <c r="BG78" t="n">
        <v>3437.14</v>
      </c>
      <c r="BH78" t="n">
        <v>4314.127</v>
      </c>
      <c r="BI78" t="n">
        <v>4683.38</v>
      </c>
      <c r="BJ78" t="n">
        <v>4288.712</v>
      </c>
      <c r="BK78" t="n">
        <v>4439.316</v>
      </c>
      <c r="BL78" t="n">
        <v>3806.336</v>
      </c>
      <c r="BM78" t="n">
        <v>3015.564</v>
      </c>
      <c r="BN78" t="n">
        <v>2478.875</v>
      </c>
      <c r="BO78" t="n">
        <v>3139.397</v>
      </c>
      <c r="BP78" t="n">
        <v>2974.55</v>
      </c>
      <c r="BQ78" t="n">
        <v>2567.127</v>
      </c>
      <c r="BR78" t="n">
        <v>2584.282</v>
      </c>
      <c r="BS78" t="n">
        <v>2659.268</v>
      </c>
      <c r="BT78" t="n">
        <v>2880.897</v>
      </c>
      <c r="BU78" t="n">
        <v>2835.399</v>
      </c>
      <c r="BV78" t="n">
        <v>2852.102</v>
      </c>
    </row>
    <row r="79">
      <c r="A79" t="inlineStr">
        <is>
          <t>Sepioteuthis lessoniana</t>
        </is>
      </c>
      <c r="B79" t="inlineStr">
        <is>
          <t>Bigfin reef squid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7805.019</v>
      </c>
      <c r="AZ79" t="n">
        <v>9431.186</v>
      </c>
      <c r="BA79" t="n">
        <v>4214.785</v>
      </c>
      <c r="BB79" t="n">
        <v>5333.004</v>
      </c>
      <c r="BC79" t="n">
        <v>7822.824</v>
      </c>
      <c r="BD79" t="n">
        <v>5667.836</v>
      </c>
      <c r="BE79" t="n">
        <v>5706.068</v>
      </c>
      <c r="BF79" t="n">
        <v>6458.497</v>
      </c>
      <c r="BG79" t="n">
        <v>5508.73</v>
      </c>
      <c r="BH79" t="n">
        <v>3955.051</v>
      </c>
      <c r="BI79" t="n">
        <v>4029.843</v>
      </c>
      <c r="BJ79" t="n">
        <v>3846.613</v>
      </c>
      <c r="BK79" t="n">
        <v>6173.474</v>
      </c>
      <c r="BL79" t="n">
        <v>5652.964</v>
      </c>
      <c r="BM79" t="n">
        <v>5008.179</v>
      </c>
      <c r="BN79" t="n">
        <v>3692.03</v>
      </c>
      <c r="BO79" t="n">
        <v>4471.491</v>
      </c>
      <c r="BP79" t="n">
        <v>5961.122</v>
      </c>
      <c r="BQ79" t="n">
        <v>3061.535</v>
      </c>
      <c r="BR79" t="n">
        <v>3755.819</v>
      </c>
      <c r="BS79" t="n">
        <v>5240.816</v>
      </c>
      <c r="BT79" t="n">
        <v>6243.228</v>
      </c>
      <c r="BU79" t="n">
        <v>8085.731</v>
      </c>
      <c r="BV79" t="n">
        <v>6431.521</v>
      </c>
    </row>
    <row r="80">
      <c r="A80" t="inlineStr">
        <is>
          <t>Pomadasys</t>
        </is>
      </c>
      <c r="B80" t="inlineStr">
        <is>
          <t>Grunters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429.758</v>
      </c>
      <c r="F80" t="n">
        <v>422.276</v>
      </c>
      <c r="G80" t="n">
        <v>494.595</v>
      </c>
      <c r="H80" t="n">
        <v>443.889</v>
      </c>
      <c r="I80" t="n">
        <v>403.158</v>
      </c>
      <c r="J80" t="n">
        <v>412.301</v>
      </c>
      <c r="K80" t="n">
        <v>413.133</v>
      </c>
      <c r="L80" t="n">
        <v>406.483</v>
      </c>
      <c r="M80" t="n">
        <v>448.045</v>
      </c>
      <c r="N80" t="n">
        <v>453.864</v>
      </c>
      <c r="O80" t="n">
        <v>552.783</v>
      </c>
      <c r="P80" t="n">
        <v>643.39</v>
      </c>
      <c r="Q80" t="n">
        <v>680.796</v>
      </c>
      <c r="R80" t="n">
        <v>949.2910000000001</v>
      </c>
      <c r="S80" t="n">
        <v>935.159</v>
      </c>
      <c r="T80" t="n">
        <v>901.356</v>
      </c>
      <c r="U80" t="n">
        <v>1036.622</v>
      </c>
      <c r="V80" t="n">
        <v>989.336</v>
      </c>
      <c r="W80" t="n">
        <v>1063.731</v>
      </c>
      <c r="X80" t="n">
        <v>903.8339999999999</v>
      </c>
      <c r="Y80" t="n">
        <v>1068.615</v>
      </c>
      <c r="Z80" t="n">
        <v>1198.908</v>
      </c>
      <c r="AA80" t="n">
        <v>1328.885</v>
      </c>
      <c r="AB80" t="n">
        <v>1394.388</v>
      </c>
      <c r="AC80" t="n">
        <v>1766.763</v>
      </c>
      <c r="AD80" t="n">
        <v>1703.38</v>
      </c>
      <c r="AE80" t="n">
        <v>2103.272</v>
      </c>
      <c r="AF80" t="n">
        <v>2677.508</v>
      </c>
      <c r="AG80" t="n">
        <v>2876.994</v>
      </c>
      <c r="AH80" t="n">
        <v>2734.048</v>
      </c>
      <c r="AI80" t="n">
        <v>1511.408</v>
      </c>
      <c r="AJ80" t="n">
        <v>2123.542</v>
      </c>
      <c r="AK80" t="n">
        <v>1430.254</v>
      </c>
      <c r="AL80" t="n">
        <v>1455.191</v>
      </c>
      <c r="AM80" t="n">
        <v>1181.118</v>
      </c>
      <c r="AN80" t="n">
        <v>1299.384</v>
      </c>
      <c r="AO80" t="n">
        <v>1161.675</v>
      </c>
      <c r="AP80" t="n">
        <v>2152.739</v>
      </c>
      <c r="AQ80" t="n">
        <v>2079.337</v>
      </c>
      <c r="AR80" t="n">
        <v>2706.061</v>
      </c>
      <c r="AS80" t="n">
        <v>2851.952</v>
      </c>
      <c r="AT80" t="n">
        <v>2593.256</v>
      </c>
      <c r="AU80" t="n">
        <v>2258.722</v>
      </c>
      <c r="AV80" t="n">
        <v>2692.254</v>
      </c>
      <c r="AW80" t="n">
        <v>2933.034</v>
      </c>
      <c r="AX80" t="n">
        <v>2734.889</v>
      </c>
      <c r="AY80" t="n">
        <v>2451.686</v>
      </c>
      <c r="AZ80" t="n">
        <v>2289.77</v>
      </c>
      <c r="BA80" t="n">
        <v>2625.299</v>
      </c>
      <c r="BB80" t="n">
        <v>2828.823</v>
      </c>
      <c r="BC80" t="n">
        <v>2847.194</v>
      </c>
      <c r="BD80" t="n">
        <v>2994.384</v>
      </c>
      <c r="BE80" t="n">
        <v>3113.694</v>
      </c>
      <c r="BF80" t="n">
        <v>2993.702</v>
      </c>
      <c r="BG80" t="n">
        <v>2645.118</v>
      </c>
      <c r="BH80" t="n">
        <v>2858.355</v>
      </c>
      <c r="BI80" t="n">
        <v>2605.07</v>
      </c>
      <c r="BJ80" t="n">
        <v>2650.495</v>
      </c>
      <c r="BK80" t="n">
        <v>2339.561</v>
      </c>
      <c r="BL80" t="n">
        <v>2362.886</v>
      </c>
      <c r="BM80" t="n">
        <v>2544.244</v>
      </c>
      <c r="BN80" t="n">
        <v>2480.607</v>
      </c>
      <c r="BO80" t="n">
        <v>2792.936</v>
      </c>
      <c r="BP80" t="n">
        <v>2905.805</v>
      </c>
      <c r="BQ80" t="n">
        <v>2665.473</v>
      </c>
      <c r="BR80" t="n">
        <v>2743.318</v>
      </c>
      <c r="BS80" t="n">
        <v>2845.617</v>
      </c>
      <c r="BT80" t="n">
        <v>2642.233</v>
      </c>
      <c r="BU80" t="n">
        <v>2513.188</v>
      </c>
      <c r="BV80" t="n">
        <v>4618.306</v>
      </c>
    </row>
    <row r="81">
      <c r="A81" t="inlineStr">
        <is>
          <t>Scylla serrata</t>
        </is>
      </c>
      <c r="B81" t="inlineStr">
        <is>
          <t>Indo-Pacific swamp crab</t>
        </is>
      </c>
      <c r="C81" t="inlineStr">
        <is>
          <t>Lobsters, crabs</t>
        </is>
      </c>
      <c r="D81" t="inlineStr">
        <is>
          <t>Crustaceans</t>
        </is>
      </c>
      <c r="E81" t="n">
        <v>0.016</v>
      </c>
      <c r="F81" t="n">
        <v>1.168</v>
      </c>
      <c r="G81" t="n">
        <v>8.188000000000001</v>
      </c>
      <c r="H81" t="n">
        <v>7.11</v>
      </c>
      <c r="I81" t="n">
        <v>7.587</v>
      </c>
      <c r="J81" t="n">
        <v>7.539</v>
      </c>
      <c r="K81" t="n">
        <v>0.024</v>
      </c>
      <c r="L81" t="n">
        <v>0.027</v>
      </c>
      <c r="M81" t="n">
        <v>0.03</v>
      </c>
      <c r="N81" t="n">
        <v>0.029</v>
      </c>
      <c r="O81" t="n">
        <v>0.033</v>
      </c>
      <c r="P81" t="n">
        <v>0.026</v>
      </c>
      <c r="Q81" t="n">
        <v>0.024</v>
      </c>
      <c r="R81" t="n">
        <v>0.024</v>
      </c>
      <c r="S81" t="n">
        <v>0.02</v>
      </c>
      <c r="T81" t="n">
        <v>0.022</v>
      </c>
      <c r="U81" t="n">
        <v>0.021</v>
      </c>
      <c r="V81" t="n">
        <v>0.022</v>
      </c>
      <c r="W81" t="n">
        <v>0.02</v>
      </c>
      <c r="X81" t="n">
        <v>0.015</v>
      </c>
      <c r="Y81" t="n">
        <v>3830.86</v>
      </c>
      <c r="Z81" t="n">
        <v>4172.98</v>
      </c>
      <c r="AA81" t="n">
        <v>3357.411</v>
      </c>
      <c r="AB81" t="n">
        <v>2977.014</v>
      </c>
      <c r="AC81" t="n">
        <v>4270.551</v>
      </c>
      <c r="AD81" t="n">
        <v>5217.437</v>
      </c>
      <c r="AE81" t="n">
        <v>3650.583</v>
      </c>
      <c r="AF81" t="n">
        <v>4243.436</v>
      </c>
      <c r="AG81" t="n">
        <v>2807.407</v>
      </c>
      <c r="AH81" t="n">
        <v>2598.91</v>
      </c>
      <c r="AI81" t="n">
        <v>2398.207</v>
      </c>
      <c r="AJ81" t="n">
        <v>2808.762</v>
      </c>
      <c r="AK81" t="n">
        <v>3078.382</v>
      </c>
      <c r="AL81" t="n">
        <v>2581.191</v>
      </c>
      <c r="AM81" t="n">
        <v>2724.437</v>
      </c>
      <c r="AN81" t="n">
        <v>2952.701</v>
      </c>
      <c r="AO81" t="n">
        <v>3179.522</v>
      </c>
      <c r="AP81" t="n">
        <v>3449.238</v>
      </c>
      <c r="AQ81" t="n">
        <v>2772.622</v>
      </c>
      <c r="AR81" t="n">
        <v>3172.949</v>
      </c>
      <c r="AS81" t="n">
        <v>2542.819</v>
      </c>
      <c r="AT81" t="n">
        <v>3403.282</v>
      </c>
      <c r="AU81" t="n">
        <v>2630.863</v>
      </c>
      <c r="AV81" t="n">
        <v>3204.737</v>
      </c>
      <c r="AW81" t="n">
        <v>2708.602</v>
      </c>
      <c r="AX81" t="n">
        <v>2399.954</v>
      </c>
      <c r="AY81" t="n">
        <v>1799.283</v>
      </c>
      <c r="AZ81" t="n">
        <v>1674.184</v>
      </c>
      <c r="BA81" t="n">
        <v>2061.378</v>
      </c>
      <c r="BB81" t="n">
        <v>4042.451</v>
      </c>
      <c r="BC81" t="n">
        <v>3766.711</v>
      </c>
      <c r="BD81" t="n">
        <v>3080.129</v>
      </c>
      <c r="BE81" t="n">
        <v>705.1369999999999</v>
      </c>
      <c r="BF81" t="n">
        <v>623.326</v>
      </c>
      <c r="BG81" t="n">
        <v>2119.436</v>
      </c>
      <c r="BH81" t="n">
        <v>1396.206</v>
      </c>
      <c r="BI81" t="n">
        <v>4973.992</v>
      </c>
      <c r="BJ81" t="n">
        <v>2112.377</v>
      </c>
      <c r="BK81" t="n">
        <v>1749.824</v>
      </c>
      <c r="BL81" t="n">
        <v>1485.498</v>
      </c>
      <c r="BM81" t="n">
        <v>1344.259</v>
      </c>
      <c r="BN81" t="n">
        <v>1417.379</v>
      </c>
      <c r="BO81" t="n">
        <v>2749.998</v>
      </c>
      <c r="BP81" t="n">
        <v>1236.733</v>
      </c>
      <c r="BQ81" t="n">
        <v>889.702</v>
      </c>
      <c r="BR81" t="n">
        <v>1118.664</v>
      </c>
      <c r="BS81" t="n">
        <v>382.256</v>
      </c>
      <c r="BT81" t="n">
        <v>284.999</v>
      </c>
      <c r="BU81" t="n">
        <v>253.192</v>
      </c>
      <c r="BV81" t="n">
        <v>1026.377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28.158</v>
      </c>
      <c r="F82" t="n">
        <v>36.015</v>
      </c>
      <c r="G82" t="n">
        <v>41.531</v>
      </c>
      <c r="H82" t="n">
        <v>49.888</v>
      </c>
      <c r="I82" t="n">
        <v>59.634</v>
      </c>
      <c r="J82" t="n">
        <v>73.449</v>
      </c>
      <c r="K82" t="n">
        <v>84.932</v>
      </c>
      <c r="L82" t="n">
        <v>95.678</v>
      </c>
      <c r="M82" t="n">
        <v>112.492</v>
      </c>
      <c r="N82" t="n">
        <v>125.674</v>
      </c>
      <c r="O82" t="n">
        <v>143.39</v>
      </c>
      <c r="P82" t="n">
        <v>231.918</v>
      </c>
      <c r="Q82" t="n">
        <v>237.115</v>
      </c>
      <c r="R82" t="n">
        <v>200.17</v>
      </c>
      <c r="S82" t="n">
        <v>221.079</v>
      </c>
      <c r="T82" t="n">
        <v>361.756</v>
      </c>
      <c r="U82" t="n">
        <v>464.898</v>
      </c>
      <c r="V82" t="n">
        <v>553.956</v>
      </c>
      <c r="W82" t="n">
        <v>612.175</v>
      </c>
      <c r="X82" t="n">
        <v>645.492</v>
      </c>
      <c r="Y82" t="n">
        <v>770.901</v>
      </c>
      <c r="Z82" t="n">
        <v>798.999</v>
      </c>
      <c r="AA82" t="n">
        <v>802.451</v>
      </c>
      <c r="AB82" t="n">
        <v>731.698</v>
      </c>
      <c r="AC82" t="n">
        <v>738.774</v>
      </c>
      <c r="AD82" t="n">
        <v>526.833</v>
      </c>
      <c r="AE82" t="n">
        <v>639.926</v>
      </c>
      <c r="AF82" t="n">
        <v>699.939</v>
      </c>
      <c r="AG82" t="n">
        <v>777.312</v>
      </c>
      <c r="AH82" t="n">
        <v>709.804</v>
      </c>
      <c r="AI82" t="n">
        <v>929.947</v>
      </c>
      <c r="AJ82" t="n">
        <v>1396.197</v>
      </c>
      <c r="AK82" t="n">
        <v>1323.731</v>
      </c>
      <c r="AL82" t="n">
        <v>1580.611</v>
      </c>
      <c r="AM82" t="n">
        <v>1652.665</v>
      </c>
      <c r="AN82" t="n">
        <v>2046.447</v>
      </c>
      <c r="AO82" t="n">
        <v>1902.027</v>
      </c>
      <c r="AP82" t="n">
        <v>2054.376</v>
      </c>
      <c r="AQ82" t="n">
        <v>2154.395</v>
      </c>
      <c r="AR82" t="n">
        <v>2219.377</v>
      </c>
      <c r="AS82" t="n">
        <v>2863.477</v>
      </c>
      <c r="AT82" t="n">
        <v>2897.637</v>
      </c>
      <c r="AU82" t="n">
        <v>2883.525</v>
      </c>
      <c r="AV82" t="n">
        <v>2931.321</v>
      </c>
      <c r="AW82" t="n">
        <v>2828.464</v>
      </c>
      <c r="AX82" t="n">
        <v>2581.23</v>
      </c>
      <c r="AY82" t="n">
        <v>2615.891</v>
      </c>
      <c r="AZ82" t="n">
        <v>2656.335</v>
      </c>
      <c r="BA82" t="n">
        <v>2844.356</v>
      </c>
      <c r="BB82" t="n">
        <v>2937.416</v>
      </c>
      <c r="BC82" t="n">
        <v>3190.926</v>
      </c>
      <c r="BD82" t="n">
        <v>3023.908</v>
      </c>
      <c r="BE82" t="n">
        <v>2810.539</v>
      </c>
      <c r="BF82" t="n">
        <v>2945.25</v>
      </c>
      <c r="BG82" t="n">
        <v>2963.762</v>
      </c>
      <c r="BH82" t="n">
        <v>2500.486</v>
      </c>
      <c r="BI82" t="n">
        <v>2399.815</v>
      </c>
      <c r="BJ82" t="n">
        <v>2412.183</v>
      </c>
      <c r="BK82" t="n">
        <v>2672.723</v>
      </c>
      <c r="BL82" t="n">
        <v>2320.783</v>
      </c>
      <c r="BM82" t="n">
        <v>2579.386</v>
      </c>
      <c r="BN82" t="n">
        <v>3324.182</v>
      </c>
      <c r="BO82" t="n">
        <v>3273.778</v>
      </c>
      <c r="BP82" t="n">
        <v>3086.383</v>
      </c>
      <c r="BQ82" t="n">
        <v>3140.558</v>
      </c>
      <c r="BR82" t="n">
        <v>3342.105</v>
      </c>
      <c r="BS82" t="n">
        <v>3352.06</v>
      </c>
      <c r="BT82" t="n">
        <v>3356.88</v>
      </c>
      <c r="BU82" t="n">
        <v>3932.239</v>
      </c>
      <c r="BV82" t="n">
        <v>3550.796</v>
      </c>
    </row>
    <row r="83">
      <c r="A83" t="inlineStr">
        <is>
          <t>Trichiurus</t>
        </is>
      </c>
      <c r="B83" t="inlineStr">
        <is>
          <t>Hairtails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87.48099999999999</v>
      </c>
      <c r="F83" t="n">
        <v>84.117</v>
      </c>
      <c r="G83" t="n">
        <v>76.547</v>
      </c>
      <c r="H83" t="n">
        <v>73.18300000000001</v>
      </c>
      <c r="I83" t="n">
        <v>73.18300000000001</v>
      </c>
      <c r="J83" t="n">
        <v>78.23</v>
      </c>
      <c r="K83" t="n">
        <v>79.071</v>
      </c>
      <c r="L83" t="n">
        <v>81.595</v>
      </c>
      <c r="M83" t="n">
        <v>92.529</v>
      </c>
      <c r="N83" t="n">
        <v>100.1</v>
      </c>
      <c r="O83" t="n">
        <v>105.147</v>
      </c>
      <c r="P83" t="n">
        <v>107.671</v>
      </c>
      <c r="Q83" t="n">
        <v>120.288</v>
      </c>
      <c r="R83" t="n">
        <v>128.7</v>
      </c>
      <c r="S83" t="n">
        <v>147.205</v>
      </c>
      <c r="T83" t="n">
        <v>226.411</v>
      </c>
      <c r="U83" t="n">
        <v>305.463</v>
      </c>
      <c r="V83" t="n">
        <v>404.909</v>
      </c>
      <c r="W83" t="n">
        <v>492.843</v>
      </c>
      <c r="X83" t="n">
        <v>500.79</v>
      </c>
      <c r="Y83" t="n">
        <v>1124.543</v>
      </c>
      <c r="Z83" t="n">
        <v>1196.157</v>
      </c>
      <c r="AA83" t="n">
        <v>1679.846</v>
      </c>
      <c r="AB83" t="n">
        <v>1997.602</v>
      </c>
      <c r="AC83" t="n">
        <v>2449.731</v>
      </c>
      <c r="AD83" t="n">
        <v>2788.078</v>
      </c>
      <c r="AE83" t="n">
        <v>1253.801</v>
      </c>
      <c r="AF83" t="n">
        <v>1540.233</v>
      </c>
      <c r="AG83" t="n">
        <v>1746.158</v>
      </c>
      <c r="AH83" t="n">
        <v>1790.356</v>
      </c>
      <c r="AI83" t="n">
        <v>1458.987</v>
      </c>
      <c r="AJ83" t="n">
        <v>1835.224</v>
      </c>
      <c r="AK83" t="n">
        <v>1460.812</v>
      </c>
      <c r="AL83" t="n">
        <v>1502.228</v>
      </c>
      <c r="AM83" t="n">
        <v>1229.97</v>
      </c>
      <c r="AN83" t="n">
        <v>1987.571</v>
      </c>
      <c r="AO83" t="n">
        <v>1531.944</v>
      </c>
      <c r="AP83" t="n">
        <v>1609.624</v>
      </c>
      <c r="AQ83" t="n">
        <v>1814.938</v>
      </c>
      <c r="AR83" t="n">
        <v>1777.576</v>
      </c>
      <c r="AS83" t="n">
        <v>853.646</v>
      </c>
      <c r="AT83" t="n">
        <v>930.843</v>
      </c>
      <c r="AU83" t="n">
        <v>950.004</v>
      </c>
      <c r="AV83" t="n">
        <v>996.207</v>
      </c>
      <c r="AW83" t="n">
        <v>938.047</v>
      </c>
      <c r="AX83" t="n">
        <v>2257.579</v>
      </c>
      <c r="AY83" t="n">
        <v>2349.254</v>
      </c>
      <c r="AZ83" t="n">
        <v>2673.189</v>
      </c>
      <c r="BA83" t="n">
        <v>2394.189</v>
      </c>
      <c r="BB83" t="n">
        <v>2937.489</v>
      </c>
      <c r="BC83" t="n">
        <v>1763.691</v>
      </c>
      <c r="BD83" t="n">
        <v>1739.913</v>
      </c>
      <c r="BE83" t="n">
        <v>1655.856</v>
      </c>
      <c r="BF83" t="n">
        <v>1667.217</v>
      </c>
      <c r="BG83" t="n">
        <v>1654.833</v>
      </c>
      <c r="BH83" t="n">
        <v>4548.855</v>
      </c>
      <c r="BI83" t="n">
        <v>5315.726</v>
      </c>
      <c r="BJ83" t="n">
        <v>5037.198</v>
      </c>
      <c r="BK83" t="n">
        <v>5570.407</v>
      </c>
      <c r="BL83" t="n">
        <v>1753.041</v>
      </c>
      <c r="BM83" t="n">
        <v>1795.265</v>
      </c>
      <c r="BN83" t="n">
        <v>1745.707</v>
      </c>
      <c r="BO83" t="n">
        <v>1964.929</v>
      </c>
      <c r="BP83" t="n">
        <v>2043.146</v>
      </c>
      <c r="BQ83" t="n">
        <v>1872.562</v>
      </c>
      <c r="BR83" t="n">
        <v>1928.205</v>
      </c>
      <c r="BS83" t="n">
        <v>1997.153</v>
      </c>
      <c r="BT83" t="n">
        <v>1852.154</v>
      </c>
      <c r="BU83" t="n">
        <v>1748.635</v>
      </c>
      <c r="BV83" t="n">
        <v>1638.927</v>
      </c>
    </row>
    <row r="84">
      <c r="A84" t="inlineStr">
        <is>
          <t>Penaeus semisulcatus</t>
        </is>
      </c>
      <c r="B84" t="inlineStr">
        <is>
          <t>Green tiger prawn</t>
        </is>
      </c>
      <c r="C84" t="inlineStr">
        <is>
          <t>Shrimps</t>
        </is>
      </c>
      <c r="D84" t="inlineStr">
        <is>
          <t>Crustaceans</t>
        </is>
      </c>
      <c r="E84" t="n">
        <v>40.273</v>
      </c>
      <c r="F84" t="n">
        <v>43.557</v>
      </c>
      <c r="G84" t="n">
        <v>48.937</v>
      </c>
      <c r="H84" t="n">
        <v>53.363</v>
      </c>
      <c r="I84" t="n">
        <v>57.969</v>
      </c>
      <c r="J84" t="n">
        <v>64.15600000000001</v>
      </c>
      <c r="K84" t="n">
        <v>69.678</v>
      </c>
      <c r="L84" t="n">
        <v>73.893</v>
      </c>
      <c r="M84" t="n">
        <v>79.79900000000001</v>
      </c>
      <c r="N84" t="n">
        <v>84.26600000000001</v>
      </c>
      <c r="O84" t="n">
        <v>128.279</v>
      </c>
      <c r="P84" t="n">
        <v>219.754</v>
      </c>
      <c r="Q84" t="n">
        <v>209.967</v>
      </c>
      <c r="R84" t="n">
        <v>159.924</v>
      </c>
      <c r="S84" t="n">
        <v>168.283</v>
      </c>
      <c r="T84" t="n">
        <v>190.405</v>
      </c>
      <c r="U84" t="n">
        <v>233.051</v>
      </c>
      <c r="V84" t="n">
        <v>254.581</v>
      </c>
      <c r="W84" t="n">
        <v>336.001</v>
      </c>
      <c r="X84" t="n">
        <v>348.528</v>
      </c>
      <c r="Y84" t="n">
        <v>1884.862</v>
      </c>
      <c r="Z84" t="n">
        <v>2260.197</v>
      </c>
      <c r="AA84" t="n">
        <v>2121.857</v>
      </c>
      <c r="AB84" t="n">
        <v>3792.101</v>
      </c>
      <c r="AC84" t="n">
        <v>3190.32</v>
      </c>
      <c r="AD84" t="n">
        <v>2718.174</v>
      </c>
      <c r="AE84" t="n">
        <v>1585.512</v>
      </c>
      <c r="AF84" t="n">
        <v>3290.945</v>
      </c>
      <c r="AG84" t="n">
        <v>1387.26</v>
      </c>
      <c r="AH84" t="n">
        <v>1865.331</v>
      </c>
      <c r="AI84" t="n">
        <v>1998.57</v>
      </c>
      <c r="AJ84" t="n">
        <v>1570.298</v>
      </c>
      <c r="AK84" t="n">
        <v>1479.946</v>
      </c>
      <c r="AL84" t="n">
        <v>1379.096</v>
      </c>
      <c r="AM84" t="n">
        <v>1265.309</v>
      </c>
      <c r="AN84" t="n">
        <v>1320.419</v>
      </c>
      <c r="AO84" t="n">
        <v>819.322</v>
      </c>
      <c r="AP84" t="n">
        <v>784.131</v>
      </c>
      <c r="AQ84" t="n">
        <v>981.318</v>
      </c>
      <c r="AR84" t="n">
        <v>1098.961</v>
      </c>
      <c r="AS84" t="n">
        <v>1549.538</v>
      </c>
      <c r="AT84" t="n">
        <v>1281.395</v>
      </c>
      <c r="AU84" t="n">
        <v>1415.796</v>
      </c>
      <c r="AV84" t="n">
        <v>1399.146</v>
      </c>
      <c r="AW84" t="n">
        <v>1679.294</v>
      </c>
      <c r="AX84" t="n">
        <v>1757.074</v>
      </c>
      <c r="AY84" t="n">
        <v>2083.332</v>
      </c>
      <c r="AZ84" t="n">
        <v>2064.015</v>
      </c>
      <c r="BA84" t="n">
        <v>2019.164</v>
      </c>
      <c r="BB84" t="n">
        <v>1658.613</v>
      </c>
      <c r="BC84" t="n">
        <v>1714.266</v>
      </c>
      <c r="BD84" t="n">
        <v>1934.025</v>
      </c>
      <c r="BE84" t="n">
        <v>2197.333</v>
      </c>
      <c r="BF84" t="n">
        <v>2972.233</v>
      </c>
      <c r="BG84" t="n">
        <v>3076.889</v>
      </c>
      <c r="BH84" t="n">
        <v>3496.355</v>
      </c>
      <c r="BI84" t="n">
        <v>3599.599</v>
      </c>
      <c r="BJ84" t="n">
        <v>3013.744</v>
      </c>
      <c r="BK84" t="n">
        <v>3914.131</v>
      </c>
      <c r="BL84" t="n">
        <v>2571.044</v>
      </c>
      <c r="BM84" t="n">
        <v>1836.353</v>
      </c>
      <c r="BN84" t="n">
        <v>1229.08</v>
      </c>
      <c r="BO84" t="n">
        <v>1156.104</v>
      </c>
      <c r="BP84" t="n">
        <v>1035.555</v>
      </c>
      <c r="BQ84" t="n">
        <v>1220.48</v>
      </c>
      <c r="BR84" t="n">
        <v>1510.757</v>
      </c>
      <c r="BS84" t="n">
        <v>2216.506</v>
      </c>
      <c r="BT84" t="n">
        <v>2087.43</v>
      </c>
      <c r="BU84" t="n">
        <v>1906.941</v>
      </c>
      <c r="BV84" t="n">
        <v>2472.004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325.331</v>
      </c>
      <c r="F85" t="n">
        <v>312.348</v>
      </c>
      <c r="G85" t="n">
        <v>286.383</v>
      </c>
      <c r="H85" t="n">
        <v>269.582</v>
      </c>
      <c r="I85" t="n">
        <v>272.637</v>
      </c>
      <c r="J85" t="n">
        <v>292.493</v>
      </c>
      <c r="K85" t="n">
        <v>295.547</v>
      </c>
      <c r="L85" t="n">
        <v>304.712</v>
      </c>
      <c r="M85" t="n">
        <v>345.187</v>
      </c>
      <c r="N85" t="n">
        <v>374.207</v>
      </c>
      <c r="O85" t="n">
        <v>391.772</v>
      </c>
      <c r="P85" t="n">
        <v>401.7</v>
      </c>
      <c r="Q85" t="n">
        <v>449.812</v>
      </c>
      <c r="R85" t="n">
        <v>481.124</v>
      </c>
      <c r="S85" t="n">
        <v>549.092</v>
      </c>
      <c r="T85" t="n">
        <v>547.158</v>
      </c>
      <c r="U85" t="n">
        <v>598.771</v>
      </c>
      <c r="V85" t="n">
        <v>674.742</v>
      </c>
      <c r="W85" t="n">
        <v>732.4109999999999</v>
      </c>
      <c r="X85" t="n">
        <v>693.366</v>
      </c>
      <c r="Y85" t="n">
        <v>1129.169</v>
      </c>
      <c r="Z85" t="n">
        <v>1173.158</v>
      </c>
      <c r="AA85" t="n">
        <v>1492.656</v>
      </c>
      <c r="AB85" t="n">
        <v>1479.303</v>
      </c>
      <c r="AC85" t="n">
        <v>1735.136</v>
      </c>
      <c r="AD85" t="n">
        <v>1802.685</v>
      </c>
      <c r="AE85" t="n">
        <v>1224.317</v>
      </c>
      <c r="AF85" t="n">
        <v>1483.279</v>
      </c>
      <c r="AG85" t="n">
        <v>1717.802</v>
      </c>
      <c r="AH85" t="n">
        <v>1680.525</v>
      </c>
      <c r="AI85" t="n">
        <v>1453.468</v>
      </c>
      <c r="AJ85" t="n">
        <v>1839.576</v>
      </c>
      <c r="AK85" t="n">
        <v>1443.121</v>
      </c>
      <c r="AL85" t="n">
        <v>1492.632</v>
      </c>
      <c r="AM85" t="n">
        <v>1229.693</v>
      </c>
      <c r="AN85" t="n">
        <v>1434.044</v>
      </c>
      <c r="AO85" t="n">
        <v>1118.858</v>
      </c>
      <c r="AP85" t="n">
        <v>1156.812</v>
      </c>
      <c r="AQ85" t="n">
        <v>1268.295</v>
      </c>
      <c r="AR85" t="n">
        <v>1234.491</v>
      </c>
      <c r="AS85" t="n">
        <v>1410.31</v>
      </c>
      <c r="AT85" t="n">
        <v>1524.373</v>
      </c>
      <c r="AU85" t="n">
        <v>1554.344</v>
      </c>
      <c r="AV85" t="n">
        <v>1630.007</v>
      </c>
      <c r="AW85" t="n">
        <v>1527.399</v>
      </c>
      <c r="AX85" t="n">
        <v>1693.883</v>
      </c>
      <c r="AY85" t="n">
        <v>1761.131</v>
      </c>
      <c r="AZ85" t="n">
        <v>2006.649</v>
      </c>
      <c r="BA85" t="n">
        <v>1795.122</v>
      </c>
      <c r="BB85" t="n">
        <v>2201.619</v>
      </c>
      <c r="BC85" t="n">
        <v>1911.908</v>
      </c>
      <c r="BD85" t="n">
        <v>1897.038</v>
      </c>
      <c r="BE85" t="n">
        <v>1782.239</v>
      </c>
      <c r="BF85" t="n">
        <v>1811.044</v>
      </c>
      <c r="BG85" t="n">
        <v>1797.081</v>
      </c>
      <c r="BH85" t="n">
        <v>1673.594</v>
      </c>
      <c r="BI85" t="n">
        <v>1987.454</v>
      </c>
      <c r="BJ85" t="n">
        <v>1889.962</v>
      </c>
      <c r="BK85" t="n">
        <v>2145.22</v>
      </c>
      <c r="BL85" t="n">
        <v>2736.934</v>
      </c>
      <c r="BM85" t="n">
        <v>2731.574</v>
      </c>
      <c r="BN85" t="n">
        <v>2655.579</v>
      </c>
      <c r="BO85" t="n">
        <v>2931.568</v>
      </c>
      <c r="BP85" t="n">
        <v>3030.149</v>
      </c>
      <c r="BQ85" t="n">
        <v>2776.99</v>
      </c>
      <c r="BR85" t="n">
        <v>2859.609</v>
      </c>
      <c r="BS85" t="n">
        <v>2961.548</v>
      </c>
      <c r="BT85" t="n">
        <v>2746.29</v>
      </c>
      <c r="BU85" t="n">
        <v>2597.085</v>
      </c>
      <c r="BV85" t="n">
        <v>2434.018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0.001</v>
      </c>
      <c r="J86" t="n">
        <v>0.007</v>
      </c>
      <c r="K86" t="n">
        <v>0.008999999999999999</v>
      </c>
      <c r="L86" t="n">
        <v>0.003</v>
      </c>
      <c r="M86" t="n">
        <v>0.002</v>
      </c>
      <c r="N86" t="n">
        <v>0.002</v>
      </c>
      <c r="O86" t="n">
        <v>0.005</v>
      </c>
      <c r="P86" t="n">
        <v>0.005</v>
      </c>
      <c r="Q86" t="n">
        <v>0</v>
      </c>
      <c r="R86" t="n">
        <v>0</v>
      </c>
      <c r="S86" t="n">
        <v>0.007</v>
      </c>
      <c r="T86" t="n">
        <v>0.005</v>
      </c>
      <c r="U86" t="n">
        <v>0.008</v>
      </c>
      <c r="V86" t="n">
        <v>0.006</v>
      </c>
      <c r="W86" t="n">
        <v>0.01</v>
      </c>
      <c r="X86" t="n">
        <v>0.005</v>
      </c>
      <c r="Y86" t="n">
        <v>0.001</v>
      </c>
      <c r="Z86" t="n">
        <v>0.002</v>
      </c>
      <c r="AA86" t="n">
        <v>0.003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5148.65</v>
      </c>
      <c r="BD86" t="n">
        <v>5094.17</v>
      </c>
      <c r="BE86" t="n">
        <v>4993.457</v>
      </c>
      <c r="BF86" t="n">
        <v>4644.879</v>
      </c>
      <c r="BG86" t="n">
        <v>5814.378</v>
      </c>
      <c r="BH86" t="n">
        <v>5628.204</v>
      </c>
      <c r="BI86" t="n">
        <v>5401.715</v>
      </c>
      <c r="BJ86" t="n">
        <v>5259.241</v>
      </c>
      <c r="BK86" t="n">
        <v>4526.801</v>
      </c>
      <c r="BL86" t="n">
        <v>3665.594</v>
      </c>
      <c r="BM86" t="n">
        <v>3093.974</v>
      </c>
      <c r="BN86" t="n">
        <v>3275.99</v>
      </c>
      <c r="BO86" t="n">
        <v>4063.716</v>
      </c>
      <c r="BP86" t="n">
        <v>4539.853</v>
      </c>
      <c r="BQ86" t="n">
        <v>4429.438</v>
      </c>
      <c r="BR86" t="n">
        <v>3926.099</v>
      </c>
      <c r="BS86" t="n">
        <v>5004.887</v>
      </c>
      <c r="BT86" t="n">
        <v>3975.802</v>
      </c>
      <c r="BU86" t="n">
        <v>3667.258</v>
      </c>
      <c r="BV86" t="n">
        <v>2923.293</v>
      </c>
    </row>
    <row r="87">
      <c r="A87" t="inlineStr">
        <is>
          <t>Thenus orientalis</t>
        </is>
      </c>
      <c r="B87" t="inlineStr">
        <is>
          <t>Flathead lobster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1797.212</v>
      </c>
      <c r="Z87" t="n">
        <v>1909.226</v>
      </c>
      <c r="AA87" t="n">
        <v>1800.099</v>
      </c>
      <c r="AB87" t="n">
        <v>1310.959</v>
      </c>
      <c r="AC87" t="n">
        <v>1662.126</v>
      </c>
      <c r="AD87" t="n">
        <v>1911.783</v>
      </c>
      <c r="AE87" t="n">
        <v>1790.288</v>
      </c>
      <c r="AF87" t="n">
        <v>3032.589</v>
      </c>
      <c r="AG87" t="n">
        <v>2690.082</v>
      </c>
      <c r="AH87" t="n">
        <v>2058.393</v>
      </c>
      <c r="AI87" t="n">
        <v>1027.962</v>
      </c>
      <c r="AJ87" t="n">
        <v>1609.337</v>
      </c>
      <c r="AK87" t="n">
        <v>1160.778</v>
      </c>
      <c r="AL87" t="n">
        <v>728.024</v>
      </c>
      <c r="AM87" t="n">
        <v>1139.822</v>
      </c>
      <c r="AN87" t="n">
        <v>1380.719</v>
      </c>
      <c r="AO87" t="n">
        <v>1412.634</v>
      </c>
      <c r="AP87" t="n">
        <v>1891.723</v>
      </c>
      <c r="AQ87" t="n">
        <v>1444.23</v>
      </c>
      <c r="AR87" t="n">
        <v>1156.524</v>
      </c>
      <c r="AS87" t="n">
        <v>1293.448</v>
      </c>
      <c r="AT87" t="n">
        <v>1292.991</v>
      </c>
      <c r="AU87" t="n">
        <v>1005.215</v>
      </c>
      <c r="AV87" t="n">
        <v>1331.424</v>
      </c>
      <c r="AW87" t="n">
        <v>916.853</v>
      </c>
      <c r="AX87" t="n">
        <v>1828.616</v>
      </c>
      <c r="AY87" t="n">
        <v>2844.65</v>
      </c>
      <c r="AZ87" t="n">
        <v>2894.131</v>
      </c>
      <c r="BA87" t="n">
        <v>3353.171</v>
      </c>
      <c r="BB87" t="n">
        <v>1892.074</v>
      </c>
      <c r="BC87" t="n">
        <v>2516.247</v>
      </c>
      <c r="BD87" t="n">
        <v>1873.136</v>
      </c>
      <c r="BE87" t="n">
        <v>2038.69</v>
      </c>
      <c r="BF87" t="n">
        <v>2583.077</v>
      </c>
      <c r="BG87" t="n">
        <v>2251.915</v>
      </c>
      <c r="BH87" t="n">
        <v>1955.109</v>
      </c>
      <c r="BI87" t="n">
        <v>1855.996</v>
      </c>
      <c r="BJ87" t="n">
        <v>1575.64</v>
      </c>
      <c r="BK87" t="n">
        <v>1306.311</v>
      </c>
      <c r="BL87" t="n">
        <v>882.888</v>
      </c>
      <c r="BM87" t="n">
        <v>871.125</v>
      </c>
      <c r="BN87" t="n">
        <v>1279.227</v>
      </c>
      <c r="BO87" t="n">
        <v>1418.296</v>
      </c>
      <c r="BP87" t="n">
        <v>960.403</v>
      </c>
      <c r="BQ87" t="n">
        <v>753.9589999999999</v>
      </c>
      <c r="BR87" t="n">
        <v>753.383</v>
      </c>
      <c r="BS87" t="n">
        <v>917.9299999999999</v>
      </c>
      <c r="BT87" t="n">
        <v>1290.231</v>
      </c>
      <c r="BU87" t="n">
        <v>1071.53</v>
      </c>
      <c r="BV87" t="n">
        <v>2153.597</v>
      </c>
    </row>
    <row r="88">
      <c r="A88" t="inlineStr">
        <is>
          <t>Penaeus monodon</t>
        </is>
      </c>
      <c r="B88" t="inlineStr">
        <is>
          <t>Giant tiger prawn</t>
        </is>
      </c>
      <c r="C88" t="inlineStr">
        <is>
          <t>Shrimps</t>
        </is>
      </c>
      <c r="D88" t="inlineStr">
        <is>
          <t>Crustaceans</t>
        </is>
      </c>
      <c r="E88" t="n">
        <v>40.272</v>
      </c>
      <c r="F88" t="n">
        <v>43.557</v>
      </c>
      <c r="G88" t="n">
        <v>48.937</v>
      </c>
      <c r="H88" t="n">
        <v>53.362</v>
      </c>
      <c r="I88" t="n">
        <v>57.968</v>
      </c>
      <c r="J88" t="n">
        <v>64.155</v>
      </c>
      <c r="K88" t="n">
        <v>69.67700000000001</v>
      </c>
      <c r="L88" t="n">
        <v>73.892</v>
      </c>
      <c r="M88" t="n">
        <v>79.798</v>
      </c>
      <c r="N88" t="n">
        <v>84.265</v>
      </c>
      <c r="O88" t="n">
        <v>128.277</v>
      </c>
      <c r="P88" t="n">
        <v>219.751</v>
      </c>
      <c r="Q88" t="n">
        <v>209.964</v>
      </c>
      <c r="R88" t="n">
        <v>159.922</v>
      </c>
      <c r="S88" t="n">
        <v>168.281</v>
      </c>
      <c r="T88" t="n">
        <v>190.402</v>
      </c>
      <c r="U88" t="n">
        <v>233.048</v>
      </c>
      <c r="V88" t="n">
        <v>254.577</v>
      </c>
      <c r="W88" t="n">
        <v>335.997</v>
      </c>
      <c r="X88" t="n">
        <v>348.524</v>
      </c>
      <c r="Y88" t="n">
        <v>449.01</v>
      </c>
      <c r="Z88" t="n">
        <v>711.015</v>
      </c>
      <c r="AA88" t="n">
        <v>444.006</v>
      </c>
      <c r="AB88" t="n">
        <v>1409.49</v>
      </c>
      <c r="AC88" t="n">
        <v>580.013</v>
      </c>
      <c r="AD88" t="n">
        <v>555.691</v>
      </c>
      <c r="AE88" t="n">
        <v>117.026</v>
      </c>
      <c r="AF88" t="n">
        <v>535.679</v>
      </c>
      <c r="AG88" t="n">
        <v>602.4640000000001</v>
      </c>
      <c r="AH88" t="n">
        <v>720.501</v>
      </c>
      <c r="AI88" t="n">
        <v>373.867</v>
      </c>
      <c r="AJ88" t="n">
        <v>327.584</v>
      </c>
      <c r="AK88" t="n">
        <v>409.489</v>
      </c>
      <c r="AL88" t="n">
        <v>500.656</v>
      </c>
      <c r="AM88" t="n">
        <v>573.758</v>
      </c>
      <c r="AN88" t="n">
        <v>1391.148</v>
      </c>
      <c r="AO88" t="n">
        <v>811.255</v>
      </c>
      <c r="AP88" t="n">
        <v>991.482</v>
      </c>
      <c r="AQ88" t="n">
        <v>1215.035</v>
      </c>
      <c r="AR88" t="n">
        <v>1420.726</v>
      </c>
      <c r="AS88" t="n">
        <v>1590.39</v>
      </c>
      <c r="AT88" t="n">
        <v>1348.694</v>
      </c>
      <c r="AU88" t="n">
        <v>1481.049</v>
      </c>
      <c r="AV88" t="n">
        <v>1487.946</v>
      </c>
      <c r="AW88" t="n">
        <v>1920.565</v>
      </c>
      <c r="AX88" t="n">
        <v>1545.568</v>
      </c>
      <c r="AY88" t="n">
        <v>1742.398</v>
      </c>
      <c r="AZ88" t="n">
        <v>1772.833</v>
      </c>
      <c r="BA88" t="n">
        <v>1623.025</v>
      </c>
      <c r="BB88" t="n">
        <v>2312.238</v>
      </c>
      <c r="BC88" t="n">
        <v>2822.439</v>
      </c>
      <c r="BD88" t="n">
        <v>2480.527</v>
      </c>
      <c r="BE88" t="n">
        <v>2094.74</v>
      </c>
      <c r="BF88" t="n">
        <v>2063.78</v>
      </c>
      <c r="BG88" t="n">
        <v>3134.389</v>
      </c>
      <c r="BH88" t="n">
        <v>3459.073</v>
      </c>
      <c r="BI88" t="n">
        <v>3619.433</v>
      </c>
      <c r="BJ88" t="n">
        <v>3010.64</v>
      </c>
      <c r="BK88" t="n">
        <v>4225.805</v>
      </c>
      <c r="BL88" t="n">
        <v>3202.163</v>
      </c>
      <c r="BM88" t="n">
        <v>2610.447</v>
      </c>
      <c r="BN88" t="n">
        <v>1732.488</v>
      </c>
      <c r="BO88" t="n">
        <v>1828.43</v>
      </c>
      <c r="BP88" t="n">
        <v>1581.145</v>
      </c>
      <c r="BQ88" t="n">
        <v>1842.187</v>
      </c>
      <c r="BR88" t="n">
        <v>1539.256</v>
      </c>
      <c r="BS88" t="n">
        <v>1330.02</v>
      </c>
      <c r="BT88" t="n">
        <v>1453.344</v>
      </c>
      <c r="BU88" t="n">
        <v>1451.905</v>
      </c>
      <c r="BV88" t="n">
        <v>1483.343</v>
      </c>
    </row>
    <row r="89">
      <c r="A89" t="inlineStr">
        <is>
          <t>Terapon</t>
        </is>
      </c>
      <c r="B89" t="inlineStr">
        <is>
          <t>Terapons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197.917</v>
      </c>
      <c r="F89" t="n">
        <v>197.917</v>
      </c>
      <c r="G89" t="n">
        <v>261.709</v>
      </c>
      <c r="H89" t="n">
        <v>230.631</v>
      </c>
      <c r="I89" t="n">
        <v>197.917</v>
      </c>
      <c r="J89" t="n">
        <v>197.917</v>
      </c>
      <c r="K89" t="n">
        <v>197.917</v>
      </c>
      <c r="L89" t="n">
        <v>189.739</v>
      </c>
      <c r="M89" t="n">
        <v>204.46</v>
      </c>
      <c r="N89" t="n">
        <v>197.917</v>
      </c>
      <c r="O89" t="n">
        <v>265.798</v>
      </c>
      <c r="P89" t="n">
        <v>329.589</v>
      </c>
      <c r="Q89" t="n">
        <v>340.221</v>
      </c>
      <c r="R89" t="n">
        <v>529.1420000000001</v>
      </c>
      <c r="S89" t="n">
        <v>492.339</v>
      </c>
      <c r="T89" t="n">
        <v>475.09</v>
      </c>
      <c r="U89" t="n">
        <v>562.641</v>
      </c>
      <c r="V89" t="n">
        <v>504.922</v>
      </c>
      <c r="W89" t="n">
        <v>545.7619999999999</v>
      </c>
      <c r="X89" t="n">
        <v>441.849</v>
      </c>
      <c r="Y89" t="n">
        <v>444.463</v>
      </c>
      <c r="Z89" t="n">
        <v>530.091</v>
      </c>
      <c r="AA89" t="n">
        <v>541.019</v>
      </c>
      <c r="AB89" t="n">
        <v>528.559</v>
      </c>
      <c r="AC89" t="n">
        <v>721.123</v>
      </c>
      <c r="AD89" t="n">
        <v>624.876</v>
      </c>
      <c r="AE89" t="n">
        <v>559.783</v>
      </c>
      <c r="AF89" t="n">
        <v>783.877</v>
      </c>
      <c r="AG89" t="n">
        <v>817.938</v>
      </c>
      <c r="AH89" t="n">
        <v>770.197</v>
      </c>
      <c r="AI89" t="n">
        <v>657.336</v>
      </c>
      <c r="AJ89" t="n">
        <v>981.191</v>
      </c>
      <c r="AK89" t="n">
        <v>614.343</v>
      </c>
      <c r="AL89" t="n">
        <v>604.059</v>
      </c>
      <c r="AM89" t="n">
        <v>477.256</v>
      </c>
      <c r="AN89" t="n">
        <v>520.0839999999999</v>
      </c>
      <c r="AO89" t="n">
        <v>535.83</v>
      </c>
      <c r="AP89" t="n">
        <v>1301.896</v>
      </c>
      <c r="AQ89" t="n">
        <v>1170.426</v>
      </c>
      <c r="AR89" t="n">
        <v>1630.272</v>
      </c>
      <c r="AS89" t="n">
        <v>2042.576</v>
      </c>
      <c r="AT89" t="n">
        <v>1837.639</v>
      </c>
      <c r="AU89" t="n">
        <v>1584.175</v>
      </c>
      <c r="AV89" t="n">
        <v>1904.944</v>
      </c>
      <c r="AW89" t="n">
        <v>2093.918</v>
      </c>
      <c r="AX89" t="n">
        <v>1923.099</v>
      </c>
      <c r="AY89" t="n">
        <v>1705.145</v>
      </c>
      <c r="AZ89" t="n">
        <v>1570.724</v>
      </c>
      <c r="BA89" t="n">
        <v>1829.048</v>
      </c>
      <c r="BB89" t="n">
        <v>2017.616</v>
      </c>
      <c r="BC89" t="n">
        <v>2135.682</v>
      </c>
      <c r="BD89" t="n">
        <v>2184.031</v>
      </c>
      <c r="BE89" t="n">
        <v>2278.21</v>
      </c>
      <c r="BF89" t="n">
        <v>2186.763</v>
      </c>
      <c r="BG89" t="n">
        <v>1924.162</v>
      </c>
      <c r="BH89" t="n">
        <v>2118.828</v>
      </c>
      <c r="BI89" t="n">
        <v>1923.22</v>
      </c>
      <c r="BJ89" t="n">
        <v>1960.369</v>
      </c>
      <c r="BK89" t="n">
        <v>1721.247</v>
      </c>
      <c r="BL89" t="n">
        <v>1599.583</v>
      </c>
      <c r="BM89" t="n">
        <v>1732.206</v>
      </c>
      <c r="BN89" t="n">
        <v>1689.352</v>
      </c>
      <c r="BO89" t="n">
        <v>1902.113</v>
      </c>
      <c r="BP89" t="n">
        <v>1979.1</v>
      </c>
      <c r="BQ89" t="n">
        <v>1815.573</v>
      </c>
      <c r="BR89" t="n">
        <v>1868.501</v>
      </c>
      <c r="BS89" t="n">
        <v>1938.473</v>
      </c>
      <c r="BT89" t="n">
        <v>1800.149</v>
      </c>
      <c r="BU89" t="n">
        <v>1697.502</v>
      </c>
      <c r="BV89" t="n">
        <v>1592.254</v>
      </c>
    </row>
    <row r="90">
      <c r="A90" t="inlineStr">
        <is>
          <t>Polynemidae</t>
        </is>
      </c>
      <c r="B90" t="inlineStr">
        <is>
          <t>Threadfins</t>
        </is>
      </c>
      <c r="C90" t="inlineStr">
        <is>
          <t>Small demersals (&lt;30 cm)</t>
        </is>
      </c>
      <c r="D90" t="inlineStr">
        <is>
          <t>Perch-likes</t>
        </is>
      </c>
      <c r="E90" t="n">
        <v>0.198</v>
      </c>
      <c r="F90" t="n">
        <v>2.132</v>
      </c>
      <c r="G90" t="n">
        <v>0.045</v>
      </c>
      <c r="H90" t="n">
        <v>13.438</v>
      </c>
      <c r="I90" t="n">
        <v>14.339</v>
      </c>
      <c r="J90" t="n">
        <v>14.248</v>
      </c>
      <c r="K90" t="n">
        <v>0.001</v>
      </c>
      <c r="L90" t="n">
        <v>0.001</v>
      </c>
      <c r="M90" t="n">
        <v>0.001</v>
      </c>
      <c r="N90" t="n">
        <v>0.001</v>
      </c>
      <c r="O90" t="n">
        <v>0.001</v>
      </c>
      <c r="P90" t="n">
        <v>0.001</v>
      </c>
      <c r="Q90" t="n">
        <v>0.002</v>
      </c>
      <c r="R90" t="n">
        <v>0.002</v>
      </c>
      <c r="S90" t="n">
        <v>0.003</v>
      </c>
      <c r="T90" t="n">
        <v>0.004</v>
      </c>
      <c r="U90" t="n">
        <v>67.44799999999999</v>
      </c>
      <c r="V90" t="n">
        <v>66.994</v>
      </c>
      <c r="W90" t="n">
        <v>64.84699999999999</v>
      </c>
      <c r="X90" t="n">
        <v>72.375</v>
      </c>
      <c r="Y90" t="n">
        <v>1880.506</v>
      </c>
      <c r="Z90" t="n">
        <v>1801.876</v>
      </c>
      <c r="AA90" t="n">
        <v>2278.767</v>
      </c>
      <c r="AB90" t="n">
        <v>2292.166</v>
      </c>
      <c r="AC90" t="n">
        <v>2806.79</v>
      </c>
      <c r="AD90" t="n">
        <v>5175.948</v>
      </c>
      <c r="AE90" t="n">
        <v>1565.732</v>
      </c>
      <c r="AF90" t="n">
        <v>1524.821</v>
      </c>
      <c r="AG90" t="n">
        <v>10308.47</v>
      </c>
      <c r="AH90" t="n">
        <v>1101.372</v>
      </c>
      <c r="AI90" t="n">
        <v>1071.933</v>
      </c>
      <c r="AJ90" t="n">
        <v>1030.277</v>
      </c>
      <c r="AK90" t="n">
        <v>1485.487</v>
      </c>
      <c r="AL90" t="n">
        <v>1707.035</v>
      </c>
      <c r="AM90" t="n">
        <v>1947.376</v>
      </c>
      <c r="AN90" t="n">
        <v>1983.823</v>
      </c>
      <c r="AO90" t="n">
        <v>1381.919</v>
      </c>
      <c r="AP90" t="n">
        <v>1164.672</v>
      </c>
      <c r="AQ90" t="n">
        <v>1599.107</v>
      </c>
      <c r="AR90" t="n">
        <v>1818.04</v>
      </c>
      <c r="AS90" t="n">
        <v>1731.389</v>
      </c>
      <c r="AT90" t="n">
        <v>995.89</v>
      </c>
      <c r="AU90" t="n">
        <v>1186.603</v>
      </c>
      <c r="AV90" t="n">
        <v>2459.477</v>
      </c>
      <c r="AW90" t="n">
        <v>2206.028</v>
      </c>
      <c r="AX90" t="n">
        <v>1038.385</v>
      </c>
      <c r="AY90" t="n">
        <v>1129.435</v>
      </c>
      <c r="AZ90" t="n">
        <v>1056.22</v>
      </c>
      <c r="BA90" t="n">
        <v>1298.38</v>
      </c>
      <c r="BB90" t="n">
        <v>431.976</v>
      </c>
      <c r="BC90" t="n">
        <v>396.061</v>
      </c>
      <c r="BD90" t="n">
        <v>318.133</v>
      </c>
      <c r="BE90" t="n">
        <v>638.1950000000001</v>
      </c>
      <c r="BF90" t="n">
        <v>413.203</v>
      </c>
      <c r="BG90" t="n">
        <v>518.157</v>
      </c>
      <c r="BH90" t="n">
        <v>550.64</v>
      </c>
      <c r="BI90" t="n">
        <v>951.404</v>
      </c>
      <c r="BJ90" t="n">
        <v>490.357</v>
      </c>
      <c r="BK90" t="n">
        <v>330.15</v>
      </c>
      <c r="BL90" t="n">
        <v>297.695</v>
      </c>
      <c r="BM90" t="n">
        <v>1067.413</v>
      </c>
      <c r="BN90" t="n">
        <v>998.193</v>
      </c>
      <c r="BO90" t="n">
        <v>1182.859</v>
      </c>
      <c r="BP90" t="n">
        <v>1528.274</v>
      </c>
      <c r="BQ90" t="n">
        <v>882.616</v>
      </c>
      <c r="BR90" t="n">
        <v>721.62</v>
      </c>
      <c r="BS90" t="n">
        <v>1785.599</v>
      </c>
      <c r="BT90" t="n">
        <v>1763.995</v>
      </c>
      <c r="BU90" t="n">
        <v>1470.077</v>
      </c>
      <c r="BV90" t="n">
        <v>1813.363</v>
      </c>
    </row>
    <row r="91">
      <c r="A91" t="inlineStr">
        <is>
          <t>Cynoglossus</t>
        </is>
      </c>
      <c r="B91" t="inlineStr">
        <is>
          <t>Tonguesoles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88.08199999999999</v>
      </c>
      <c r="F91" t="n">
        <v>88.08199999999999</v>
      </c>
      <c r="G91" t="n">
        <v>116.335</v>
      </c>
      <c r="H91" t="n">
        <v>103.039</v>
      </c>
      <c r="I91" t="n">
        <v>88.08199999999999</v>
      </c>
      <c r="J91" t="n">
        <v>88.08199999999999</v>
      </c>
      <c r="K91" t="n">
        <v>88.08199999999999</v>
      </c>
      <c r="L91" t="n">
        <v>83.92700000000001</v>
      </c>
      <c r="M91" t="n">
        <v>90.575</v>
      </c>
      <c r="N91" t="n">
        <v>88.08199999999999</v>
      </c>
      <c r="O91" t="n">
        <v>117.997</v>
      </c>
      <c r="P91" t="n">
        <v>146.249</v>
      </c>
      <c r="Q91" t="n">
        <v>151.235</v>
      </c>
      <c r="R91" t="n">
        <v>235.993</v>
      </c>
      <c r="S91" t="n">
        <v>218.543</v>
      </c>
      <c r="T91" t="n">
        <v>280.541</v>
      </c>
      <c r="U91" t="n">
        <v>373.858</v>
      </c>
      <c r="V91" t="n">
        <v>416.186</v>
      </c>
      <c r="W91" t="n">
        <v>497.299</v>
      </c>
      <c r="X91" t="n">
        <v>468.637</v>
      </c>
      <c r="Y91" t="n">
        <v>904.718</v>
      </c>
      <c r="Z91" t="n">
        <v>993.4160000000001</v>
      </c>
      <c r="AA91" t="n">
        <v>1342.52</v>
      </c>
      <c r="AB91" t="n">
        <v>1557.148</v>
      </c>
      <c r="AC91" t="n">
        <v>1958.75</v>
      </c>
      <c r="AD91" t="n">
        <v>2162.384</v>
      </c>
      <c r="AE91" t="n">
        <v>2416.947</v>
      </c>
      <c r="AF91" t="n">
        <v>2926.1</v>
      </c>
      <c r="AG91" t="n">
        <v>3293.625</v>
      </c>
      <c r="AH91" t="n">
        <v>3231.504</v>
      </c>
      <c r="AI91" t="n">
        <v>481.125</v>
      </c>
      <c r="AJ91" t="n">
        <v>631.114</v>
      </c>
      <c r="AK91" t="n">
        <v>483.8</v>
      </c>
      <c r="AL91" t="n">
        <v>460.181</v>
      </c>
      <c r="AM91" t="n">
        <v>355.407</v>
      </c>
      <c r="AN91" t="n">
        <v>2751.279</v>
      </c>
      <c r="AO91" t="n">
        <v>2021.859</v>
      </c>
      <c r="AP91" t="n">
        <v>2607.533</v>
      </c>
      <c r="AQ91" t="n">
        <v>3227.896</v>
      </c>
      <c r="AR91" t="n">
        <v>3442.572</v>
      </c>
      <c r="AS91" t="n">
        <v>1054.136</v>
      </c>
      <c r="AT91" t="n">
        <v>978.194</v>
      </c>
      <c r="AU91" t="n">
        <v>872.807</v>
      </c>
      <c r="AV91" t="n">
        <v>1019.044</v>
      </c>
      <c r="AW91" t="n">
        <v>1084.773</v>
      </c>
      <c r="AX91" t="n">
        <v>1271.734</v>
      </c>
      <c r="AY91" t="n">
        <v>1196.192</v>
      </c>
      <c r="AZ91" t="n">
        <v>1186.259</v>
      </c>
      <c r="BA91" t="n">
        <v>1266</v>
      </c>
      <c r="BB91" t="n">
        <v>1444.861</v>
      </c>
      <c r="BC91" t="n">
        <v>1149.9</v>
      </c>
      <c r="BD91" t="n">
        <v>1190.166</v>
      </c>
      <c r="BE91" t="n">
        <v>1246.958</v>
      </c>
      <c r="BF91" t="n">
        <v>1199.409</v>
      </c>
      <c r="BG91" t="n">
        <v>1079.902</v>
      </c>
      <c r="BH91" t="n">
        <v>1005.971</v>
      </c>
      <c r="BI91" t="n">
        <v>925.462</v>
      </c>
      <c r="BJ91" t="n">
        <v>940.261</v>
      </c>
      <c r="BK91" t="n">
        <v>842.765</v>
      </c>
      <c r="BL91" t="n">
        <v>858.75</v>
      </c>
      <c r="BM91" t="n">
        <v>923.7619999999999</v>
      </c>
      <c r="BN91" t="n">
        <v>900.542</v>
      </c>
      <c r="BO91" t="n">
        <v>1013.912</v>
      </c>
      <c r="BP91" t="n">
        <v>1054.854</v>
      </c>
      <c r="BQ91" t="n">
        <v>967.566</v>
      </c>
      <c r="BR91" t="n">
        <v>995.85</v>
      </c>
      <c r="BS91" t="n">
        <v>1032.906</v>
      </c>
      <c r="BT91" t="n">
        <v>959.02</v>
      </c>
      <c r="BU91" t="n">
        <v>904.359</v>
      </c>
      <c r="BV91" t="n">
        <v>848.193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71.337</v>
      </c>
      <c r="F92" t="n">
        <v>69.01300000000001</v>
      </c>
      <c r="G92" t="n">
        <v>63.588</v>
      </c>
      <c r="H92" t="n">
        <v>59.712</v>
      </c>
      <c r="I92" t="n">
        <v>59.713</v>
      </c>
      <c r="J92" t="n">
        <v>65.14</v>
      </c>
      <c r="K92" t="n">
        <v>65.916</v>
      </c>
      <c r="L92" t="n">
        <v>67.46599999999999</v>
      </c>
      <c r="M92" t="n">
        <v>76.77</v>
      </c>
      <c r="N92" t="n">
        <v>82.19499999999999</v>
      </c>
      <c r="O92" t="n">
        <v>86.072</v>
      </c>
      <c r="P92" t="n">
        <v>89.185</v>
      </c>
      <c r="Q92" t="n">
        <v>99.27200000000001</v>
      </c>
      <c r="R92" t="n">
        <v>106.258</v>
      </c>
      <c r="S92" t="n">
        <v>121.774</v>
      </c>
      <c r="T92" t="n">
        <v>246.756</v>
      </c>
      <c r="U92" t="n">
        <v>357.234</v>
      </c>
      <c r="V92" t="n">
        <v>496.066</v>
      </c>
      <c r="W92" t="n">
        <v>623.104</v>
      </c>
      <c r="X92" t="n">
        <v>643.766</v>
      </c>
      <c r="Y92" t="n">
        <v>1526.622</v>
      </c>
      <c r="Z92" t="n">
        <v>1629.746</v>
      </c>
      <c r="AA92" t="n">
        <v>2317.916</v>
      </c>
      <c r="AB92" t="n">
        <v>2768.142</v>
      </c>
      <c r="AC92" t="n">
        <v>3409.236</v>
      </c>
      <c r="AD92" t="n">
        <v>3895.243</v>
      </c>
      <c r="AE92" t="n">
        <v>284.236</v>
      </c>
      <c r="AF92" t="n">
        <v>349.626</v>
      </c>
      <c r="AG92" t="n">
        <v>395.591</v>
      </c>
      <c r="AH92" t="n">
        <v>407.642</v>
      </c>
      <c r="AI92" t="n">
        <v>1590.977</v>
      </c>
      <c r="AJ92" t="n">
        <v>1886.93</v>
      </c>
      <c r="AK92" t="n">
        <v>1711.036</v>
      </c>
      <c r="AL92" t="n">
        <v>1660.466</v>
      </c>
      <c r="AM92" t="n">
        <v>1301.388</v>
      </c>
      <c r="AN92" t="n">
        <v>801.819</v>
      </c>
      <c r="AO92" t="n">
        <v>570.795</v>
      </c>
      <c r="AP92" t="n">
        <v>659.962</v>
      </c>
      <c r="AQ92" t="n">
        <v>1120.022</v>
      </c>
      <c r="AR92" t="n">
        <v>878.996</v>
      </c>
      <c r="AS92" t="n">
        <v>656.648</v>
      </c>
      <c r="AT92" t="n">
        <v>696.061</v>
      </c>
      <c r="AU92" t="n">
        <v>703.953</v>
      </c>
      <c r="AV92" t="n">
        <v>738.687</v>
      </c>
      <c r="AW92" t="n">
        <v>679.55</v>
      </c>
      <c r="AX92" t="n">
        <v>1635.743</v>
      </c>
      <c r="AY92" t="n">
        <v>1699.543</v>
      </c>
      <c r="AZ92" t="n">
        <v>1822.781</v>
      </c>
      <c r="BA92" t="n">
        <v>1791.201</v>
      </c>
      <c r="BB92" t="n">
        <v>2121.781</v>
      </c>
      <c r="BC92" t="n">
        <v>1121.26</v>
      </c>
      <c r="BD92" t="n">
        <v>1092.042</v>
      </c>
      <c r="BE92" t="n">
        <v>1071.156</v>
      </c>
      <c r="BF92" t="n">
        <v>1051.986</v>
      </c>
      <c r="BG92" t="n">
        <v>1045.68</v>
      </c>
      <c r="BH92" t="n">
        <v>246.297</v>
      </c>
      <c r="BI92" t="n">
        <v>270.3</v>
      </c>
      <c r="BJ92" t="n">
        <v>259.405</v>
      </c>
      <c r="BK92" t="n">
        <v>304.459</v>
      </c>
      <c r="BL92" t="n">
        <v>1657.7</v>
      </c>
      <c r="BM92" t="n">
        <v>1744.538</v>
      </c>
      <c r="BN92" t="n">
        <v>1696.816</v>
      </c>
      <c r="BO92" t="n">
        <v>1909.894</v>
      </c>
      <c r="BP92" t="n">
        <v>1985.989</v>
      </c>
      <c r="BQ92" t="n">
        <v>1820.341</v>
      </c>
      <c r="BR92" t="n">
        <v>1874.406</v>
      </c>
      <c r="BS92" t="n">
        <v>1941.582</v>
      </c>
      <c r="BT92" t="n">
        <v>1800.75</v>
      </c>
      <c r="BU92" t="n">
        <v>1697.513</v>
      </c>
      <c r="BV92" t="n">
        <v>2075.702</v>
      </c>
    </row>
    <row r="93">
      <c r="A93" t="inlineStr">
        <is>
          <t>Tetraodontidae</t>
        </is>
      </c>
      <c r="B93" t="inlineStr">
        <is>
          <t>Puffers, tobies</t>
        </is>
      </c>
      <c r="C93" t="inlineStr">
        <is>
          <t>Large reef assoc. fish (&gt;=90 cm)</t>
        </is>
      </c>
      <c r="D93" t="inlineStr">
        <is>
          <t>Other fishes &amp; inverts</t>
        </is>
      </c>
      <c r="E93" t="n">
        <v>170.219</v>
      </c>
      <c r="F93" t="n">
        <v>170.219</v>
      </c>
      <c r="G93" t="n">
        <v>225.29</v>
      </c>
      <c r="H93" t="n">
        <v>198.589</v>
      </c>
      <c r="I93" t="n">
        <v>170.219</v>
      </c>
      <c r="J93" t="n">
        <v>170.219</v>
      </c>
      <c r="K93" t="n">
        <v>170.219</v>
      </c>
      <c r="L93" t="n">
        <v>162.71</v>
      </c>
      <c r="M93" t="n">
        <v>175.226</v>
      </c>
      <c r="N93" t="n">
        <v>170.219</v>
      </c>
      <c r="O93" t="n">
        <v>228.628</v>
      </c>
      <c r="P93" t="n">
        <v>283.699</v>
      </c>
      <c r="Q93" t="n">
        <v>292.043</v>
      </c>
      <c r="R93" t="n">
        <v>454.753</v>
      </c>
      <c r="S93" t="n">
        <v>423.045</v>
      </c>
      <c r="T93" t="n">
        <v>512.8920000000001</v>
      </c>
      <c r="U93" t="n">
        <v>587.2809999999999</v>
      </c>
      <c r="V93" t="n">
        <v>549.829</v>
      </c>
      <c r="W93" t="n">
        <v>584.0599999999999</v>
      </c>
      <c r="X93" t="n">
        <v>499.635</v>
      </c>
      <c r="Y93" t="n">
        <v>656.4880000000001</v>
      </c>
      <c r="Z93" t="n">
        <v>754.258</v>
      </c>
      <c r="AA93" t="n">
        <v>750.2569999999999</v>
      </c>
      <c r="AB93" t="n">
        <v>599.061</v>
      </c>
      <c r="AC93" t="n">
        <v>765.002</v>
      </c>
      <c r="AD93" t="n">
        <v>682.6319999999999</v>
      </c>
      <c r="AE93" t="n">
        <v>626.968</v>
      </c>
      <c r="AF93" t="n">
        <v>818.4930000000001</v>
      </c>
      <c r="AG93" t="n">
        <v>848.164</v>
      </c>
      <c r="AH93" t="n">
        <v>770.585</v>
      </c>
      <c r="AI93" t="n">
        <v>580.246</v>
      </c>
      <c r="AJ93" t="n">
        <v>851.943</v>
      </c>
      <c r="AK93" t="n">
        <v>565.33</v>
      </c>
      <c r="AL93" t="n">
        <v>627.414</v>
      </c>
      <c r="AM93" t="n">
        <v>493.68</v>
      </c>
      <c r="AN93" t="n">
        <v>561.037</v>
      </c>
      <c r="AO93" t="n">
        <v>528.679</v>
      </c>
      <c r="AP93" t="n">
        <v>1273.12</v>
      </c>
      <c r="AQ93" t="n">
        <v>1178.747</v>
      </c>
      <c r="AR93" t="n">
        <v>1599.409</v>
      </c>
      <c r="AS93" t="n">
        <v>1943.472</v>
      </c>
      <c r="AT93" t="n">
        <v>1734.968</v>
      </c>
      <c r="AU93" t="n">
        <v>1490.129</v>
      </c>
      <c r="AV93" t="n">
        <v>1642.42</v>
      </c>
      <c r="AW93" t="n">
        <v>1805.585</v>
      </c>
      <c r="AX93" t="n">
        <v>1657.997</v>
      </c>
      <c r="AY93" t="n">
        <v>1470.925</v>
      </c>
      <c r="AZ93" t="n">
        <v>1354.52</v>
      </c>
      <c r="BA93" t="n">
        <v>1576.692</v>
      </c>
      <c r="BB93" t="n">
        <v>1740.708</v>
      </c>
      <c r="BC93" t="n">
        <v>1842.485</v>
      </c>
      <c r="BD93" t="n">
        <v>1887.386</v>
      </c>
      <c r="BE93" t="n">
        <v>1969.582</v>
      </c>
      <c r="BF93" t="n">
        <v>1893.414</v>
      </c>
      <c r="BG93" t="n">
        <v>1667.823</v>
      </c>
      <c r="BH93" t="n">
        <v>1835.959</v>
      </c>
      <c r="BI93" t="n">
        <v>1668.028</v>
      </c>
      <c r="BJ93" t="n">
        <v>1700.273</v>
      </c>
      <c r="BK93" t="n">
        <v>1494.564</v>
      </c>
      <c r="BL93" t="n">
        <v>1391.665</v>
      </c>
      <c r="BM93" t="n">
        <v>1508.565</v>
      </c>
      <c r="BN93" t="n">
        <v>1477.99</v>
      </c>
      <c r="BO93" t="n">
        <v>1661.344</v>
      </c>
      <c r="BP93" t="n">
        <v>1726.316</v>
      </c>
      <c r="BQ93" t="n">
        <v>1587.778</v>
      </c>
      <c r="BR93" t="n">
        <v>1633.331</v>
      </c>
      <c r="BS93" t="n">
        <v>1693.604</v>
      </c>
      <c r="BT93" t="n">
        <v>1574.669</v>
      </c>
      <c r="BU93" t="n">
        <v>1493.252</v>
      </c>
      <c r="BV93" t="n">
        <v>1399.213</v>
      </c>
    </row>
    <row r="94">
      <c r="A94" t="inlineStr">
        <is>
          <t>Seriolina nigrofasciata</t>
        </is>
      </c>
      <c r="B94" t="inlineStr">
        <is>
          <t>Blackbanded trevally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4054.224</v>
      </c>
      <c r="AX94" t="n">
        <v>4143.454</v>
      </c>
      <c r="AY94" t="n">
        <v>3662.443</v>
      </c>
      <c r="AZ94" t="n">
        <v>3564.812</v>
      </c>
      <c r="BA94" t="n">
        <v>3337.237</v>
      </c>
      <c r="BB94" t="n">
        <v>3535.799</v>
      </c>
      <c r="BC94" t="n">
        <v>3463.282</v>
      </c>
      <c r="BD94" t="n">
        <v>2608.591</v>
      </c>
      <c r="BE94" t="n">
        <v>6404.691</v>
      </c>
      <c r="BF94" t="n">
        <v>6892.647</v>
      </c>
      <c r="BG94" t="n">
        <v>2392.652</v>
      </c>
      <c r="BH94" t="n">
        <v>3045.808</v>
      </c>
      <c r="BI94" t="n">
        <v>2844.621</v>
      </c>
      <c r="BJ94" t="n">
        <v>2251.292</v>
      </c>
      <c r="BK94" t="n">
        <v>1956.971</v>
      </c>
      <c r="BL94" t="n">
        <v>1786.077</v>
      </c>
      <c r="BM94" t="n">
        <v>1236.913</v>
      </c>
      <c r="BN94" t="n">
        <v>1177.267</v>
      </c>
      <c r="BO94" t="n">
        <v>2910.194</v>
      </c>
      <c r="BP94" t="n">
        <v>3366.153</v>
      </c>
      <c r="BQ94" t="n">
        <v>2858.502</v>
      </c>
      <c r="BR94" t="n">
        <v>1040.147</v>
      </c>
      <c r="BS94" t="n">
        <v>476.117</v>
      </c>
      <c r="BT94" t="n">
        <v>854.099</v>
      </c>
      <c r="BU94" t="n">
        <v>454.331</v>
      </c>
      <c r="BV94" t="n">
        <v>429.556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9659.056</v>
      </c>
      <c r="Z95" t="n">
        <v>10898.877</v>
      </c>
      <c r="AA95" t="n">
        <v>3695.941</v>
      </c>
      <c r="AB95" t="n">
        <v>2531.058</v>
      </c>
      <c r="AC95" t="n">
        <v>4468.752</v>
      </c>
      <c r="AD95" t="n">
        <v>171.164</v>
      </c>
      <c r="AE95" t="n">
        <v>17.044</v>
      </c>
      <c r="AF95" t="n">
        <v>19.231</v>
      </c>
      <c r="AG95" t="n">
        <v>1711.726</v>
      </c>
      <c r="AH95" t="n">
        <v>2527.673</v>
      </c>
      <c r="AI95" t="n">
        <v>1063.118</v>
      </c>
      <c r="AJ95" t="n">
        <v>346.362</v>
      </c>
      <c r="AK95" t="n">
        <v>44.185</v>
      </c>
      <c r="AL95" t="n">
        <v>730.806</v>
      </c>
      <c r="AM95" t="n">
        <v>714.931</v>
      </c>
      <c r="AN95" t="n">
        <v>4600.224</v>
      </c>
      <c r="AO95" t="n">
        <v>1247.762</v>
      </c>
      <c r="AP95" t="n">
        <v>1794.36</v>
      </c>
      <c r="AQ95" t="n">
        <v>1.069</v>
      </c>
      <c r="AR95" t="n">
        <v>0</v>
      </c>
      <c r="AS95" t="n">
        <v>0</v>
      </c>
      <c r="AT95" t="n">
        <v>26.24</v>
      </c>
      <c r="AU95" t="n">
        <v>208.583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35.887</v>
      </c>
      <c r="BC95" t="n">
        <v>237.553</v>
      </c>
      <c r="BD95" t="n">
        <v>1778.283</v>
      </c>
      <c r="BE95" t="n">
        <v>331.909</v>
      </c>
      <c r="BF95" t="n">
        <v>498.623</v>
      </c>
      <c r="BG95" t="n">
        <v>274.372</v>
      </c>
      <c r="BH95" t="n">
        <v>3380.737</v>
      </c>
      <c r="BI95" t="n">
        <v>1782.514</v>
      </c>
      <c r="BJ95" t="n">
        <v>1106.727</v>
      </c>
      <c r="BK95" t="n">
        <v>831.775</v>
      </c>
      <c r="BL95" t="n">
        <v>533.331</v>
      </c>
      <c r="BM95" t="n">
        <v>239.622</v>
      </c>
      <c r="BN95" t="n">
        <v>36.32</v>
      </c>
      <c r="BO95" t="n">
        <v>27.256</v>
      </c>
      <c r="BP95" t="n">
        <v>56.838</v>
      </c>
      <c r="BQ95" t="n">
        <v>20.044</v>
      </c>
      <c r="BR95" t="n">
        <v>64.568</v>
      </c>
      <c r="BS95" t="n">
        <v>1924.007</v>
      </c>
      <c r="BT95" t="n">
        <v>2736.654</v>
      </c>
      <c r="BU95" t="n">
        <v>2449.053</v>
      </c>
      <c r="BV95" t="n">
        <v>1455.742</v>
      </c>
    </row>
    <row r="96">
      <c r="A96" t="inlineStr">
        <is>
          <t>Parapenaeopsis</t>
        </is>
      </c>
      <c r="B96" t="inlineStr">
        <is>
          <t>Leafy-legged shrimps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7561.473</v>
      </c>
      <c r="AO96" t="n">
        <v>5317.513</v>
      </c>
      <c r="AP96" t="n">
        <v>6234.123</v>
      </c>
      <c r="AQ96" t="n">
        <v>8001.871</v>
      </c>
      <c r="AR96" t="n">
        <v>8077.692</v>
      </c>
      <c r="AS96" t="n">
        <v>1976.949</v>
      </c>
      <c r="AT96" t="n">
        <v>2094.19</v>
      </c>
      <c r="AU96" t="n">
        <v>2118.762</v>
      </c>
      <c r="AV96" t="n">
        <v>2221.962</v>
      </c>
      <c r="AW96" t="n">
        <v>2041.537</v>
      </c>
      <c r="AX96" t="n">
        <v>1319.136</v>
      </c>
      <c r="AY96" t="n">
        <v>1369.683</v>
      </c>
      <c r="AZ96" t="n">
        <v>1441.292</v>
      </c>
      <c r="BA96" t="n">
        <v>1458.843</v>
      </c>
      <c r="BB96" t="n">
        <v>1709.472</v>
      </c>
      <c r="BC96" t="n">
        <v>694.319</v>
      </c>
      <c r="BD96" t="n">
        <v>670.45</v>
      </c>
      <c r="BE96" t="n">
        <v>669.046</v>
      </c>
      <c r="BF96" t="n">
        <v>648.687</v>
      </c>
      <c r="BG96" t="n">
        <v>645.176</v>
      </c>
      <c r="BH96" t="n">
        <v>0</v>
      </c>
      <c r="BI96" t="n">
        <v>0</v>
      </c>
      <c r="BJ96" t="n">
        <v>0</v>
      </c>
      <c r="BK96" t="n">
        <v>0</v>
      </c>
      <c r="BL96" t="n">
        <v>444.03</v>
      </c>
      <c r="BM96" t="n">
        <v>468.731</v>
      </c>
      <c r="BN96" t="n">
        <v>537.556</v>
      </c>
      <c r="BO96" t="n">
        <v>605.063</v>
      </c>
      <c r="BP96" t="n">
        <v>629.153</v>
      </c>
      <c r="BQ96" t="n">
        <v>576.631</v>
      </c>
      <c r="BR96" t="n">
        <v>593.7619999999999</v>
      </c>
      <c r="BS96" t="n">
        <v>615.005</v>
      </c>
      <c r="BT96" t="n">
        <v>570.362</v>
      </c>
      <c r="BU96" t="n">
        <v>538.2329999999999</v>
      </c>
      <c r="BV96" t="n">
        <v>504.47</v>
      </c>
    </row>
    <row r="97">
      <c r="A97" t="inlineStr">
        <is>
          <t>Lutjanus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48.21</v>
      </c>
      <c r="F97" t="n">
        <v>46.548</v>
      </c>
      <c r="G97" t="n">
        <v>42.393</v>
      </c>
      <c r="H97" t="n">
        <v>40.731</v>
      </c>
      <c r="I97" t="n">
        <v>39.9</v>
      </c>
      <c r="J97" t="n">
        <v>43.224</v>
      </c>
      <c r="K97" t="n">
        <v>44.056</v>
      </c>
      <c r="L97" t="n">
        <v>44.887</v>
      </c>
      <c r="M97" t="n">
        <v>50.705</v>
      </c>
      <c r="N97" t="n">
        <v>56.523</v>
      </c>
      <c r="O97" t="n">
        <v>59.017</v>
      </c>
      <c r="P97" t="n">
        <v>59.849</v>
      </c>
      <c r="Q97" t="n">
        <v>68.16</v>
      </c>
      <c r="R97" t="n">
        <v>71.485</v>
      </c>
      <c r="S97" t="n">
        <v>82.29000000000001</v>
      </c>
      <c r="T97" t="n">
        <v>71.485</v>
      </c>
      <c r="U97" t="n">
        <v>70.654</v>
      </c>
      <c r="V97" t="n">
        <v>70.654</v>
      </c>
      <c r="W97" t="n">
        <v>71.485</v>
      </c>
      <c r="X97" t="n">
        <v>64.72499999999999</v>
      </c>
      <c r="Y97" t="n">
        <v>66.783</v>
      </c>
      <c r="Z97" t="n">
        <v>62.678</v>
      </c>
      <c r="AA97" t="n">
        <v>61.94</v>
      </c>
      <c r="AB97" t="n">
        <v>62.47</v>
      </c>
      <c r="AC97" t="n">
        <v>56.524</v>
      </c>
      <c r="AD97" t="n">
        <v>48.214</v>
      </c>
      <c r="AE97" t="n">
        <v>0.013</v>
      </c>
      <c r="AF97" t="n">
        <v>0.014</v>
      </c>
      <c r="AG97" t="n">
        <v>25.161</v>
      </c>
      <c r="AH97" t="n">
        <v>0.013</v>
      </c>
      <c r="AI97" t="n">
        <v>511.194</v>
      </c>
      <c r="AJ97" t="n">
        <v>708.186</v>
      </c>
      <c r="AK97" t="n">
        <v>441.378</v>
      </c>
      <c r="AL97" t="n">
        <v>511.2</v>
      </c>
      <c r="AM97" t="n">
        <v>453.849</v>
      </c>
      <c r="AN97" t="n">
        <v>566.058</v>
      </c>
      <c r="AO97" t="n">
        <v>473.803</v>
      </c>
      <c r="AP97" t="n">
        <v>448.862</v>
      </c>
      <c r="AQ97" t="n">
        <v>405.652</v>
      </c>
      <c r="AR97" t="n">
        <v>378.222</v>
      </c>
      <c r="AS97" t="n">
        <v>470.487</v>
      </c>
      <c r="AT97" t="n">
        <v>531.996</v>
      </c>
      <c r="AU97" t="n">
        <v>551.951</v>
      </c>
      <c r="AV97" t="n">
        <v>577.716</v>
      </c>
      <c r="AW97" t="n">
        <v>565.251</v>
      </c>
      <c r="AX97" t="n">
        <v>517.039</v>
      </c>
      <c r="AY97" t="n">
        <v>540.321</v>
      </c>
      <c r="AZ97" t="n">
        <v>685.784</v>
      </c>
      <c r="BA97" t="n">
        <v>512.058</v>
      </c>
      <c r="BB97" t="n">
        <v>677.461</v>
      </c>
      <c r="BC97" t="n">
        <v>1836.124</v>
      </c>
      <c r="BD97" t="n">
        <v>1917.584</v>
      </c>
      <c r="BE97" t="n">
        <v>1590.923</v>
      </c>
      <c r="BF97" t="n">
        <v>1786.262</v>
      </c>
      <c r="BG97" t="n">
        <v>1769.62</v>
      </c>
      <c r="BH97" t="n">
        <v>1180.043</v>
      </c>
      <c r="BI97" t="n">
        <v>1315.492</v>
      </c>
      <c r="BJ97" t="n">
        <v>1273.095</v>
      </c>
      <c r="BK97" t="n">
        <v>1468.237</v>
      </c>
      <c r="BL97" t="n">
        <v>3204.489</v>
      </c>
      <c r="BM97" t="n">
        <v>3022.119</v>
      </c>
      <c r="BN97" t="n">
        <v>2936.465</v>
      </c>
      <c r="BO97" t="n">
        <v>3290.47</v>
      </c>
      <c r="BP97" t="n">
        <v>3413.686</v>
      </c>
      <c r="BQ97" t="n">
        <v>3128.08</v>
      </c>
      <c r="BR97" t="n">
        <v>3221.395</v>
      </c>
      <c r="BS97" t="n">
        <v>3335.464</v>
      </c>
      <c r="BT97" t="n">
        <v>3092.443</v>
      </c>
      <c r="BU97" t="n">
        <v>2934.895</v>
      </c>
      <c r="BV97" t="n">
        <v>2750.313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178.837</v>
      </c>
      <c r="F98" t="n">
        <v>176.416</v>
      </c>
      <c r="G98" t="n">
        <v>176.579</v>
      </c>
      <c r="H98" t="n">
        <v>171.365</v>
      </c>
      <c r="I98" t="n">
        <v>174.65</v>
      </c>
      <c r="J98" t="n">
        <v>186.056</v>
      </c>
      <c r="K98" t="n">
        <v>161.998</v>
      </c>
      <c r="L98" t="n">
        <v>166.957</v>
      </c>
      <c r="M98" t="n">
        <v>188.446</v>
      </c>
      <c r="N98" t="n">
        <v>204.977</v>
      </c>
      <c r="O98" t="n">
        <v>213.242</v>
      </c>
      <c r="P98" t="n">
        <v>219.027</v>
      </c>
      <c r="Q98" t="n">
        <v>246.303</v>
      </c>
      <c r="R98" t="n">
        <v>263.659</v>
      </c>
      <c r="S98" t="n">
        <v>300.853</v>
      </c>
      <c r="T98" t="n">
        <v>733.319</v>
      </c>
      <c r="U98" t="n">
        <v>1099.774</v>
      </c>
      <c r="V98" t="n">
        <v>1560.815</v>
      </c>
      <c r="W98" t="n">
        <v>1982.46</v>
      </c>
      <c r="X98" t="n">
        <v>2063.085</v>
      </c>
      <c r="Y98" t="n">
        <v>5009.526</v>
      </c>
      <c r="Z98" t="n">
        <v>5356.035</v>
      </c>
      <c r="AA98" t="n">
        <v>7198.459</v>
      </c>
      <c r="AB98" t="n">
        <v>8567.421</v>
      </c>
      <c r="AC98" t="n">
        <v>10153.525</v>
      </c>
      <c r="AD98" t="n">
        <v>11037.643</v>
      </c>
      <c r="AE98" t="n">
        <v>90.625</v>
      </c>
      <c r="AF98" t="n">
        <v>81.801</v>
      </c>
      <c r="AG98" t="n">
        <v>116.346</v>
      </c>
      <c r="AH98" t="n">
        <v>132.59</v>
      </c>
      <c r="AI98" t="n">
        <v>132.749</v>
      </c>
      <c r="AJ98" t="n">
        <v>153.503</v>
      </c>
      <c r="AK98" t="n">
        <v>151.381</v>
      </c>
      <c r="AL98" t="n">
        <v>145.792</v>
      </c>
      <c r="AM98" t="n">
        <v>142.844</v>
      </c>
      <c r="AN98" t="n">
        <v>163.03</v>
      </c>
      <c r="AO98" t="n">
        <v>144.507</v>
      </c>
      <c r="AP98" t="n">
        <v>135.273</v>
      </c>
      <c r="AQ98" t="n">
        <v>158.536</v>
      </c>
      <c r="AR98" t="n">
        <v>118.258</v>
      </c>
      <c r="AS98" t="n">
        <v>138.912</v>
      </c>
      <c r="AT98" t="n">
        <v>56.334</v>
      </c>
      <c r="AU98" t="n">
        <v>40.511</v>
      </c>
      <c r="AV98" t="n">
        <v>40.511</v>
      </c>
      <c r="AW98" t="n">
        <v>38.623</v>
      </c>
      <c r="AX98" t="n">
        <v>35.446</v>
      </c>
      <c r="AY98" t="n">
        <v>42.695</v>
      </c>
      <c r="AZ98" t="n">
        <v>45.382</v>
      </c>
      <c r="BA98" t="n">
        <v>31.204</v>
      </c>
      <c r="BB98" t="n">
        <v>25.88</v>
      </c>
      <c r="BC98" t="n">
        <v>23.851</v>
      </c>
      <c r="BD98" t="n">
        <v>20.553</v>
      </c>
      <c r="BE98" t="n">
        <v>11.638</v>
      </c>
      <c r="BF98" t="n">
        <v>6.004</v>
      </c>
      <c r="BG98" t="n">
        <v>8.657999999999999</v>
      </c>
      <c r="BH98" t="n">
        <v>4.894</v>
      </c>
      <c r="BI98" t="n">
        <v>9.037000000000001</v>
      </c>
      <c r="BJ98" t="n">
        <v>18.34</v>
      </c>
      <c r="BK98" t="n">
        <v>2.308</v>
      </c>
      <c r="BL98" t="n">
        <v>0.067</v>
      </c>
      <c r="BM98" t="n">
        <v>7.464</v>
      </c>
      <c r="BN98" t="n">
        <v>4.147</v>
      </c>
      <c r="BO98" t="n">
        <v>7.874</v>
      </c>
      <c r="BP98" t="n">
        <v>6.018</v>
      </c>
      <c r="BQ98" t="n">
        <v>6.648</v>
      </c>
      <c r="BR98" t="n">
        <v>5.197</v>
      </c>
      <c r="BS98" t="n">
        <v>5.815</v>
      </c>
      <c r="BT98" t="n">
        <v>3.961</v>
      </c>
      <c r="BU98" t="n">
        <v>6.838</v>
      </c>
      <c r="BV98" t="n">
        <v>7.6</v>
      </c>
    </row>
    <row r="99">
      <c r="A99" t="inlineStr">
        <is>
          <t>Pristipomoides</t>
        </is>
      </c>
      <c r="B99" t="inlineStr">
        <is>
          <t>Jobfishes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71.045</v>
      </c>
      <c r="F99" t="n">
        <v>68.676</v>
      </c>
      <c r="G99" t="n">
        <v>62.361</v>
      </c>
      <c r="H99" t="n">
        <v>59.204</v>
      </c>
      <c r="I99" t="n">
        <v>59.204</v>
      </c>
      <c r="J99" t="n">
        <v>63.94</v>
      </c>
      <c r="K99" t="n">
        <v>65.51900000000001</v>
      </c>
      <c r="L99" t="n">
        <v>67.098</v>
      </c>
      <c r="M99" t="n">
        <v>75.78100000000001</v>
      </c>
      <c r="N99" t="n">
        <v>81.307</v>
      </c>
      <c r="O99" t="n">
        <v>86.04300000000001</v>
      </c>
      <c r="P99" t="n">
        <v>87.622</v>
      </c>
      <c r="Q99" t="n">
        <v>99.46299999999999</v>
      </c>
      <c r="R99" t="n">
        <v>105.778</v>
      </c>
      <c r="S99" t="n">
        <v>120.776</v>
      </c>
      <c r="T99" t="n">
        <v>105.778</v>
      </c>
      <c r="U99" t="n">
        <v>104.199</v>
      </c>
      <c r="V99" t="n">
        <v>106.567</v>
      </c>
      <c r="W99" t="n">
        <v>104.199</v>
      </c>
      <c r="X99" t="n">
        <v>91.569</v>
      </c>
      <c r="Y99" t="n">
        <v>91.569</v>
      </c>
      <c r="Z99" t="n">
        <v>89.98999999999999</v>
      </c>
      <c r="AA99" t="n">
        <v>84.464</v>
      </c>
      <c r="AB99" t="n">
        <v>84.464</v>
      </c>
      <c r="AC99" t="n">
        <v>82.88500000000001</v>
      </c>
      <c r="AD99" t="n">
        <v>71.35899999999999</v>
      </c>
      <c r="AE99" t="n">
        <v>597.907</v>
      </c>
      <c r="AF99" t="n">
        <v>699.42</v>
      </c>
      <c r="AG99" t="n">
        <v>847.17</v>
      </c>
      <c r="AH99" t="n">
        <v>746.1079999999999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241.846</v>
      </c>
      <c r="AO99" t="n">
        <v>188.232</v>
      </c>
      <c r="AP99" t="n">
        <v>195.76</v>
      </c>
      <c r="AQ99" t="n">
        <v>217.051</v>
      </c>
      <c r="AR99" t="n">
        <v>211.505</v>
      </c>
      <c r="AS99" t="n">
        <v>1642.684</v>
      </c>
      <c r="AT99" t="n">
        <v>1748.324</v>
      </c>
      <c r="AU99" t="n">
        <v>1772.583</v>
      </c>
      <c r="AV99" t="n">
        <v>1858.989</v>
      </c>
      <c r="AW99" t="n">
        <v>1716.475</v>
      </c>
      <c r="AX99" t="n">
        <v>1006.937</v>
      </c>
      <c r="AY99" t="n">
        <v>1046.206</v>
      </c>
      <c r="AZ99" t="n">
        <v>1147.758</v>
      </c>
      <c r="BA99" t="n">
        <v>1091.816</v>
      </c>
      <c r="BB99" t="n">
        <v>1307.571</v>
      </c>
      <c r="BC99" t="n">
        <v>2389.298</v>
      </c>
      <c r="BD99" t="n">
        <v>2347.071</v>
      </c>
      <c r="BE99" t="n">
        <v>2258.32</v>
      </c>
      <c r="BF99" t="n">
        <v>2252.861</v>
      </c>
      <c r="BG99" t="n">
        <v>2237.967</v>
      </c>
      <c r="BH99" t="n">
        <v>331.542</v>
      </c>
      <c r="BI99" t="n">
        <v>363.117</v>
      </c>
      <c r="BJ99" t="n">
        <v>349.698</v>
      </c>
      <c r="BK99" t="n">
        <v>410.48</v>
      </c>
      <c r="BL99" t="n">
        <v>2237.947</v>
      </c>
      <c r="BM99" t="n">
        <v>2245.506</v>
      </c>
      <c r="BN99" t="n">
        <v>2183.862</v>
      </c>
      <c r="BO99" t="n">
        <v>2412.423</v>
      </c>
      <c r="BP99" t="n">
        <v>2508.685</v>
      </c>
      <c r="BQ99" t="n">
        <v>2299.315</v>
      </c>
      <c r="BR99" t="n">
        <v>2367.59</v>
      </c>
      <c r="BS99" t="n">
        <v>2452.399</v>
      </c>
      <c r="BT99" t="n">
        <v>2274.462</v>
      </c>
      <c r="BU99" t="n">
        <v>2145.285</v>
      </c>
      <c r="BV99" t="n">
        <v>2010.754</v>
      </c>
    </row>
    <row r="100">
      <c r="A100" t="inlineStr">
        <is>
          <t>Lutjanus quinquelineatus</t>
        </is>
      </c>
      <c r="B100" t="inlineStr">
        <is>
          <t>Five-lined snapper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1.353</v>
      </c>
      <c r="U100" t="n">
        <v>1.353</v>
      </c>
      <c r="V100" t="n">
        <v>2.705</v>
      </c>
      <c r="W100" t="n">
        <v>2.705</v>
      </c>
      <c r="X100" t="n">
        <v>2.705</v>
      </c>
      <c r="Y100" t="n">
        <v>8.792</v>
      </c>
      <c r="Z100" t="n">
        <v>9.468</v>
      </c>
      <c r="AA100" t="n">
        <v>13.526</v>
      </c>
      <c r="AB100" t="n">
        <v>15.555</v>
      </c>
      <c r="AC100" t="n">
        <v>20.289</v>
      </c>
      <c r="AD100" t="n">
        <v>22.994</v>
      </c>
      <c r="AE100" t="n">
        <v>60.191</v>
      </c>
      <c r="AF100" t="n">
        <v>73.76000000000001</v>
      </c>
      <c r="AG100" t="n">
        <v>83.185</v>
      </c>
      <c r="AH100" t="n">
        <v>85.89</v>
      </c>
      <c r="AI100" t="n">
        <v>488.967</v>
      </c>
      <c r="AJ100" t="n">
        <v>552.539</v>
      </c>
      <c r="AK100" t="n">
        <v>555.244</v>
      </c>
      <c r="AL100" t="n">
        <v>516.6950000000001</v>
      </c>
      <c r="AM100" t="n">
        <v>390.227</v>
      </c>
      <c r="AN100" t="n">
        <v>127.145</v>
      </c>
      <c r="AO100" t="n">
        <v>89.94799999999999</v>
      </c>
      <c r="AP100" t="n">
        <v>104.827</v>
      </c>
      <c r="AQ100" t="n">
        <v>142.024</v>
      </c>
      <c r="AR100" t="n">
        <v>143.376</v>
      </c>
      <c r="AS100" t="n">
        <v>1258.599</v>
      </c>
      <c r="AT100" t="n">
        <v>1332.993</v>
      </c>
      <c r="AU100" t="n">
        <v>1348.547</v>
      </c>
      <c r="AV100" t="n">
        <v>1414.149</v>
      </c>
      <c r="AW100" t="n">
        <v>1299.854</v>
      </c>
      <c r="AX100" t="n">
        <v>1531.149</v>
      </c>
      <c r="AY100" t="n">
        <v>1589.988</v>
      </c>
      <c r="AZ100" t="n">
        <v>1673.173</v>
      </c>
      <c r="BA100" t="n">
        <v>1693.462</v>
      </c>
      <c r="BB100" t="n">
        <v>1984.272</v>
      </c>
      <c r="BC100" t="n">
        <v>1231.547</v>
      </c>
      <c r="BD100" t="n">
        <v>1190.293</v>
      </c>
      <c r="BE100" t="n">
        <v>1188.264</v>
      </c>
      <c r="BF100" t="n">
        <v>1151.743</v>
      </c>
      <c r="BG100" t="n">
        <v>1144.98</v>
      </c>
      <c r="BH100" t="n">
        <v>1770.56</v>
      </c>
      <c r="BI100" t="n">
        <v>2166.197</v>
      </c>
      <c r="BJ100" t="n">
        <v>2049.197</v>
      </c>
      <c r="BK100" t="n">
        <v>2297.4</v>
      </c>
      <c r="BL100" t="n">
        <v>1980.89</v>
      </c>
      <c r="BM100" t="n">
        <v>2086.394</v>
      </c>
      <c r="BN100" t="n">
        <v>2029.318</v>
      </c>
      <c r="BO100" t="n">
        <v>2284.202</v>
      </c>
      <c r="BP100" t="n">
        <v>2375.225</v>
      </c>
      <c r="BQ100" t="n">
        <v>2177.047</v>
      </c>
      <c r="BR100" t="n">
        <v>2241.66</v>
      </c>
      <c r="BS100" t="n">
        <v>2322.058</v>
      </c>
      <c r="BT100" t="n">
        <v>2153.654</v>
      </c>
      <c r="BU100" t="n">
        <v>2029.94</v>
      </c>
      <c r="BV100" t="n">
        <v>1902.683</v>
      </c>
    </row>
    <row r="101">
      <c r="A101" t="inlineStr">
        <is>
          <t>Siganus</t>
        </is>
      </c>
      <c r="B101" t="inlineStr">
        <is>
          <t>Spinefoots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22.656</v>
      </c>
      <c r="F101" t="n">
        <v>21.039</v>
      </c>
      <c r="G101" t="n">
        <v>19.422</v>
      </c>
      <c r="H101" t="n">
        <v>19.423</v>
      </c>
      <c r="I101" t="n">
        <v>18.614</v>
      </c>
      <c r="J101" t="n">
        <v>20.232</v>
      </c>
      <c r="K101" t="n">
        <v>20.232</v>
      </c>
      <c r="L101" t="n">
        <v>21.041</v>
      </c>
      <c r="M101" t="n">
        <v>23.468</v>
      </c>
      <c r="N101" t="n">
        <v>25.894</v>
      </c>
      <c r="O101" t="n">
        <v>26.703</v>
      </c>
      <c r="P101" t="n">
        <v>27.515</v>
      </c>
      <c r="Q101" t="n">
        <v>30.751</v>
      </c>
      <c r="R101" t="n">
        <v>33.178</v>
      </c>
      <c r="S101" t="n">
        <v>38.032</v>
      </c>
      <c r="T101" t="n">
        <v>44.664</v>
      </c>
      <c r="U101" t="n">
        <v>52.469</v>
      </c>
      <c r="V101" t="n">
        <v>65.477</v>
      </c>
      <c r="W101" t="n">
        <v>75.435</v>
      </c>
      <c r="X101" t="n">
        <v>75.072</v>
      </c>
      <c r="Y101" t="n">
        <v>118.764</v>
      </c>
      <c r="Z101" t="n">
        <v>145.32</v>
      </c>
      <c r="AA101" t="n">
        <v>189.633</v>
      </c>
      <c r="AB101" t="n">
        <v>239.153</v>
      </c>
      <c r="AC101" t="n">
        <v>325.187</v>
      </c>
      <c r="AD101" t="n">
        <v>337.02</v>
      </c>
      <c r="AE101" t="n">
        <v>176.077</v>
      </c>
      <c r="AF101" t="n">
        <v>238.769</v>
      </c>
      <c r="AG101" t="n">
        <v>247.691</v>
      </c>
      <c r="AH101" t="n">
        <v>247.865</v>
      </c>
      <c r="AI101" t="n">
        <v>1355.261</v>
      </c>
      <c r="AJ101" t="n">
        <v>1704.927</v>
      </c>
      <c r="AK101" t="n">
        <v>1383.94</v>
      </c>
      <c r="AL101" t="n">
        <v>1399.132</v>
      </c>
      <c r="AM101" t="n">
        <v>1127.567</v>
      </c>
      <c r="AN101" t="n">
        <v>664.284</v>
      </c>
      <c r="AO101" t="n">
        <v>574.274</v>
      </c>
      <c r="AP101" t="n">
        <v>841.405</v>
      </c>
      <c r="AQ101" t="n">
        <v>801.247</v>
      </c>
      <c r="AR101" t="n">
        <v>953.991</v>
      </c>
      <c r="AS101" t="n">
        <v>1649.161</v>
      </c>
      <c r="AT101" t="n">
        <v>1643.762</v>
      </c>
      <c r="AU101" t="n">
        <v>1555.692</v>
      </c>
      <c r="AV101" t="n">
        <v>1702.491</v>
      </c>
      <c r="AW101" t="n">
        <v>1704.357</v>
      </c>
      <c r="AX101" t="n">
        <v>1027.529</v>
      </c>
      <c r="AY101" t="n">
        <v>970.216</v>
      </c>
      <c r="AZ101" t="n">
        <v>973.977</v>
      </c>
      <c r="BA101" t="n">
        <v>1040.172</v>
      </c>
      <c r="BB101" t="n">
        <v>1211.264</v>
      </c>
      <c r="BC101" t="n">
        <v>1498.166</v>
      </c>
      <c r="BD101" t="n">
        <v>1556.346</v>
      </c>
      <c r="BE101" t="n">
        <v>1546.553</v>
      </c>
      <c r="BF101" t="n">
        <v>1545.772</v>
      </c>
      <c r="BG101" t="n">
        <v>1428.126</v>
      </c>
      <c r="BH101" t="n">
        <v>1004.999</v>
      </c>
      <c r="BI101" t="n">
        <v>944.496</v>
      </c>
      <c r="BJ101" t="n">
        <v>955.159</v>
      </c>
      <c r="BK101" t="n">
        <v>876.0890000000001</v>
      </c>
      <c r="BL101" t="n">
        <v>1474.158</v>
      </c>
      <c r="BM101" t="n">
        <v>1514.81</v>
      </c>
      <c r="BN101" t="n">
        <v>1474.604</v>
      </c>
      <c r="BO101" t="n">
        <v>1659.931</v>
      </c>
      <c r="BP101" t="n">
        <v>1726.321</v>
      </c>
      <c r="BQ101" t="n">
        <v>1582.614</v>
      </c>
      <c r="BR101" t="n">
        <v>1629.39</v>
      </c>
      <c r="BS101" t="n">
        <v>1688.432</v>
      </c>
      <c r="BT101" t="n">
        <v>1566.443</v>
      </c>
      <c r="BU101" t="n">
        <v>1479.971</v>
      </c>
      <c r="BV101" t="n">
        <v>1504.059</v>
      </c>
    </row>
    <row r="102">
      <c r="A102" t="inlineStr">
        <is>
          <t>Nemipterus japonicus</t>
        </is>
      </c>
      <c r="B102" t="inlineStr">
        <is>
          <t>Japanese threadfin bream</t>
        </is>
      </c>
      <c r="C102" t="inlineStr">
        <is>
          <t>Small demersals (&lt;30 cm)</t>
        </is>
      </c>
      <c r="D102" t="inlineStr">
        <is>
          <t>Perch-likes</t>
        </is>
      </c>
      <c r="E102" t="n">
        <v>121.44</v>
      </c>
      <c r="F102" t="n">
        <v>121.44</v>
      </c>
      <c r="G102" t="n">
        <v>160.78</v>
      </c>
      <c r="H102" t="n">
        <v>141.966</v>
      </c>
      <c r="I102" t="n">
        <v>121.44</v>
      </c>
      <c r="J102" t="n">
        <v>121.44</v>
      </c>
      <c r="K102" t="n">
        <v>121.44</v>
      </c>
      <c r="L102" t="n">
        <v>116.309</v>
      </c>
      <c r="M102" t="n">
        <v>124.861</v>
      </c>
      <c r="N102" t="n">
        <v>121.44</v>
      </c>
      <c r="O102" t="n">
        <v>163.346</v>
      </c>
      <c r="P102" t="n">
        <v>202.686</v>
      </c>
      <c r="Q102" t="n">
        <v>208.672</v>
      </c>
      <c r="R102" t="n">
        <v>324.981</v>
      </c>
      <c r="S102" t="n">
        <v>301.891</v>
      </c>
      <c r="T102" t="n">
        <v>364.023</v>
      </c>
      <c r="U102" t="n">
        <v>417.642</v>
      </c>
      <c r="V102" t="n">
        <v>390.937</v>
      </c>
      <c r="W102" t="n">
        <v>416.294</v>
      </c>
      <c r="X102" t="n">
        <v>355.817</v>
      </c>
      <c r="Y102" t="n">
        <v>464.304</v>
      </c>
      <c r="Z102" t="n">
        <v>535.408</v>
      </c>
      <c r="AA102" t="n">
        <v>532.343</v>
      </c>
      <c r="AB102" t="n">
        <v>427.845</v>
      </c>
      <c r="AC102" t="n">
        <v>548.587</v>
      </c>
      <c r="AD102" t="n">
        <v>488.818</v>
      </c>
      <c r="AE102" t="n">
        <v>448.162</v>
      </c>
      <c r="AF102" t="n">
        <v>586.923</v>
      </c>
      <c r="AG102" t="n">
        <v>607.458</v>
      </c>
      <c r="AH102" t="n">
        <v>552.647</v>
      </c>
      <c r="AI102" t="n">
        <v>417.89</v>
      </c>
      <c r="AJ102" t="n">
        <v>613.745</v>
      </c>
      <c r="AK102" t="n">
        <v>405.872</v>
      </c>
      <c r="AL102" t="n">
        <v>450.192</v>
      </c>
      <c r="AM102" t="n">
        <v>353.724</v>
      </c>
      <c r="AN102" t="n">
        <v>402.025</v>
      </c>
      <c r="AO102" t="n">
        <v>380.654</v>
      </c>
      <c r="AP102" t="n">
        <v>915.595</v>
      </c>
      <c r="AQ102" t="n">
        <v>847.397</v>
      </c>
      <c r="AR102" t="n">
        <v>1206.812</v>
      </c>
      <c r="AS102" t="n">
        <v>1522.065</v>
      </c>
      <c r="AT102" t="n">
        <v>1357.861</v>
      </c>
      <c r="AU102" t="n">
        <v>1164.984</v>
      </c>
      <c r="AV102" t="n">
        <v>1294.628</v>
      </c>
      <c r="AW102" t="n">
        <v>1420.091</v>
      </c>
      <c r="AX102" t="n">
        <v>1302.94</v>
      </c>
      <c r="AY102" t="n">
        <v>1155.033</v>
      </c>
      <c r="AZ102" t="n">
        <v>1064.719</v>
      </c>
      <c r="BA102" t="n">
        <v>1244.188</v>
      </c>
      <c r="BB102" t="n">
        <v>1376.714</v>
      </c>
      <c r="BC102" t="n">
        <v>1452.636</v>
      </c>
      <c r="BD102" t="n">
        <v>1529.019</v>
      </c>
      <c r="BE102" t="n">
        <v>1572.958</v>
      </c>
      <c r="BF102" t="n">
        <v>1506.249</v>
      </c>
      <c r="BG102" t="n">
        <v>1326.319</v>
      </c>
      <c r="BH102" t="n">
        <v>1463.974</v>
      </c>
      <c r="BI102" t="n">
        <v>1331.643</v>
      </c>
      <c r="BJ102" t="n">
        <v>1357.515</v>
      </c>
      <c r="BK102" t="n">
        <v>1190.491</v>
      </c>
      <c r="BL102" t="n">
        <v>1105.337</v>
      </c>
      <c r="BM102" t="n">
        <v>1197.758</v>
      </c>
      <c r="BN102" t="n">
        <v>1172.821</v>
      </c>
      <c r="BO102" t="n">
        <v>1318.589</v>
      </c>
      <c r="BP102" t="n">
        <v>1370.38</v>
      </c>
      <c r="BQ102" t="n">
        <v>1260.008</v>
      </c>
      <c r="BR102" t="n">
        <v>1296.227</v>
      </c>
      <c r="BS102" t="n">
        <v>1344.153</v>
      </c>
      <c r="BT102" t="n">
        <v>1249.575</v>
      </c>
      <c r="BU102" t="n">
        <v>1184.141</v>
      </c>
      <c r="BV102" t="n">
        <v>1109.712</v>
      </c>
    </row>
    <row r="103">
      <c r="A103" t="inlineStr">
        <is>
          <t>Mugil</t>
        </is>
      </c>
      <c r="B103" t="inlineStr">
        <is>
          <t>Grey mullets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733.125</v>
      </c>
      <c r="F103" t="n">
        <v>701.323</v>
      </c>
      <c r="G103" t="n">
        <v>644.413</v>
      </c>
      <c r="H103" t="n">
        <v>605.9160000000001</v>
      </c>
      <c r="I103" t="n">
        <v>612.611</v>
      </c>
      <c r="J103" t="n">
        <v>657.804</v>
      </c>
      <c r="K103" t="n">
        <v>664.499</v>
      </c>
      <c r="L103" t="n">
        <v>685.421</v>
      </c>
      <c r="M103" t="n">
        <v>777.48</v>
      </c>
      <c r="N103" t="n">
        <v>841.085</v>
      </c>
      <c r="O103" t="n">
        <v>881.256</v>
      </c>
      <c r="P103" t="n">
        <v>903.015</v>
      </c>
      <c r="Q103" t="n">
        <v>1010.976</v>
      </c>
      <c r="R103" t="n">
        <v>1083.786</v>
      </c>
      <c r="S103" t="n">
        <v>1234.428</v>
      </c>
      <c r="T103" t="n">
        <v>1086.669</v>
      </c>
      <c r="U103" t="n">
        <v>1090.492</v>
      </c>
      <c r="V103" t="n">
        <v>1121.83</v>
      </c>
      <c r="W103" t="n">
        <v>1123.091</v>
      </c>
      <c r="X103" t="n">
        <v>1000.801</v>
      </c>
      <c r="Y103" t="n">
        <v>1086.545</v>
      </c>
      <c r="Z103" t="n">
        <v>1079.488</v>
      </c>
      <c r="AA103" t="n">
        <v>1092.23</v>
      </c>
      <c r="AB103" t="n">
        <v>1143.484</v>
      </c>
      <c r="AC103" t="n">
        <v>1196.604</v>
      </c>
      <c r="AD103" t="n">
        <v>1129.649</v>
      </c>
      <c r="AE103" t="n">
        <v>1640.675</v>
      </c>
      <c r="AF103" t="n">
        <v>1953.468</v>
      </c>
      <c r="AG103" t="n">
        <v>2313.117</v>
      </c>
      <c r="AH103" t="n">
        <v>2150.77</v>
      </c>
      <c r="AI103" t="n">
        <v>586.667</v>
      </c>
      <c r="AJ103" t="n">
        <v>812.63</v>
      </c>
      <c r="AK103" t="n">
        <v>507.162</v>
      </c>
      <c r="AL103" t="n">
        <v>586.667</v>
      </c>
      <c r="AM103" t="n">
        <v>520.552</v>
      </c>
      <c r="AN103" t="n">
        <v>3327.594</v>
      </c>
      <c r="AO103" t="n">
        <v>2564.812</v>
      </c>
      <c r="AP103" t="n">
        <v>2694.145</v>
      </c>
      <c r="AQ103" t="n">
        <v>3002.904</v>
      </c>
      <c r="AR103" t="n">
        <v>2939.881</v>
      </c>
      <c r="AS103" t="n">
        <v>59.824</v>
      </c>
      <c r="AT103" t="n">
        <v>67.357</v>
      </c>
      <c r="AU103" t="n">
        <v>69.03</v>
      </c>
      <c r="AV103" t="n">
        <v>73.071</v>
      </c>
      <c r="AW103" t="n">
        <v>70.70399999999999</v>
      </c>
      <c r="AX103" t="n">
        <v>89.52</v>
      </c>
      <c r="AY103" t="n">
        <v>92.86799999999999</v>
      </c>
      <c r="AZ103" t="n">
        <v>116.301</v>
      </c>
      <c r="BA103" t="n">
        <v>87.84699999999999</v>
      </c>
      <c r="BB103" t="n">
        <v>116.013</v>
      </c>
      <c r="BC103" t="n">
        <v>191.334</v>
      </c>
      <c r="BD103" t="n">
        <v>200.54</v>
      </c>
      <c r="BE103" t="n">
        <v>167.064</v>
      </c>
      <c r="BF103" t="n">
        <v>186.457</v>
      </c>
      <c r="BG103" t="n">
        <v>184.783</v>
      </c>
      <c r="BH103" t="n">
        <v>159.509</v>
      </c>
      <c r="BI103" t="n">
        <v>194.148</v>
      </c>
      <c r="BJ103" t="n">
        <v>184.449</v>
      </c>
      <c r="BK103" t="n">
        <v>206.069</v>
      </c>
      <c r="BL103" t="n">
        <v>173.992</v>
      </c>
      <c r="BM103" t="n">
        <v>163.805</v>
      </c>
      <c r="BN103" t="n">
        <v>159.156</v>
      </c>
      <c r="BO103" t="n">
        <v>179.13</v>
      </c>
      <c r="BP103" t="n">
        <v>186.235</v>
      </c>
      <c r="BQ103" t="n">
        <v>170.651</v>
      </c>
      <c r="BR103" t="n">
        <v>175.743</v>
      </c>
      <c r="BS103" t="n">
        <v>181.963</v>
      </c>
      <c r="BT103" t="n">
        <v>168.704</v>
      </c>
      <c r="BU103" t="n">
        <v>162.101</v>
      </c>
      <c r="BV103" t="n">
        <v>151.906</v>
      </c>
    </row>
    <row r="104">
      <c r="A104" t="inlineStr">
        <is>
          <t>Ilisha elongata</t>
        </is>
      </c>
      <c r="B104" t="inlineStr">
        <is>
          <t>Elongate ilisha</t>
        </is>
      </c>
      <c r="C104" t="inlineStr">
        <is>
          <t>Medium pelagics (30 - 89 cm)</t>
        </is>
      </c>
      <c r="D104" t="inlineStr">
        <is>
          <t>Herring-likes</t>
        </is>
      </c>
      <c r="E104" t="n">
        <v>111.386</v>
      </c>
      <c r="F104" t="n">
        <v>111.386</v>
      </c>
      <c r="G104" t="n">
        <v>146.994</v>
      </c>
      <c r="H104" t="n">
        <v>129.646</v>
      </c>
      <c r="I104" t="n">
        <v>111.386</v>
      </c>
      <c r="J104" t="n">
        <v>111.386</v>
      </c>
      <c r="K104" t="n">
        <v>111.386</v>
      </c>
      <c r="L104" t="n">
        <v>106.821</v>
      </c>
      <c r="M104" t="n">
        <v>115.038</v>
      </c>
      <c r="N104" t="n">
        <v>111.386</v>
      </c>
      <c r="O104" t="n">
        <v>149.733</v>
      </c>
      <c r="P104" t="n">
        <v>185.34</v>
      </c>
      <c r="Q104" t="n">
        <v>190.818</v>
      </c>
      <c r="R104" t="n">
        <v>297.639</v>
      </c>
      <c r="S104" t="n">
        <v>276.64</v>
      </c>
      <c r="T104" t="n">
        <v>325.554</v>
      </c>
      <c r="U104" t="n">
        <v>371.591</v>
      </c>
      <c r="V104" t="n">
        <v>345.934</v>
      </c>
      <c r="W104" t="n">
        <v>365.11</v>
      </c>
      <c r="X104" t="n">
        <v>308.921</v>
      </c>
      <c r="Y104" t="n">
        <v>400.599</v>
      </c>
      <c r="Z104" t="n">
        <v>455.916</v>
      </c>
      <c r="AA104" t="n">
        <v>451.359</v>
      </c>
      <c r="AB104" t="n">
        <v>356.313</v>
      </c>
      <c r="AC104" t="n">
        <v>449.071</v>
      </c>
      <c r="AD104" t="n">
        <v>395.443</v>
      </c>
      <c r="AE104" t="n">
        <v>362.619</v>
      </c>
      <c r="AF104" t="n">
        <v>474.278</v>
      </c>
      <c r="AG104" t="n">
        <v>491.752</v>
      </c>
      <c r="AH104" t="n">
        <v>442.114</v>
      </c>
      <c r="AI104" t="n">
        <v>337.167</v>
      </c>
      <c r="AJ104" t="n">
        <v>495.427</v>
      </c>
      <c r="AK104" t="n">
        <v>327.109</v>
      </c>
      <c r="AL104" t="n">
        <v>363.031</v>
      </c>
      <c r="AM104" t="n">
        <v>282.431</v>
      </c>
      <c r="AN104" t="n">
        <v>322.898</v>
      </c>
      <c r="AO104" t="n">
        <v>302.746</v>
      </c>
      <c r="AP104" t="n">
        <v>716.629</v>
      </c>
      <c r="AQ104" t="n">
        <v>663.869</v>
      </c>
      <c r="AR104" t="n">
        <v>949.079</v>
      </c>
      <c r="AS104" t="n">
        <v>1173</v>
      </c>
      <c r="AT104" t="n">
        <v>1047.807</v>
      </c>
      <c r="AU104" t="n">
        <v>901.397</v>
      </c>
      <c r="AV104" t="n">
        <v>996.323</v>
      </c>
      <c r="AW104" t="n">
        <v>1096.084</v>
      </c>
      <c r="AX104" t="n">
        <v>1008.043</v>
      </c>
      <c r="AY104" t="n">
        <v>894.085</v>
      </c>
      <c r="AZ104" t="n">
        <v>824.123</v>
      </c>
      <c r="BA104" t="n">
        <v>954.583</v>
      </c>
      <c r="BB104" t="n">
        <v>1054.25</v>
      </c>
      <c r="BC104" t="n">
        <v>1116.61</v>
      </c>
      <c r="BD104" t="n">
        <v>1176.766</v>
      </c>
      <c r="BE104" t="n">
        <v>1244.787</v>
      </c>
      <c r="BF104" t="n">
        <v>1195.742</v>
      </c>
      <c r="BG104" t="n">
        <v>1054.323</v>
      </c>
      <c r="BH104" t="n">
        <v>2201.802</v>
      </c>
      <c r="BI104" t="n">
        <v>2325.2</v>
      </c>
      <c r="BJ104" t="n">
        <v>2277.531</v>
      </c>
      <c r="BK104" t="n">
        <v>2296.851</v>
      </c>
      <c r="BL104" t="n">
        <v>1338.313</v>
      </c>
      <c r="BM104" t="n">
        <v>1434.882</v>
      </c>
      <c r="BN104" t="n">
        <v>1402.152</v>
      </c>
      <c r="BO104" t="n">
        <v>1576.917</v>
      </c>
      <c r="BP104" t="n">
        <v>1639.055</v>
      </c>
      <c r="BQ104" t="n">
        <v>1505.631</v>
      </c>
      <c r="BR104" t="n">
        <v>1549.35</v>
      </c>
      <c r="BS104" t="n">
        <v>1606.016</v>
      </c>
      <c r="BT104" t="n">
        <v>1491.933</v>
      </c>
      <c r="BU104" t="n">
        <v>1414.035</v>
      </c>
      <c r="BV104" t="n">
        <v>1325.166</v>
      </c>
    </row>
    <row r="105">
      <c r="A105" t="inlineStr">
        <is>
          <t>Carangoides</t>
        </is>
      </c>
      <c r="B105" t="inlineStr">
        <is>
          <t>Trevallies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53.018</v>
      </c>
      <c r="F105" t="n">
        <v>50.533</v>
      </c>
      <c r="G105" t="n">
        <v>47.219</v>
      </c>
      <c r="H105" t="n">
        <v>43.077</v>
      </c>
      <c r="I105" t="n">
        <v>43.906</v>
      </c>
      <c r="J105" t="n">
        <v>47.219</v>
      </c>
      <c r="K105" t="n">
        <v>47.219</v>
      </c>
      <c r="L105" t="n">
        <v>48.876</v>
      </c>
      <c r="M105" t="n">
        <v>55.503</v>
      </c>
      <c r="N105" t="n">
        <v>61.302</v>
      </c>
      <c r="O105" t="n">
        <v>62.959</v>
      </c>
      <c r="P105" t="n">
        <v>65.444</v>
      </c>
      <c r="Q105" t="n">
        <v>72.90000000000001</v>
      </c>
      <c r="R105" t="n">
        <v>77.87</v>
      </c>
      <c r="S105" t="n">
        <v>88.64</v>
      </c>
      <c r="T105" t="n">
        <v>80.248</v>
      </c>
      <c r="U105" t="n">
        <v>81.852</v>
      </c>
      <c r="V105" t="n">
        <v>85.886</v>
      </c>
      <c r="W105" t="n">
        <v>85.833</v>
      </c>
      <c r="X105" t="n">
        <v>77.54900000000001</v>
      </c>
      <c r="Y105" t="n">
        <v>94.35599999999999</v>
      </c>
      <c r="Z105" t="n">
        <v>95.131</v>
      </c>
      <c r="AA105" t="n">
        <v>102.184</v>
      </c>
      <c r="AB105" t="n">
        <v>111.002</v>
      </c>
      <c r="AC105" t="n">
        <v>123.026</v>
      </c>
      <c r="AD105" t="n">
        <v>124.361</v>
      </c>
      <c r="AE105" t="n">
        <v>589.401</v>
      </c>
      <c r="AF105" t="n">
        <v>723.029</v>
      </c>
      <c r="AG105" t="n">
        <v>823.446</v>
      </c>
      <c r="AH105" t="n">
        <v>837.527</v>
      </c>
      <c r="AI105" t="n">
        <v>2828.155</v>
      </c>
      <c r="AJ105" t="n">
        <v>3439.365</v>
      </c>
      <c r="AK105" t="n">
        <v>2762.768</v>
      </c>
      <c r="AL105" t="n">
        <v>2828.021</v>
      </c>
      <c r="AM105" t="n">
        <v>2311.22</v>
      </c>
      <c r="AN105" t="n">
        <v>1165.853</v>
      </c>
      <c r="AO105" t="n">
        <v>885.383</v>
      </c>
      <c r="AP105" t="n">
        <v>945.921</v>
      </c>
      <c r="AQ105" t="n">
        <v>1104.258</v>
      </c>
      <c r="AR105" t="n">
        <v>1089.415</v>
      </c>
      <c r="AS105" t="n">
        <v>789.3099999999999</v>
      </c>
      <c r="AT105" t="n">
        <v>757.8630000000001</v>
      </c>
      <c r="AU105" t="n">
        <v>805.602</v>
      </c>
      <c r="AV105" t="n">
        <v>840.442</v>
      </c>
      <c r="AW105" t="n">
        <v>819.913</v>
      </c>
      <c r="AX105" t="n">
        <v>724.3150000000001</v>
      </c>
      <c r="AY105" t="n">
        <v>760.818</v>
      </c>
      <c r="AZ105" t="n">
        <v>861.327</v>
      </c>
      <c r="BA105" t="n">
        <v>765.14</v>
      </c>
      <c r="BB105" t="n">
        <v>923.002</v>
      </c>
      <c r="BC105" t="n">
        <v>1129.858</v>
      </c>
      <c r="BD105" t="n">
        <v>1147.686</v>
      </c>
      <c r="BE105" t="n">
        <v>1018.743</v>
      </c>
      <c r="BF105" t="n">
        <v>1060.97</v>
      </c>
      <c r="BG105" t="n">
        <v>1051.267</v>
      </c>
      <c r="BH105" t="n">
        <v>290.443</v>
      </c>
      <c r="BI105" t="n">
        <v>331.404</v>
      </c>
      <c r="BJ105" t="n">
        <v>331.261</v>
      </c>
      <c r="BK105" t="n">
        <v>354.848</v>
      </c>
      <c r="BL105" t="n">
        <v>979.524</v>
      </c>
      <c r="BM105" t="n">
        <v>954.625</v>
      </c>
      <c r="BN105" t="n">
        <v>927.864</v>
      </c>
      <c r="BO105" t="n">
        <v>1044.343</v>
      </c>
      <c r="BP105" t="n">
        <v>1085.832</v>
      </c>
      <c r="BQ105" t="n">
        <v>995.064</v>
      </c>
      <c r="BR105" t="n">
        <v>1024.698</v>
      </c>
      <c r="BS105" t="n">
        <v>1061.133</v>
      </c>
      <c r="BT105" t="n">
        <v>983.934</v>
      </c>
      <c r="BU105" t="n">
        <v>931.7569999999999</v>
      </c>
      <c r="BV105" t="n">
        <v>873.215</v>
      </c>
    </row>
    <row r="106">
      <c r="A106" t="inlineStr">
        <is>
          <t>Tegillarca granosa</t>
        </is>
      </c>
      <c r="B106" t="inlineStr">
        <is>
          <t>Granular ark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0.001</v>
      </c>
      <c r="G106" t="n">
        <v>0.001</v>
      </c>
      <c r="H106" t="n">
        <v>0.001</v>
      </c>
      <c r="I106" t="n">
        <v>0.001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0.001</v>
      </c>
      <c r="Y106" t="n">
        <v>0.001</v>
      </c>
      <c r="Z106" t="n">
        <v>0.001</v>
      </c>
      <c r="AA106" t="n">
        <v>0.001</v>
      </c>
      <c r="AB106" t="n">
        <v>0.001</v>
      </c>
      <c r="AC106" t="n">
        <v>0.002</v>
      </c>
      <c r="AD106" t="n">
        <v>0.005</v>
      </c>
      <c r="AE106" t="n">
        <v>0.8120000000000001</v>
      </c>
      <c r="AF106" t="n">
        <v>1.644</v>
      </c>
      <c r="AG106" t="n">
        <v>2.056</v>
      </c>
      <c r="AH106" t="n">
        <v>2.05</v>
      </c>
      <c r="AI106" t="n">
        <v>3.349</v>
      </c>
      <c r="AJ106" t="n">
        <v>4.183</v>
      </c>
      <c r="AK106" t="n">
        <v>2.515</v>
      </c>
      <c r="AL106" t="n">
        <v>3.355</v>
      </c>
      <c r="AM106" t="n">
        <v>2.531</v>
      </c>
      <c r="AN106" t="n">
        <v>0.027</v>
      </c>
      <c r="AO106" t="n">
        <v>0.022</v>
      </c>
      <c r="AP106" t="n">
        <v>0.023</v>
      </c>
      <c r="AQ106" t="n">
        <v>0.024</v>
      </c>
      <c r="AR106" t="n">
        <v>0.024</v>
      </c>
      <c r="AS106" t="n">
        <v>0.025</v>
      </c>
      <c r="AT106" t="n">
        <v>0.029</v>
      </c>
      <c r="AU106" t="n">
        <v>0.033</v>
      </c>
      <c r="AV106" t="n">
        <v>0.045</v>
      </c>
      <c r="AW106" t="n">
        <v>0.046</v>
      </c>
      <c r="AX106" t="n">
        <v>0.061</v>
      </c>
      <c r="AY106" t="n">
        <v>0.057</v>
      </c>
      <c r="AZ106" t="n">
        <v>0.039</v>
      </c>
      <c r="BA106" t="n">
        <v>469.037</v>
      </c>
      <c r="BB106" t="n">
        <v>1878.32</v>
      </c>
      <c r="BC106" t="n">
        <v>1040.483</v>
      </c>
      <c r="BD106" t="n">
        <v>1298.87</v>
      </c>
      <c r="BE106" t="n">
        <v>1174.347</v>
      </c>
      <c r="BF106" t="n">
        <v>2529.95</v>
      </c>
      <c r="BG106" t="n">
        <v>2603.292</v>
      </c>
      <c r="BH106" t="n">
        <v>2089.063</v>
      </c>
      <c r="BI106" t="n">
        <v>1621.818</v>
      </c>
      <c r="BJ106" t="n">
        <v>1660.116</v>
      </c>
      <c r="BK106" t="n">
        <v>1750.741</v>
      </c>
      <c r="BL106" t="n">
        <v>1879.479</v>
      </c>
      <c r="BM106" t="n">
        <v>1777.925</v>
      </c>
      <c r="BN106" t="n">
        <v>1805.187</v>
      </c>
      <c r="BO106" t="n">
        <v>2365.581</v>
      </c>
      <c r="BP106" t="n">
        <v>1958.545</v>
      </c>
      <c r="BQ106" t="n">
        <v>720.4109999999999</v>
      </c>
      <c r="BR106" t="n">
        <v>605.134</v>
      </c>
      <c r="BS106" t="n">
        <v>857.784</v>
      </c>
      <c r="BT106" t="n">
        <v>363.254</v>
      </c>
      <c r="BU106" t="n">
        <v>180.48</v>
      </c>
      <c r="BV106" t="n">
        <v>18794.745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2209.594</v>
      </c>
      <c r="BI107" t="n">
        <v>2589.08</v>
      </c>
      <c r="BJ107" t="n">
        <v>2454.752</v>
      </c>
      <c r="BK107" t="n">
        <v>2717.881</v>
      </c>
      <c r="BL107" t="n">
        <v>3165.277</v>
      </c>
      <c r="BM107" t="n">
        <v>3163.462</v>
      </c>
      <c r="BN107" t="n">
        <v>3075.482</v>
      </c>
      <c r="BO107" t="n">
        <v>3461.627</v>
      </c>
      <c r="BP107" t="n">
        <v>3599.286</v>
      </c>
      <c r="BQ107" t="n">
        <v>3298.595</v>
      </c>
      <c r="BR107" t="n">
        <v>3396.722</v>
      </c>
      <c r="BS107" t="n">
        <v>3517.841</v>
      </c>
      <c r="BT107" t="n">
        <v>3262.174</v>
      </c>
      <c r="BU107" t="n">
        <v>3084.501</v>
      </c>
      <c r="BV107" t="n">
        <v>2890.843</v>
      </c>
    </row>
    <row r="108">
      <c r="A108" t="inlineStr">
        <is>
          <t>Mierspenaeopsis sculptilis</t>
        </is>
      </c>
      <c r="B108" t="inlineStr">
        <is>
          <t>Rainbow shrimp</t>
        </is>
      </c>
      <c r="C108" t="inlineStr">
        <is>
          <t>Shrimps</t>
        </is>
      </c>
      <c r="D108" t="inlineStr">
        <is>
          <t>Crustaceans</t>
        </is>
      </c>
      <c r="E108" t="n">
        <v>40.369</v>
      </c>
      <c r="F108" t="n">
        <v>43.661</v>
      </c>
      <c r="G108" t="n">
        <v>49.054</v>
      </c>
      <c r="H108" t="n">
        <v>53.49</v>
      </c>
      <c r="I108" t="n">
        <v>58.107</v>
      </c>
      <c r="J108" t="n">
        <v>64.30800000000001</v>
      </c>
      <c r="K108" t="n">
        <v>69.84399999999999</v>
      </c>
      <c r="L108" t="n">
        <v>74.069</v>
      </c>
      <c r="M108" t="n">
        <v>79.98999999999999</v>
      </c>
      <c r="N108" t="n">
        <v>84.467</v>
      </c>
      <c r="O108" t="n">
        <v>128.585</v>
      </c>
      <c r="P108" t="n">
        <v>220.278</v>
      </c>
      <c r="Q108" t="n">
        <v>210.467</v>
      </c>
      <c r="R108" t="n">
        <v>160.305</v>
      </c>
      <c r="S108" t="n">
        <v>168.684</v>
      </c>
      <c r="T108" t="n">
        <v>190.749</v>
      </c>
      <c r="U108" t="n">
        <v>233.446</v>
      </c>
      <c r="V108" t="n">
        <v>255.007</v>
      </c>
      <c r="W108" t="n">
        <v>336.519</v>
      </c>
      <c r="X108" t="n">
        <v>349.068</v>
      </c>
      <c r="Y108" t="n">
        <v>90.235</v>
      </c>
      <c r="Z108" t="n">
        <v>354.032</v>
      </c>
      <c r="AA108" t="n">
        <v>204.665</v>
      </c>
      <c r="AB108" t="n">
        <v>219.65</v>
      </c>
      <c r="AC108" t="n">
        <v>224.701</v>
      </c>
      <c r="AD108" t="n">
        <v>117.301</v>
      </c>
      <c r="AE108" t="n">
        <v>75.02200000000001</v>
      </c>
      <c r="AF108" t="n">
        <v>75.131</v>
      </c>
      <c r="AG108" t="n">
        <v>75.23</v>
      </c>
      <c r="AH108" t="n">
        <v>70.84999999999999</v>
      </c>
      <c r="AI108" t="n">
        <v>168.948</v>
      </c>
      <c r="AJ108" t="n">
        <v>244.572</v>
      </c>
      <c r="AK108" t="n">
        <v>308.549</v>
      </c>
      <c r="AL108" t="n">
        <v>396.666</v>
      </c>
      <c r="AM108" t="n">
        <v>479.574</v>
      </c>
      <c r="AN108" t="n">
        <v>1685.791</v>
      </c>
      <c r="AO108" t="n">
        <v>1276.843</v>
      </c>
      <c r="AP108" t="n">
        <v>1181.413</v>
      </c>
      <c r="AQ108" t="n">
        <v>1354.875</v>
      </c>
      <c r="AR108" t="n">
        <v>1506.727</v>
      </c>
      <c r="AS108" t="n">
        <v>1265.62</v>
      </c>
      <c r="AT108" t="n">
        <v>1003.159</v>
      </c>
      <c r="AU108" t="n">
        <v>1131.061</v>
      </c>
      <c r="AV108" t="n">
        <v>1121.336</v>
      </c>
      <c r="AW108" t="n">
        <v>1063.963</v>
      </c>
      <c r="AX108" t="n">
        <v>1032.966</v>
      </c>
      <c r="AY108" t="n">
        <v>1020.435</v>
      </c>
      <c r="AZ108" t="n">
        <v>989.841</v>
      </c>
      <c r="BA108" t="n">
        <v>1109.151</v>
      </c>
      <c r="BB108" t="n">
        <v>1036.938</v>
      </c>
      <c r="BC108" t="n">
        <v>937.467</v>
      </c>
      <c r="BD108" t="n">
        <v>1303.244</v>
      </c>
      <c r="BE108" t="n">
        <v>1288.835</v>
      </c>
      <c r="BF108" t="n">
        <v>1314.819</v>
      </c>
      <c r="BG108" t="n">
        <v>1271.057</v>
      </c>
      <c r="BH108" t="n">
        <v>1310.135</v>
      </c>
      <c r="BI108" t="n">
        <v>1287.939</v>
      </c>
      <c r="BJ108" t="n">
        <v>1168.205</v>
      </c>
      <c r="BK108" t="n">
        <v>1156.193</v>
      </c>
      <c r="BL108" t="n">
        <v>759.712</v>
      </c>
      <c r="BM108" t="n">
        <v>810.221</v>
      </c>
      <c r="BN108" t="n">
        <v>796.721</v>
      </c>
      <c r="BO108" t="n">
        <v>839.758</v>
      </c>
      <c r="BP108" t="n">
        <v>838.984</v>
      </c>
      <c r="BQ108" t="n">
        <v>931.501</v>
      </c>
      <c r="BR108" t="n">
        <v>948.8390000000001</v>
      </c>
      <c r="BS108" t="n">
        <v>950.729</v>
      </c>
      <c r="BT108" t="n">
        <v>957.064</v>
      </c>
      <c r="BU108" t="n">
        <v>931.864</v>
      </c>
      <c r="BV108" t="n">
        <v>929.749</v>
      </c>
    </row>
    <row r="109">
      <c r="A109" t="inlineStr">
        <is>
          <t>Ozius guttatus</t>
        </is>
      </c>
      <c r="B109" t="inlineStr">
        <is>
          <t>Spottedbelly rock crab</t>
        </is>
      </c>
      <c r="C109" t="inlineStr">
        <is>
          <t>Lobsters, crabs</t>
        </is>
      </c>
      <c r="D109" t="inlineStr">
        <is>
          <t>Crustaceans</t>
        </is>
      </c>
      <c r="E109" t="n">
        <v>32.117</v>
      </c>
      <c r="F109" t="n">
        <v>34.736</v>
      </c>
      <c r="G109" t="n">
        <v>39.027</v>
      </c>
      <c r="H109" t="n">
        <v>42.556</v>
      </c>
      <c r="I109" t="n">
        <v>46.229</v>
      </c>
      <c r="J109" t="n">
        <v>51.163</v>
      </c>
      <c r="K109" t="n">
        <v>55.567</v>
      </c>
      <c r="L109" t="n">
        <v>58.929</v>
      </c>
      <c r="M109" t="n">
        <v>63.639</v>
      </c>
      <c r="N109" t="n">
        <v>67.20099999999999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180.089</v>
      </c>
      <c r="Z109" t="n">
        <v>188.538</v>
      </c>
      <c r="AA109" t="n">
        <v>204.311</v>
      </c>
      <c r="AB109" t="n">
        <v>219.274</v>
      </c>
      <c r="AC109" t="n">
        <v>224.313</v>
      </c>
      <c r="AD109" t="n">
        <v>117.165</v>
      </c>
      <c r="AE109" t="n">
        <v>74.929</v>
      </c>
      <c r="AF109" t="n">
        <v>75.03700000000001</v>
      </c>
      <c r="AG109" t="n">
        <v>75.136</v>
      </c>
      <c r="AH109" t="n">
        <v>70.761</v>
      </c>
      <c r="AI109" t="n">
        <v>134.895</v>
      </c>
      <c r="AJ109" t="n">
        <v>227.837</v>
      </c>
      <c r="AK109" t="n">
        <v>307.942</v>
      </c>
      <c r="AL109" t="n">
        <v>393.608</v>
      </c>
      <c r="AM109" t="n">
        <v>450.212</v>
      </c>
      <c r="AN109" t="n">
        <v>575.079</v>
      </c>
      <c r="AO109" t="n">
        <v>1327.115</v>
      </c>
      <c r="AP109" t="n">
        <v>1792.027</v>
      </c>
      <c r="AQ109" t="n">
        <v>1154.304</v>
      </c>
      <c r="AR109" t="n">
        <v>971.797</v>
      </c>
      <c r="AS109" t="n">
        <v>1023.886</v>
      </c>
      <c r="AT109" t="n">
        <v>1144.785</v>
      </c>
      <c r="AU109" t="n">
        <v>1047.884</v>
      </c>
      <c r="AV109" t="n">
        <v>1069.794</v>
      </c>
      <c r="AW109" t="n">
        <v>1091.059</v>
      </c>
      <c r="AX109" t="n">
        <v>1097.008</v>
      </c>
      <c r="AY109" t="n">
        <v>1080.22</v>
      </c>
      <c r="AZ109" t="n">
        <v>1036.394</v>
      </c>
      <c r="BA109" t="n">
        <v>1176.295</v>
      </c>
      <c r="BB109" t="n">
        <v>1084.445</v>
      </c>
      <c r="BC109" t="n">
        <v>1329.207</v>
      </c>
      <c r="BD109" t="n">
        <v>1024.709</v>
      </c>
      <c r="BE109" t="n">
        <v>968.816</v>
      </c>
      <c r="BF109" t="n">
        <v>971.995</v>
      </c>
      <c r="BG109" t="n">
        <v>936.703</v>
      </c>
      <c r="BH109" t="n">
        <v>971.903</v>
      </c>
      <c r="BI109" t="n">
        <v>946.941</v>
      </c>
      <c r="BJ109" t="n">
        <v>886.015</v>
      </c>
      <c r="BK109" t="n">
        <v>937.494</v>
      </c>
      <c r="BL109" t="n">
        <v>948.496</v>
      </c>
      <c r="BM109" t="n">
        <v>916.982</v>
      </c>
      <c r="BN109" t="n">
        <v>851.605</v>
      </c>
      <c r="BO109" t="n">
        <v>990.197</v>
      </c>
      <c r="BP109" t="n">
        <v>1005.813</v>
      </c>
      <c r="BQ109" t="n">
        <v>1275.973</v>
      </c>
      <c r="BR109" t="n">
        <v>1346.583</v>
      </c>
      <c r="BS109" t="n">
        <v>1356.629</v>
      </c>
      <c r="BT109" t="n">
        <v>1366.302</v>
      </c>
      <c r="BU109" t="n">
        <v>1655.127</v>
      </c>
      <c r="BV109" t="n">
        <v>1657.627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984.212</v>
      </c>
      <c r="F110" t="n">
        <v>969.337</v>
      </c>
      <c r="G110" t="n">
        <v>993.931</v>
      </c>
      <c r="H110" t="n">
        <v>990.873</v>
      </c>
      <c r="I110" t="n">
        <v>985.441</v>
      </c>
      <c r="J110" t="n">
        <v>999.449</v>
      </c>
      <c r="K110" t="n">
        <v>995.386</v>
      </c>
      <c r="L110" t="n">
        <v>968.294</v>
      </c>
      <c r="M110" t="n">
        <v>959.196</v>
      </c>
      <c r="N110" t="n">
        <v>928.802</v>
      </c>
      <c r="O110" t="n">
        <v>926.335</v>
      </c>
      <c r="P110" t="n">
        <v>1452.749</v>
      </c>
      <c r="Q110" t="n">
        <v>1268.958</v>
      </c>
      <c r="R110" t="n">
        <v>882.028</v>
      </c>
      <c r="S110" t="n">
        <v>845.111</v>
      </c>
      <c r="T110" t="n">
        <v>508.63</v>
      </c>
      <c r="U110" t="n">
        <v>488.053</v>
      </c>
      <c r="V110" t="n">
        <v>465.777</v>
      </c>
      <c r="W110" t="n">
        <v>441.77</v>
      </c>
      <c r="X110" t="n">
        <v>416.002</v>
      </c>
      <c r="Y110" t="n">
        <v>388.443</v>
      </c>
      <c r="Z110" t="n">
        <v>359.063</v>
      </c>
      <c r="AA110" t="n">
        <v>327.832</v>
      </c>
      <c r="AB110" t="n">
        <v>294.721</v>
      </c>
      <c r="AC110" t="n">
        <v>300.442</v>
      </c>
      <c r="AD110" t="n">
        <v>30.616</v>
      </c>
      <c r="AE110" t="n">
        <v>30.196</v>
      </c>
      <c r="AF110" t="n">
        <v>29.768</v>
      </c>
      <c r="AG110" t="n">
        <v>29.332</v>
      </c>
      <c r="AH110" t="n">
        <v>28.889</v>
      </c>
      <c r="AI110" t="n">
        <v>237.103</v>
      </c>
      <c r="AJ110" t="n">
        <v>332.064</v>
      </c>
      <c r="AK110" t="n">
        <v>459.757</v>
      </c>
      <c r="AL110" t="n">
        <v>602.325</v>
      </c>
      <c r="AM110" t="n">
        <v>759.7670000000001</v>
      </c>
      <c r="AN110" t="n">
        <v>931.985</v>
      </c>
      <c r="AO110" t="n">
        <v>934.193</v>
      </c>
      <c r="AP110" t="n">
        <v>930.193</v>
      </c>
      <c r="AQ110" t="n">
        <v>919.897</v>
      </c>
      <c r="AR110" t="n">
        <v>903.253</v>
      </c>
      <c r="AS110" t="n">
        <v>880.252</v>
      </c>
      <c r="AT110" t="n">
        <v>850.918</v>
      </c>
      <c r="AU110" t="n">
        <v>815.313</v>
      </c>
      <c r="AV110" t="n">
        <v>796.409</v>
      </c>
      <c r="AW110" t="n">
        <v>768.855</v>
      </c>
      <c r="AX110" t="n">
        <v>732.241</v>
      </c>
      <c r="AY110" t="n">
        <v>686.203</v>
      </c>
      <c r="AZ110" t="n">
        <v>630.423</v>
      </c>
      <c r="BA110" t="n">
        <v>790.803</v>
      </c>
      <c r="BB110" t="n">
        <v>577.9690000000001</v>
      </c>
      <c r="BC110" t="n">
        <v>575.58</v>
      </c>
      <c r="BD110" t="n">
        <v>545.293</v>
      </c>
      <c r="BE110" t="n">
        <v>514.596</v>
      </c>
      <c r="BF110" t="n">
        <v>483.55</v>
      </c>
      <c r="BG110" t="n">
        <v>525.821</v>
      </c>
      <c r="BH110" t="n">
        <v>483.862</v>
      </c>
      <c r="BI110" t="n">
        <v>440.536</v>
      </c>
      <c r="BJ110" t="n">
        <v>395.807</v>
      </c>
      <c r="BK110" t="n">
        <v>517.042</v>
      </c>
      <c r="BL110" t="n">
        <v>305.817</v>
      </c>
      <c r="BM110" t="n">
        <v>312.585</v>
      </c>
      <c r="BN110" t="n">
        <v>319.353</v>
      </c>
      <c r="BO110" t="n">
        <v>331.12</v>
      </c>
      <c r="BP110" t="n">
        <v>336.618</v>
      </c>
      <c r="BQ110" t="n">
        <v>342.19</v>
      </c>
      <c r="BR110" t="n">
        <v>347.766</v>
      </c>
      <c r="BS110" t="n">
        <v>346.505</v>
      </c>
      <c r="BT110" t="n">
        <v>351.971</v>
      </c>
      <c r="BU110" t="n">
        <v>365.071</v>
      </c>
      <c r="BV110" t="n">
        <v>366.829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100.927</v>
      </c>
      <c r="F111" t="n">
        <v>100.927</v>
      </c>
      <c r="G111" t="n">
        <v>134.004</v>
      </c>
      <c r="H111" t="n">
        <v>117.889</v>
      </c>
      <c r="I111" t="n">
        <v>100.927</v>
      </c>
      <c r="J111" t="n">
        <v>100.927</v>
      </c>
      <c r="K111" t="n">
        <v>100.927</v>
      </c>
      <c r="L111" t="n">
        <v>96.68600000000001</v>
      </c>
      <c r="M111" t="n">
        <v>104.319</v>
      </c>
      <c r="N111" t="n">
        <v>100.927</v>
      </c>
      <c r="O111" t="n">
        <v>135.7</v>
      </c>
      <c r="P111" t="n">
        <v>168.777</v>
      </c>
      <c r="Q111" t="n">
        <v>173.866</v>
      </c>
      <c r="R111" t="n">
        <v>270.552</v>
      </c>
      <c r="S111" t="n">
        <v>251.045</v>
      </c>
      <c r="T111" t="n">
        <v>303.152</v>
      </c>
      <c r="U111" t="n">
        <v>348.36</v>
      </c>
      <c r="V111" t="n">
        <v>324.668</v>
      </c>
      <c r="W111" t="n">
        <v>345.246</v>
      </c>
      <c r="X111" t="n">
        <v>295.012</v>
      </c>
      <c r="Y111" t="n">
        <v>386.823</v>
      </c>
      <c r="Z111" t="n">
        <v>443.874</v>
      </c>
      <c r="AA111" t="n">
        <v>442.588</v>
      </c>
      <c r="AB111" t="n">
        <v>354.014</v>
      </c>
      <c r="AC111" t="n">
        <v>450.794</v>
      </c>
      <c r="AD111" t="n">
        <v>401.777</v>
      </c>
      <c r="AE111" t="n">
        <v>368.685</v>
      </c>
      <c r="AF111" t="n">
        <v>482.415</v>
      </c>
      <c r="AG111" t="n">
        <v>500.343</v>
      </c>
      <c r="AH111" t="n">
        <v>453.286</v>
      </c>
      <c r="AI111" t="n">
        <v>342.862</v>
      </c>
      <c r="AJ111" t="n">
        <v>503.24</v>
      </c>
      <c r="AK111" t="n">
        <v>332.317</v>
      </c>
      <c r="AL111" t="n">
        <v>369.294</v>
      </c>
      <c r="AM111" t="n">
        <v>290.446</v>
      </c>
      <c r="AN111" t="n">
        <v>329.856</v>
      </c>
      <c r="AO111" t="n">
        <v>312.323</v>
      </c>
      <c r="AP111" t="n">
        <v>749.862</v>
      </c>
      <c r="AQ111" t="n">
        <v>694.1420000000001</v>
      </c>
      <c r="AR111" t="n">
        <v>938.217</v>
      </c>
      <c r="AS111" t="n">
        <v>1139.76</v>
      </c>
      <c r="AT111" t="n">
        <v>1017.844</v>
      </c>
      <c r="AU111" t="n">
        <v>873.73</v>
      </c>
      <c r="AV111" t="n">
        <v>964.774</v>
      </c>
      <c r="AW111" t="n">
        <v>1060.065</v>
      </c>
      <c r="AX111" t="n">
        <v>973.5119999999999</v>
      </c>
      <c r="AY111" t="n">
        <v>863.971</v>
      </c>
      <c r="AZ111" t="n">
        <v>795.274</v>
      </c>
      <c r="BA111" t="n">
        <v>924.772</v>
      </c>
      <c r="BB111" t="n">
        <v>1020.614</v>
      </c>
      <c r="BC111" t="n">
        <v>1079.852</v>
      </c>
      <c r="BD111" t="n">
        <v>1105.303</v>
      </c>
      <c r="BE111" t="n">
        <v>1152.131</v>
      </c>
      <c r="BF111" t="n">
        <v>1108.071</v>
      </c>
      <c r="BG111" t="n">
        <v>976.1180000000001</v>
      </c>
      <c r="BH111" t="n">
        <v>1073.568</v>
      </c>
      <c r="BI111" t="n">
        <v>975.6660000000001</v>
      </c>
      <c r="BJ111" t="n">
        <v>994</v>
      </c>
      <c r="BK111" t="n">
        <v>874.08</v>
      </c>
      <c r="BL111" t="n">
        <v>814.75</v>
      </c>
      <c r="BM111" t="n">
        <v>883.758</v>
      </c>
      <c r="BN111" t="n">
        <v>865.84</v>
      </c>
      <c r="BO111" t="n">
        <v>973.256</v>
      </c>
      <c r="BP111" t="n">
        <v>1011.323</v>
      </c>
      <c r="BQ111" t="n">
        <v>930.163</v>
      </c>
      <c r="BR111" t="n">
        <v>956.848</v>
      </c>
      <c r="BS111" t="n">
        <v>992.164</v>
      </c>
      <c r="BT111" t="n">
        <v>922.491</v>
      </c>
      <c r="BU111" t="n">
        <v>874.793</v>
      </c>
      <c r="BV111" t="n">
        <v>819.706</v>
      </c>
    </row>
    <row r="112">
      <c r="A112" t="inlineStr">
        <is>
          <t>Thunnus albacares</t>
        </is>
      </c>
      <c r="B112" t="inlineStr">
        <is>
          <t>Yellowfin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2478.658</v>
      </c>
      <c r="BD112" t="n">
        <v>2701.987</v>
      </c>
      <c r="BE112" t="n">
        <v>2910.737</v>
      </c>
      <c r="BF112" t="n">
        <v>2570.07</v>
      </c>
      <c r="BG112" t="n">
        <v>3214.762</v>
      </c>
      <c r="BH112" t="n">
        <v>3811.44</v>
      </c>
      <c r="BI112" t="n">
        <v>3244.439</v>
      </c>
      <c r="BJ112" t="n">
        <v>3189.059</v>
      </c>
      <c r="BK112" t="n">
        <v>2270.733</v>
      </c>
      <c r="BL112" t="n">
        <v>1760.086</v>
      </c>
      <c r="BM112" t="n">
        <v>1596.513</v>
      </c>
      <c r="BN112" t="n">
        <v>1537.773</v>
      </c>
      <c r="BO112" t="n">
        <v>1480.578</v>
      </c>
      <c r="BP112" t="n">
        <v>1510.527</v>
      </c>
      <c r="BQ112" t="n">
        <v>1139.084</v>
      </c>
      <c r="BR112" t="n">
        <v>1242.623</v>
      </c>
      <c r="BS112" t="n">
        <v>1160.967</v>
      </c>
      <c r="BT112" t="n">
        <v>932.869</v>
      </c>
      <c r="BU112" t="n">
        <v>905.288</v>
      </c>
      <c r="BV112" t="n">
        <v>586.147</v>
      </c>
    </row>
    <row r="113">
      <c r="A113" t="inlineStr">
        <is>
          <t>Rachycentron canadum</t>
        </is>
      </c>
      <c r="B113" t="inlineStr">
        <is>
          <t>Cobia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34.593</v>
      </c>
      <c r="F113" t="n">
        <v>33.769</v>
      </c>
      <c r="G113" t="n">
        <v>30.475</v>
      </c>
      <c r="H113" t="n">
        <v>28.827</v>
      </c>
      <c r="I113" t="n">
        <v>29.651</v>
      </c>
      <c r="J113" t="n">
        <v>31.298</v>
      </c>
      <c r="K113" t="n">
        <v>31.298</v>
      </c>
      <c r="L113" t="n">
        <v>32.945</v>
      </c>
      <c r="M113" t="n">
        <v>37.064</v>
      </c>
      <c r="N113" t="n">
        <v>40.358</v>
      </c>
      <c r="O113" t="n">
        <v>42.005</v>
      </c>
      <c r="P113" t="n">
        <v>42.829</v>
      </c>
      <c r="Q113" t="n">
        <v>48.594</v>
      </c>
      <c r="R113" t="n">
        <v>51.065</v>
      </c>
      <c r="S113" t="n">
        <v>59.302</v>
      </c>
      <c r="T113" t="n">
        <v>53.242</v>
      </c>
      <c r="U113" t="n">
        <v>53.772</v>
      </c>
      <c r="V113" t="n">
        <v>55.949</v>
      </c>
      <c r="W113" t="n">
        <v>56.479</v>
      </c>
      <c r="X113" t="n">
        <v>50.713</v>
      </c>
      <c r="Y113" t="n">
        <v>58.686</v>
      </c>
      <c r="Z113" t="n">
        <v>58.539</v>
      </c>
      <c r="AA113" t="n">
        <v>62.688</v>
      </c>
      <c r="AB113" t="n">
        <v>69.072</v>
      </c>
      <c r="AC113" t="n">
        <v>74.33799999999999</v>
      </c>
      <c r="AD113" t="n">
        <v>73.986</v>
      </c>
      <c r="AE113" t="n">
        <v>91.521</v>
      </c>
      <c r="AF113" t="n">
        <v>111.738</v>
      </c>
      <c r="AG113" t="n">
        <v>128.382</v>
      </c>
      <c r="AH113" t="n">
        <v>126.823</v>
      </c>
      <c r="AI113" t="n">
        <v>2269.01</v>
      </c>
      <c r="AJ113" t="n">
        <v>3122.415</v>
      </c>
      <c r="AK113" t="n">
        <v>1982.504</v>
      </c>
      <c r="AL113" t="n">
        <v>2272.246</v>
      </c>
      <c r="AM113" t="n">
        <v>2006.65</v>
      </c>
      <c r="AN113" t="n">
        <v>256.336</v>
      </c>
      <c r="AO113" t="n">
        <v>206.092</v>
      </c>
      <c r="AP113" t="n">
        <v>206.122</v>
      </c>
      <c r="AQ113" t="n">
        <v>209.42</v>
      </c>
      <c r="AR113" t="n">
        <v>200.36</v>
      </c>
      <c r="AS113" t="n">
        <v>698.01</v>
      </c>
      <c r="AT113" t="n">
        <v>771.228</v>
      </c>
      <c r="AU113" t="n">
        <v>792.731</v>
      </c>
      <c r="AV113" t="n">
        <v>831.797</v>
      </c>
      <c r="AW113" t="n">
        <v>794.259</v>
      </c>
      <c r="AX113" t="n">
        <v>386.457</v>
      </c>
      <c r="AY113" t="n">
        <v>401.607</v>
      </c>
      <c r="AZ113" t="n">
        <v>472.029</v>
      </c>
      <c r="BA113" t="n">
        <v>401.579</v>
      </c>
      <c r="BB113" t="n">
        <v>503.391</v>
      </c>
      <c r="BC113" t="n">
        <v>688.024</v>
      </c>
      <c r="BD113" t="n">
        <v>704.849</v>
      </c>
      <c r="BE113" t="n">
        <v>611.925</v>
      </c>
      <c r="BF113" t="n">
        <v>663.872</v>
      </c>
      <c r="BG113" t="n">
        <v>656.754</v>
      </c>
      <c r="BH113" t="n">
        <v>297.998</v>
      </c>
      <c r="BI113" t="n">
        <v>342.89</v>
      </c>
      <c r="BJ113" t="n">
        <v>329.005</v>
      </c>
      <c r="BK113" t="n">
        <v>377.073</v>
      </c>
      <c r="BL113" t="n">
        <v>1349.073</v>
      </c>
      <c r="BM113" t="n">
        <v>1293.51</v>
      </c>
      <c r="BN113" t="n">
        <v>1257.043</v>
      </c>
      <c r="BO113" t="n">
        <v>1414.825</v>
      </c>
      <c r="BP113" t="n">
        <v>1470.992</v>
      </c>
      <c r="BQ113" t="n">
        <v>1347.972</v>
      </c>
      <c r="BR113" t="n">
        <v>1388.149</v>
      </c>
      <c r="BS113" t="n">
        <v>1437.406</v>
      </c>
      <c r="BT113" t="n">
        <v>1332.755</v>
      </c>
      <c r="BU113" t="n">
        <v>1263.471</v>
      </c>
      <c r="BV113" t="n">
        <v>1184.046</v>
      </c>
    </row>
    <row r="114">
      <c r="A114" t="inlineStr">
        <is>
          <t>Penaeus japonicus</t>
        </is>
      </c>
      <c r="B114" t="inlineStr">
        <is>
          <t>Kuruma prawn</t>
        </is>
      </c>
      <c r="C114" t="inlineStr">
        <is>
          <t>Shrimps</t>
        </is>
      </c>
      <c r="D114" t="inlineStr">
        <is>
          <t>Crustaceans</t>
        </is>
      </c>
      <c r="E114" t="n">
        <v>40.272</v>
      </c>
      <c r="F114" t="n">
        <v>43.557</v>
      </c>
      <c r="G114" t="n">
        <v>48.937</v>
      </c>
      <c r="H114" t="n">
        <v>53.362</v>
      </c>
      <c r="I114" t="n">
        <v>57.968</v>
      </c>
      <c r="J114" t="n">
        <v>64.155</v>
      </c>
      <c r="K114" t="n">
        <v>69.67700000000001</v>
      </c>
      <c r="L114" t="n">
        <v>73.892</v>
      </c>
      <c r="M114" t="n">
        <v>79.798</v>
      </c>
      <c r="N114" t="n">
        <v>84.265</v>
      </c>
      <c r="O114" t="n">
        <v>128.277</v>
      </c>
      <c r="P114" t="n">
        <v>219.751</v>
      </c>
      <c r="Q114" t="n">
        <v>209.964</v>
      </c>
      <c r="R114" t="n">
        <v>159.922</v>
      </c>
      <c r="S114" t="n">
        <v>168.281</v>
      </c>
      <c r="T114" t="n">
        <v>190.402</v>
      </c>
      <c r="U114" t="n">
        <v>233.048</v>
      </c>
      <c r="V114" t="n">
        <v>254.577</v>
      </c>
      <c r="W114" t="n">
        <v>335.997</v>
      </c>
      <c r="X114" t="n">
        <v>348.524</v>
      </c>
      <c r="Y114" t="n">
        <v>90.042</v>
      </c>
      <c r="Z114" t="n">
        <v>353.507</v>
      </c>
      <c r="AA114" t="n">
        <v>204.308</v>
      </c>
      <c r="AB114" t="n">
        <v>219.27</v>
      </c>
      <c r="AC114" t="n">
        <v>224.309</v>
      </c>
      <c r="AD114" t="n">
        <v>117.166</v>
      </c>
      <c r="AE114" t="n">
        <v>74.929</v>
      </c>
      <c r="AF114" t="n">
        <v>75.038</v>
      </c>
      <c r="AG114" t="n">
        <v>75.137</v>
      </c>
      <c r="AH114" t="n">
        <v>70.761</v>
      </c>
      <c r="AI114" t="n">
        <v>168.614</v>
      </c>
      <c r="AJ114" t="n">
        <v>244.106</v>
      </c>
      <c r="AK114" t="n">
        <v>307.934</v>
      </c>
      <c r="AL114" t="n">
        <v>395.859</v>
      </c>
      <c r="AM114" t="n">
        <v>478.556</v>
      </c>
      <c r="AN114" t="n">
        <v>577.879</v>
      </c>
      <c r="AO114" t="n">
        <v>348.552</v>
      </c>
      <c r="AP114" t="n">
        <v>300.386</v>
      </c>
      <c r="AQ114" t="n">
        <v>559.7329999999999</v>
      </c>
      <c r="AR114" t="n">
        <v>763.88</v>
      </c>
      <c r="AS114" t="n">
        <v>1212.887</v>
      </c>
      <c r="AT114" t="n">
        <v>940.529</v>
      </c>
      <c r="AU114" t="n">
        <v>1066.46</v>
      </c>
      <c r="AV114" t="n">
        <v>1052.755</v>
      </c>
      <c r="AW114" t="n">
        <v>997.404</v>
      </c>
      <c r="AX114" t="n">
        <v>1007.426</v>
      </c>
      <c r="AY114" t="n">
        <v>994.2329999999999</v>
      </c>
      <c r="AZ114" t="n">
        <v>956.487</v>
      </c>
      <c r="BA114" t="n">
        <v>1085.216</v>
      </c>
      <c r="BB114" t="n">
        <v>1006.079</v>
      </c>
      <c r="BC114" t="n">
        <v>931.658</v>
      </c>
      <c r="BD114" t="n">
        <v>1300.206</v>
      </c>
      <c r="BE114" t="n">
        <v>1288.384</v>
      </c>
      <c r="BF114" t="n">
        <v>1316.267</v>
      </c>
      <c r="BG114" t="n">
        <v>1272.727</v>
      </c>
      <c r="BH114" t="n">
        <v>1304.716</v>
      </c>
      <c r="BI114" t="n">
        <v>1281.1</v>
      </c>
      <c r="BJ114" t="n">
        <v>1161.315</v>
      </c>
      <c r="BK114" t="n">
        <v>1144.928</v>
      </c>
      <c r="BL114" t="n">
        <v>677.511</v>
      </c>
      <c r="BM114" t="n">
        <v>734.829</v>
      </c>
      <c r="BN114" t="n">
        <v>802.961</v>
      </c>
      <c r="BO114" t="n">
        <v>846.058</v>
      </c>
      <c r="BP114" t="n">
        <v>844.9109999999999</v>
      </c>
      <c r="BQ114" t="n">
        <v>938.01</v>
      </c>
      <c r="BR114" t="n">
        <v>955.333</v>
      </c>
      <c r="BS114" t="n">
        <v>957.2430000000001</v>
      </c>
      <c r="BT114" t="n">
        <v>963.595</v>
      </c>
      <c r="BU114" t="n">
        <v>930.856</v>
      </c>
      <c r="BV114" t="n">
        <v>928.74</v>
      </c>
    </row>
    <row r="115">
      <c r="A115" t="inlineStr">
        <is>
          <t>Melicertus canaliculatus</t>
        </is>
      </c>
      <c r="B115" t="inlineStr">
        <is>
          <t>Witch prawn</t>
        </is>
      </c>
      <c r="C115" t="inlineStr">
        <is>
          <t>Shrimps</t>
        </is>
      </c>
      <c r="D115" t="inlineStr">
        <is>
          <t>Crustaceans</t>
        </is>
      </c>
      <c r="E115" t="n">
        <v>40.258</v>
      </c>
      <c r="F115" t="n">
        <v>43.541</v>
      </c>
      <c r="G115" t="n">
        <v>48.919</v>
      </c>
      <c r="H115" t="n">
        <v>53.343</v>
      </c>
      <c r="I115" t="n">
        <v>57.947</v>
      </c>
      <c r="J115" t="n">
        <v>64.13200000000001</v>
      </c>
      <c r="K115" t="n">
        <v>69.652</v>
      </c>
      <c r="L115" t="n">
        <v>73.866</v>
      </c>
      <c r="M115" t="n">
        <v>79.77</v>
      </c>
      <c r="N115" t="n">
        <v>84.235</v>
      </c>
      <c r="O115" t="n">
        <v>128.231</v>
      </c>
      <c r="P115" t="n">
        <v>219.673</v>
      </c>
      <c r="Q115" t="n">
        <v>209.889</v>
      </c>
      <c r="R115" t="n">
        <v>159.865</v>
      </c>
      <c r="S115" t="n">
        <v>168.221</v>
      </c>
      <c r="T115" t="n">
        <v>190.265</v>
      </c>
      <c r="U115" t="n">
        <v>232.864</v>
      </c>
      <c r="V115" t="n">
        <v>254.373</v>
      </c>
      <c r="W115" t="n">
        <v>335.699</v>
      </c>
      <c r="X115" t="n">
        <v>348.217</v>
      </c>
      <c r="Y115" t="n">
        <v>89.995</v>
      </c>
      <c r="Z115" t="n">
        <v>353.179</v>
      </c>
      <c r="AA115" t="n">
        <v>204.152</v>
      </c>
      <c r="AB115" t="n">
        <v>219.101</v>
      </c>
      <c r="AC115" t="n">
        <v>224.138</v>
      </c>
      <c r="AD115" t="n">
        <v>117.032</v>
      </c>
      <c r="AE115" t="n">
        <v>74.848</v>
      </c>
      <c r="AF115" t="n">
        <v>74.956</v>
      </c>
      <c r="AG115" t="n">
        <v>75.05500000000001</v>
      </c>
      <c r="AH115" t="n">
        <v>70.685</v>
      </c>
      <c r="AI115" t="n">
        <v>168.51</v>
      </c>
      <c r="AJ115" t="n">
        <v>243.944</v>
      </c>
      <c r="AK115" t="n">
        <v>307.747</v>
      </c>
      <c r="AL115" t="n">
        <v>395.628</v>
      </c>
      <c r="AM115" t="n">
        <v>478.304</v>
      </c>
      <c r="AN115" t="n">
        <v>577.582</v>
      </c>
      <c r="AO115" t="n">
        <v>348.341</v>
      </c>
      <c r="AP115" t="n">
        <v>300.178</v>
      </c>
      <c r="AQ115" t="n">
        <v>559.364</v>
      </c>
      <c r="AR115" t="n">
        <v>763.337</v>
      </c>
      <c r="AS115" t="n">
        <v>1212.35</v>
      </c>
      <c r="AT115" t="n">
        <v>940.099</v>
      </c>
      <c r="AU115" t="n">
        <v>1065.945</v>
      </c>
      <c r="AV115" t="n">
        <v>1052.241</v>
      </c>
      <c r="AW115" t="n">
        <v>996.8920000000001</v>
      </c>
      <c r="AX115" t="n">
        <v>1006.908</v>
      </c>
      <c r="AY115" t="n">
        <v>993.725</v>
      </c>
      <c r="AZ115" t="n">
        <v>955.9829999999999</v>
      </c>
      <c r="BA115" t="n">
        <v>1084.681</v>
      </c>
      <c r="BB115" t="n">
        <v>1005.611</v>
      </c>
      <c r="BC115" t="n">
        <v>931.228</v>
      </c>
      <c r="BD115" t="n">
        <v>1299.691</v>
      </c>
      <c r="BE115" t="n">
        <v>1288.006</v>
      </c>
      <c r="BF115" t="n">
        <v>1316.081</v>
      </c>
      <c r="BG115" t="n">
        <v>1272.679</v>
      </c>
      <c r="BH115" t="n">
        <v>1304.686</v>
      </c>
      <c r="BI115" t="n">
        <v>1281.081</v>
      </c>
      <c r="BJ115" t="n">
        <v>1161.3</v>
      </c>
      <c r="BK115" t="n">
        <v>1144.876</v>
      </c>
      <c r="BL115" t="n">
        <v>677.497</v>
      </c>
      <c r="BM115" t="n">
        <v>734.812</v>
      </c>
      <c r="BN115" t="n">
        <v>802.956</v>
      </c>
      <c r="BO115" t="n">
        <v>846.009</v>
      </c>
      <c r="BP115" t="n">
        <v>844.816</v>
      </c>
      <c r="BQ115" t="n">
        <v>937.8680000000001</v>
      </c>
      <c r="BR115" t="n">
        <v>955.169</v>
      </c>
      <c r="BS115" t="n">
        <v>957.077</v>
      </c>
      <c r="BT115" t="n">
        <v>963.427</v>
      </c>
      <c r="BU115" t="n">
        <v>929.674</v>
      </c>
      <c r="BV115" t="n">
        <v>927.564</v>
      </c>
    </row>
    <row r="116">
      <c r="A116" t="inlineStr">
        <is>
          <t>Plectorhinchus</t>
        </is>
      </c>
      <c r="B116" t="inlineStr">
        <is>
          <t>Sweetlips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171.463</v>
      </c>
      <c r="F116" t="n">
        <v>166.439</v>
      </c>
      <c r="G116" t="n">
        <v>158</v>
      </c>
      <c r="H116" t="n">
        <v>152.859</v>
      </c>
      <c r="I116" t="n">
        <v>152.533</v>
      </c>
      <c r="J116" t="n">
        <v>160.81</v>
      </c>
      <c r="K116" t="n">
        <v>161.393</v>
      </c>
      <c r="L116" t="n">
        <v>163.071</v>
      </c>
      <c r="M116" t="n">
        <v>176.571</v>
      </c>
      <c r="N116" t="n">
        <v>184.661</v>
      </c>
      <c r="O116" t="n">
        <v>191.123</v>
      </c>
      <c r="P116" t="n">
        <v>226.034</v>
      </c>
      <c r="Q116" t="n">
        <v>230.698</v>
      </c>
      <c r="R116" t="n">
        <v>219.034</v>
      </c>
      <c r="S116" t="n">
        <v>240.779</v>
      </c>
      <c r="T116" t="n">
        <v>195.736</v>
      </c>
      <c r="U116" t="n">
        <v>194.501</v>
      </c>
      <c r="V116" t="n">
        <v>196.416</v>
      </c>
      <c r="W116" t="n">
        <v>196.574</v>
      </c>
      <c r="X116" t="n">
        <v>175.197</v>
      </c>
      <c r="Y116" t="n">
        <v>178.263</v>
      </c>
      <c r="Z116" t="n">
        <v>175.62</v>
      </c>
      <c r="AA116" t="n">
        <v>170.256</v>
      </c>
      <c r="AB116" t="n">
        <v>172.294</v>
      </c>
      <c r="AC116" t="n">
        <v>176.585</v>
      </c>
      <c r="AD116" t="n">
        <v>146.206</v>
      </c>
      <c r="AE116" t="n">
        <v>786.454</v>
      </c>
      <c r="AF116" t="n">
        <v>926.492</v>
      </c>
      <c r="AG116" t="n">
        <v>1113.83</v>
      </c>
      <c r="AH116" t="n">
        <v>999.622</v>
      </c>
      <c r="AI116" t="n">
        <v>757.074</v>
      </c>
      <c r="AJ116" t="n">
        <v>1010.846</v>
      </c>
      <c r="AK116" t="n">
        <v>709.468</v>
      </c>
      <c r="AL116" t="n">
        <v>787.002</v>
      </c>
      <c r="AM116" t="n">
        <v>691.931</v>
      </c>
      <c r="AN116" t="n">
        <v>310.59</v>
      </c>
      <c r="AO116" t="n">
        <v>256.311</v>
      </c>
      <c r="AP116" t="n">
        <v>261.46</v>
      </c>
      <c r="AQ116" t="n">
        <v>275.646</v>
      </c>
      <c r="AR116" t="n">
        <v>268.01</v>
      </c>
      <c r="AS116" t="n">
        <v>768.069</v>
      </c>
      <c r="AT116" t="n">
        <v>825.307</v>
      </c>
      <c r="AU116" t="n">
        <v>837.409</v>
      </c>
      <c r="AV116" t="n">
        <v>875.159</v>
      </c>
      <c r="AW116" t="n">
        <v>821.27</v>
      </c>
      <c r="AX116" t="n">
        <v>790.627</v>
      </c>
      <c r="AY116" t="n">
        <v>816.177</v>
      </c>
      <c r="AZ116" t="n">
        <v>875.932</v>
      </c>
      <c r="BA116" t="n">
        <v>861.085</v>
      </c>
      <c r="BB116" t="n">
        <v>959.773</v>
      </c>
      <c r="BC116" t="n">
        <v>1250.985</v>
      </c>
      <c r="BD116" t="n">
        <v>1268.132</v>
      </c>
      <c r="BE116" t="n">
        <v>1130.105</v>
      </c>
      <c r="BF116" t="n">
        <v>1194.832</v>
      </c>
      <c r="BG116" t="n">
        <v>1188.049</v>
      </c>
      <c r="BH116" t="n">
        <v>314.456</v>
      </c>
      <c r="BI116" t="n">
        <v>356.401</v>
      </c>
      <c r="BJ116" t="n">
        <v>339.946</v>
      </c>
      <c r="BK116" t="n">
        <v>392.643</v>
      </c>
      <c r="BL116" t="n">
        <v>762.528</v>
      </c>
      <c r="BM116" t="n">
        <v>746.448</v>
      </c>
      <c r="BN116" t="n">
        <v>726.48</v>
      </c>
      <c r="BO116" t="n">
        <v>815.98</v>
      </c>
      <c r="BP116" t="n">
        <v>847.942</v>
      </c>
      <c r="BQ116" t="n">
        <v>779.09</v>
      </c>
      <c r="BR116" t="n">
        <v>802.0119999999999</v>
      </c>
      <c r="BS116" t="n">
        <v>829.722</v>
      </c>
      <c r="BT116" t="n">
        <v>771.2089999999999</v>
      </c>
      <c r="BU116" t="n">
        <v>731.7910000000001</v>
      </c>
      <c r="BV116" t="n">
        <v>687.285</v>
      </c>
    </row>
    <row r="117">
      <c r="A117" t="inlineStr">
        <is>
          <t>Pampus argenteus</t>
        </is>
      </c>
      <c r="B117" t="inlineStr">
        <is>
          <t>Silver pomfret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0.005</v>
      </c>
      <c r="F117" t="n">
        <v>0.006</v>
      </c>
      <c r="G117" t="n">
        <v>0.007</v>
      </c>
      <c r="H117" t="n">
        <v>0.007</v>
      </c>
      <c r="I117" t="n">
        <v>0.008</v>
      </c>
      <c r="J117" t="n">
        <v>0.008</v>
      </c>
      <c r="K117" t="n">
        <v>0.008</v>
      </c>
      <c r="L117" t="n">
        <v>0.008</v>
      </c>
      <c r="M117" t="n">
        <v>0.008</v>
      </c>
      <c r="N117" t="n">
        <v>0.008</v>
      </c>
      <c r="O117" t="n">
        <v>0.008</v>
      </c>
      <c r="P117" t="n">
        <v>0.008999999999999999</v>
      </c>
      <c r="Q117" t="n">
        <v>0.008999999999999999</v>
      </c>
      <c r="R117" t="n">
        <v>0.008999999999999999</v>
      </c>
      <c r="S117" t="n">
        <v>0.008</v>
      </c>
      <c r="T117" t="n">
        <v>0.008999999999999999</v>
      </c>
      <c r="U117" t="n">
        <v>0.008999999999999999</v>
      </c>
      <c r="V117" t="n">
        <v>0.008</v>
      </c>
      <c r="W117" t="n">
        <v>0.008999999999999999</v>
      </c>
      <c r="X117" t="n">
        <v>0.01</v>
      </c>
      <c r="Y117" t="n">
        <v>580.146</v>
      </c>
      <c r="Z117" t="n">
        <v>578.028</v>
      </c>
      <c r="AA117" t="n">
        <v>575.818</v>
      </c>
      <c r="AB117" t="n">
        <v>1720.773</v>
      </c>
      <c r="AC117" t="n">
        <v>1371.117</v>
      </c>
      <c r="AD117" t="n">
        <v>1622.668</v>
      </c>
      <c r="AE117" t="n">
        <v>543.836</v>
      </c>
      <c r="AF117" t="n">
        <v>1687.407</v>
      </c>
      <c r="AG117" t="n">
        <v>798.806</v>
      </c>
      <c r="AH117" t="n">
        <v>328.343</v>
      </c>
      <c r="AI117" t="n">
        <v>304.207</v>
      </c>
      <c r="AJ117" t="n">
        <v>170.273</v>
      </c>
      <c r="AK117" t="n">
        <v>503.627</v>
      </c>
      <c r="AL117" t="n">
        <v>667.874</v>
      </c>
      <c r="AM117" t="n">
        <v>551.803</v>
      </c>
      <c r="AN117" t="n">
        <v>416.443</v>
      </c>
      <c r="AO117" t="n">
        <v>526.691</v>
      </c>
      <c r="AP117" t="n">
        <v>607.742</v>
      </c>
      <c r="AQ117" t="n">
        <v>909.907</v>
      </c>
      <c r="AR117" t="n">
        <v>340.42</v>
      </c>
      <c r="AS117" t="n">
        <v>356.302</v>
      </c>
      <c r="AT117" t="n">
        <v>314.992</v>
      </c>
      <c r="AU117" t="n">
        <v>1333.626</v>
      </c>
      <c r="AV117" t="n">
        <v>1265.077</v>
      </c>
      <c r="AW117" t="n">
        <v>1559.511</v>
      </c>
      <c r="AX117" t="n">
        <v>528.059</v>
      </c>
      <c r="AY117" t="n">
        <v>598.509</v>
      </c>
      <c r="AZ117" t="n">
        <v>527.197</v>
      </c>
      <c r="BA117" t="n">
        <v>167.191</v>
      </c>
      <c r="BB117" t="n">
        <v>103.628</v>
      </c>
      <c r="BC117" t="n">
        <v>297.962</v>
      </c>
      <c r="BD117" t="n">
        <v>308.925</v>
      </c>
      <c r="BE117" t="n">
        <v>610.461</v>
      </c>
      <c r="BF117" t="n">
        <v>975.122</v>
      </c>
      <c r="BG117" t="n">
        <v>599.629</v>
      </c>
      <c r="BH117" t="n">
        <v>565.0940000000001</v>
      </c>
      <c r="BI117" t="n">
        <v>759.889</v>
      </c>
      <c r="BJ117" t="n">
        <v>2760.826</v>
      </c>
      <c r="BK117" t="n">
        <v>622.987</v>
      </c>
      <c r="BL117" t="n">
        <v>594.859</v>
      </c>
      <c r="BM117" t="n">
        <v>334.169</v>
      </c>
      <c r="BN117" t="n">
        <v>186.284</v>
      </c>
      <c r="BO117" t="n">
        <v>713.603</v>
      </c>
      <c r="BP117" t="n">
        <v>692.1079999999999</v>
      </c>
      <c r="BQ117" t="n">
        <v>482.691</v>
      </c>
      <c r="BR117" t="n">
        <v>1181.451</v>
      </c>
      <c r="BS117" t="n">
        <v>1086.313</v>
      </c>
      <c r="BT117" t="n">
        <v>444.834</v>
      </c>
      <c r="BU117" t="n">
        <v>347.313</v>
      </c>
      <c r="BV117" t="n">
        <v>525.61</v>
      </c>
    </row>
    <row r="118">
      <c r="A118" t="inlineStr">
        <is>
          <t>Muraenesox</t>
        </is>
      </c>
      <c r="B118" t="inlineStr">
        <is>
          <t>Congers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135.856</v>
      </c>
      <c r="F118" t="n">
        <v>129.986</v>
      </c>
      <c r="G118" t="n">
        <v>120.761</v>
      </c>
      <c r="H118" t="n">
        <v>113.213</v>
      </c>
      <c r="I118" t="n">
        <v>114.052</v>
      </c>
      <c r="J118" t="n">
        <v>122.438</v>
      </c>
      <c r="K118" t="n">
        <v>123.277</v>
      </c>
      <c r="L118" t="n">
        <v>127.47</v>
      </c>
      <c r="M118" t="n">
        <v>144.242</v>
      </c>
      <c r="N118" t="n">
        <v>155.983</v>
      </c>
      <c r="O118" t="n">
        <v>163.531</v>
      </c>
      <c r="P118" t="n">
        <v>168.562</v>
      </c>
      <c r="Q118" t="n">
        <v>188.689</v>
      </c>
      <c r="R118" t="n">
        <v>201.268</v>
      </c>
      <c r="S118" t="n">
        <v>229.781</v>
      </c>
      <c r="T118" t="n">
        <v>251.551</v>
      </c>
      <c r="U118" t="n">
        <v>292.091</v>
      </c>
      <c r="V118" t="n">
        <v>345.781</v>
      </c>
      <c r="W118" t="n">
        <v>390.42</v>
      </c>
      <c r="X118" t="n">
        <v>380.7</v>
      </c>
      <c r="Y118" t="n">
        <v>708.641</v>
      </c>
      <c r="Z118" t="n">
        <v>744.2569999999999</v>
      </c>
      <c r="AA118" t="n">
        <v>991.502</v>
      </c>
      <c r="AB118" t="n">
        <v>1158.773</v>
      </c>
      <c r="AC118" t="n">
        <v>1302.766</v>
      </c>
      <c r="AD118" t="n">
        <v>1453.028</v>
      </c>
      <c r="AE118" t="n">
        <v>2015.212</v>
      </c>
      <c r="AF118" t="n">
        <v>2382.23</v>
      </c>
      <c r="AG118" t="n">
        <v>2664.627</v>
      </c>
      <c r="AH118" t="n">
        <v>2587.053</v>
      </c>
      <c r="AI118" t="n">
        <v>20.001</v>
      </c>
      <c r="AJ118" t="n">
        <v>24.721</v>
      </c>
      <c r="AK118" t="n">
        <v>20.528</v>
      </c>
      <c r="AL118" t="n">
        <v>20.684</v>
      </c>
      <c r="AM118" t="n">
        <v>17.951</v>
      </c>
      <c r="AN118" t="n">
        <v>1142.713</v>
      </c>
      <c r="AO118" t="n">
        <v>853.8339999999999</v>
      </c>
      <c r="AP118" t="n">
        <v>930.1319999999999</v>
      </c>
      <c r="AQ118" t="n">
        <v>1119.248</v>
      </c>
      <c r="AR118" t="n">
        <v>1110.674</v>
      </c>
      <c r="AS118" t="n">
        <v>289.468</v>
      </c>
      <c r="AT118" t="n">
        <v>310.68</v>
      </c>
      <c r="AU118" t="n">
        <v>315.773</v>
      </c>
      <c r="AV118" t="n">
        <v>331.425</v>
      </c>
      <c r="AW118" t="n">
        <v>308.569</v>
      </c>
      <c r="AX118" t="n">
        <v>192.234</v>
      </c>
      <c r="AY118" t="n">
        <v>197.855</v>
      </c>
      <c r="AZ118" t="n">
        <v>218.633</v>
      </c>
      <c r="BA118" t="n">
        <v>206.27</v>
      </c>
      <c r="BB118" t="n">
        <v>248.538</v>
      </c>
      <c r="BC118" t="n">
        <v>166.894</v>
      </c>
      <c r="BD118" t="n">
        <v>163.634</v>
      </c>
      <c r="BE118" t="n">
        <v>156.086</v>
      </c>
      <c r="BF118" t="n">
        <v>156.18</v>
      </c>
      <c r="BG118" t="n">
        <v>156.336</v>
      </c>
      <c r="BH118" t="n">
        <v>59.542</v>
      </c>
      <c r="BI118" t="n">
        <v>65.41200000000001</v>
      </c>
      <c r="BJ118" t="n">
        <v>62.896</v>
      </c>
      <c r="BK118" t="n">
        <v>73.798</v>
      </c>
      <c r="BL118" t="n">
        <v>526.9299999999999</v>
      </c>
      <c r="BM118" t="n">
        <v>512.175</v>
      </c>
      <c r="BN118" t="n">
        <v>497.804</v>
      </c>
      <c r="BO118" t="n">
        <v>560.294</v>
      </c>
      <c r="BP118" t="n">
        <v>582.551</v>
      </c>
      <c r="BQ118" t="n">
        <v>533.85</v>
      </c>
      <c r="BR118" t="n">
        <v>549.751</v>
      </c>
      <c r="BS118" t="n">
        <v>569.2910000000001</v>
      </c>
      <c r="BT118" t="n">
        <v>527.869</v>
      </c>
      <c r="BU118" t="n">
        <v>499.972</v>
      </c>
      <c r="BV118" t="n">
        <v>468.557</v>
      </c>
    </row>
    <row r="119">
      <c r="A119" t="inlineStr">
        <is>
          <t>Scomberomorus commerson</t>
        </is>
      </c>
      <c r="B119" t="inlineStr">
        <is>
          <t>Narrow-barred Spanish mackerel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0.015</v>
      </c>
      <c r="F119" t="n">
        <v>0.017</v>
      </c>
      <c r="G119" t="n">
        <v>0.019</v>
      </c>
      <c r="H119" t="n">
        <v>0.019</v>
      </c>
      <c r="I119" t="n">
        <v>0.021</v>
      </c>
      <c r="J119" t="n">
        <v>0.021</v>
      </c>
      <c r="K119" t="n">
        <v>0.022</v>
      </c>
      <c r="L119" t="n">
        <v>0.021</v>
      </c>
      <c r="M119" t="n">
        <v>0.022</v>
      </c>
      <c r="N119" t="n">
        <v>0.021</v>
      </c>
      <c r="O119" t="n">
        <v>0.021</v>
      </c>
      <c r="P119" t="n">
        <v>0.025</v>
      </c>
      <c r="Q119" t="n">
        <v>0.024</v>
      </c>
      <c r="R119" t="n">
        <v>0.022</v>
      </c>
      <c r="S119" t="n">
        <v>0.021</v>
      </c>
      <c r="T119" t="n">
        <v>0.021</v>
      </c>
      <c r="U119" t="n">
        <v>0.02</v>
      </c>
      <c r="V119" t="n">
        <v>0.019</v>
      </c>
      <c r="W119" t="n">
        <v>0.02</v>
      </c>
      <c r="X119" t="n">
        <v>0.022</v>
      </c>
      <c r="Y119" t="n">
        <v>101.735</v>
      </c>
      <c r="Z119" t="n">
        <v>374.763</v>
      </c>
      <c r="AA119" t="n">
        <v>240.412</v>
      </c>
      <c r="AB119" t="n">
        <v>67.60299999999999</v>
      </c>
      <c r="AC119" t="n">
        <v>26.529</v>
      </c>
      <c r="AD119" t="n">
        <v>3.659</v>
      </c>
      <c r="AE119" t="n">
        <v>504.547</v>
      </c>
      <c r="AF119" t="n">
        <v>185.755</v>
      </c>
      <c r="AG119" t="n">
        <v>115.15</v>
      </c>
      <c r="AH119" t="n">
        <v>105.348</v>
      </c>
      <c r="AI119" t="n">
        <v>366.895</v>
      </c>
      <c r="AJ119" t="n">
        <v>332.03</v>
      </c>
      <c r="AK119" t="n">
        <v>1243.626</v>
      </c>
      <c r="AL119" t="n">
        <v>1184.585</v>
      </c>
      <c r="AM119" t="n">
        <v>585.237</v>
      </c>
      <c r="AN119" t="n">
        <v>731.958</v>
      </c>
      <c r="AO119" t="n">
        <v>1315.877</v>
      </c>
      <c r="AP119" t="n">
        <v>1299.43</v>
      </c>
      <c r="AQ119" t="n">
        <v>593.894</v>
      </c>
      <c r="AR119" t="n">
        <v>1268.786</v>
      </c>
      <c r="AS119" t="n">
        <v>1341.432</v>
      </c>
      <c r="AT119" t="n">
        <v>130.002</v>
      </c>
      <c r="AU119" t="n">
        <v>140.757</v>
      </c>
      <c r="AV119" t="n">
        <v>116.079</v>
      </c>
      <c r="AW119" t="n">
        <v>106.233</v>
      </c>
      <c r="AX119" t="n">
        <v>112.614</v>
      </c>
      <c r="AY119" t="n">
        <v>150.698</v>
      </c>
      <c r="AZ119" t="n">
        <v>153.916</v>
      </c>
      <c r="BA119" t="n">
        <v>164.025</v>
      </c>
      <c r="BB119" t="n">
        <v>525.7569999999999</v>
      </c>
      <c r="BC119" t="n">
        <v>581.669</v>
      </c>
      <c r="BD119" t="n">
        <v>326.72</v>
      </c>
      <c r="BE119" t="n">
        <v>294.534</v>
      </c>
      <c r="BF119" t="n">
        <v>358.893</v>
      </c>
      <c r="BG119" t="n">
        <v>275.486</v>
      </c>
      <c r="BH119" t="n">
        <v>302.678</v>
      </c>
      <c r="BI119" t="n">
        <v>352.944</v>
      </c>
      <c r="BJ119" t="n">
        <v>312.124</v>
      </c>
      <c r="BK119" t="n">
        <v>345.393</v>
      </c>
      <c r="BL119" t="n">
        <v>3059.788</v>
      </c>
      <c r="BM119" t="n">
        <v>2704.491</v>
      </c>
      <c r="BN119" t="n">
        <v>2233.032</v>
      </c>
      <c r="BO119" t="n">
        <v>2242.334</v>
      </c>
      <c r="BP119" t="n">
        <v>1630.623</v>
      </c>
      <c r="BQ119" t="n">
        <v>4.624</v>
      </c>
      <c r="BR119" t="n">
        <v>4.066</v>
      </c>
      <c r="BS119" t="n">
        <v>11.475</v>
      </c>
      <c r="BT119" t="n">
        <v>11.609</v>
      </c>
      <c r="BU119" t="n">
        <v>2495.346</v>
      </c>
      <c r="BV119" t="n">
        <v>2955.901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68.398</v>
      </c>
      <c r="F120" t="n">
        <v>87.574</v>
      </c>
      <c r="G120" t="n">
        <v>119.583</v>
      </c>
      <c r="H120" t="n">
        <v>130.412</v>
      </c>
      <c r="I120" t="n">
        <v>137.108</v>
      </c>
      <c r="J120" t="n">
        <v>140.73</v>
      </c>
      <c r="K120" t="n">
        <v>97.15900000000001</v>
      </c>
      <c r="L120" t="n">
        <v>108.067</v>
      </c>
      <c r="M120" t="n">
        <v>126.887</v>
      </c>
      <c r="N120" t="n">
        <v>127.186</v>
      </c>
      <c r="O120" t="n">
        <v>143.389</v>
      </c>
      <c r="P120" t="n">
        <v>186.379</v>
      </c>
      <c r="Q120" t="n">
        <v>194.587</v>
      </c>
      <c r="R120" t="n">
        <v>216.723</v>
      </c>
      <c r="S120" t="n">
        <v>229.273</v>
      </c>
      <c r="T120" t="n">
        <v>256.534</v>
      </c>
      <c r="U120" t="n">
        <v>366.455</v>
      </c>
      <c r="V120" t="n">
        <v>403.137</v>
      </c>
      <c r="W120" t="n">
        <v>429.291</v>
      </c>
      <c r="X120" t="n">
        <v>419.178</v>
      </c>
      <c r="Y120" t="n">
        <v>882.833</v>
      </c>
      <c r="Z120" t="n">
        <v>668.751</v>
      </c>
      <c r="AA120" t="n">
        <v>1051.692</v>
      </c>
      <c r="AB120" t="n">
        <v>1121.386</v>
      </c>
      <c r="AC120" t="n">
        <v>1024.494</v>
      </c>
      <c r="AD120" t="n">
        <v>1133.114</v>
      </c>
      <c r="AE120" t="n">
        <v>620.773</v>
      </c>
      <c r="AF120" t="n">
        <v>636.665</v>
      </c>
      <c r="AG120" t="n">
        <v>729.481</v>
      </c>
      <c r="AH120" t="n">
        <v>732.301</v>
      </c>
      <c r="AI120" t="n">
        <v>288.129</v>
      </c>
      <c r="AJ120" t="n">
        <v>329.046</v>
      </c>
      <c r="AK120" t="n">
        <v>367.354</v>
      </c>
      <c r="AL120" t="n">
        <v>399.015</v>
      </c>
      <c r="AM120" t="n">
        <v>315.3</v>
      </c>
      <c r="AN120" t="n">
        <v>2815.968</v>
      </c>
      <c r="AO120" t="n">
        <v>2258.749</v>
      </c>
      <c r="AP120" t="n">
        <v>2256.828</v>
      </c>
      <c r="AQ120" t="n">
        <v>2639.19</v>
      </c>
      <c r="AR120" t="n">
        <v>2529.554</v>
      </c>
      <c r="AS120" t="n">
        <v>466.108</v>
      </c>
      <c r="AT120" t="n">
        <v>377.637</v>
      </c>
      <c r="AU120" t="n">
        <v>354.491</v>
      </c>
      <c r="AV120" t="n">
        <v>354.714</v>
      </c>
      <c r="AW120" t="n">
        <v>342.533</v>
      </c>
      <c r="AX120" t="n">
        <v>546.454</v>
      </c>
      <c r="AY120" t="n">
        <v>597.968</v>
      </c>
      <c r="AZ120" t="n">
        <v>628.095</v>
      </c>
      <c r="BA120" t="n">
        <v>608.062</v>
      </c>
      <c r="BB120" t="n">
        <v>689.336</v>
      </c>
      <c r="BC120" t="n">
        <v>280.137</v>
      </c>
      <c r="BD120" t="n">
        <v>304.127</v>
      </c>
      <c r="BE120" t="n">
        <v>247.067</v>
      </c>
      <c r="BF120" t="n">
        <v>262.367</v>
      </c>
      <c r="BG120" t="n">
        <v>258.007</v>
      </c>
      <c r="BH120" t="n">
        <v>4.821</v>
      </c>
      <c r="BI120" t="n">
        <v>6.325</v>
      </c>
      <c r="BJ120" t="n">
        <v>4.44</v>
      </c>
      <c r="BK120" t="n">
        <v>5.441</v>
      </c>
      <c r="BL120" t="n">
        <v>4.754</v>
      </c>
      <c r="BM120" t="n">
        <v>5.045</v>
      </c>
      <c r="BN120" t="n">
        <v>5.179</v>
      </c>
      <c r="BO120" t="n">
        <v>5.536</v>
      </c>
      <c r="BP120" t="n">
        <v>5.824</v>
      </c>
      <c r="BQ120" t="n">
        <v>5.306</v>
      </c>
      <c r="BR120" t="n">
        <v>5.434</v>
      </c>
      <c r="BS120" t="n">
        <v>5.594</v>
      </c>
      <c r="BT120" t="n">
        <v>5.264</v>
      </c>
      <c r="BU120" t="n">
        <v>5.321</v>
      </c>
      <c r="BV120" t="n">
        <v>4.932</v>
      </c>
    </row>
    <row r="121">
      <c r="A121" t="inlineStr">
        <is>
          <t>Sphyraena obtusata</t>
        </is>
      </c>
      <c r="B121" t="inlineStr">
        <is>
          <t>Obtuse barracuda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994.04</v>
      </c>
      <c r="AY121" t="n">
        <v>990.972</v>
      </c>
      <c r="AZ121" t="n">
        <v>958.848</v>
      </c>
      <c r="BA121" t="n">
        <v>980.518</v>
      </c>
      <c r="BB121" t="n">
        <v>1048.92</v>
      </c>
      <c r="BC121" t="n">
        <v>905.158</v>
      </c>
      <c r="BD121" t="n">
        <v>751.05</v>
      </c>
      <c r="BE121" t="n">
        <v>726.345</v>
      </c>
      <c r="BF121" t="n">
        <v>690.205</v>
      </c>
      <c r="BG121" t="n">
        <v>591.408</v>
      </c>
      <c r="BH121" t="n">
        <v>624.053</v>
      </c>
      <c r="BI121" t="n">
        <v>673.146</v>
      </c>
      <c r="BJ121" t="n">
        <v>781.3200000000001</v>
      </c>
      <c r="BK121" t="n">
        <v>885.7329999999999</v>
      </c>
      <c r="BL121" t="n">
        <v>1137.474</v>
      </c>
      <c r="BM121" t="n">
        <v>1320.933</v>
      </c>
      <c r="BN121" t="n">
        <v>1945.583</v>
      </c>
      <c r="BO121" t="n">
        <v>1890.215</v>
      </c>
      <c r="BP121" t="n">
        <v>1753.566</v>
      </c>
      <c r="BQ121" t="n">
        <v>1794.019</v>
      </c>
      <c r="BR121" t="n">
        <v>1926.625</v>
      </c>
      <c r="BS121" t="n">
        <v>1930.671</v>
      </c>
      <c r="BT121" t="n">
        <v>1937.691</v>
      </c>
      <c r="BU121" t="n">
        <v>2338.818</v>
      </c>
      <c r="BV121" t="n">
        <v>2083.059</v>
      </c>
    </row>
    <row r="122">
      <c r="A122" t="inlineStr">
        <is>
          <t>Scyris indica</t>
        </is>
      </c>
      <c r="B122" t="inlineStr">
        <is>
          <t>Indian threadfish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62.281</v>
      </c>
      <c r="F122" t="n">
        <v>58.914</v>
      </c>
      <c r="G122" t="n">
        <v>54.706</v>
      </c>
      <c r="H122" t="n">
        <v>51.339</v>
      </c>
      <c r="I122" t="n">
        <v>52.181</v>
      </c>
      <c r="J122" t="n">
        <v>56.389</v>
      </c>
      <c r="K122" t="n">
        <v>56.389</v>
      </c>
      <c r="L122" t="n">
        <v>58.072</v>
      </c>
      <c r="M122" t="n">
        <v>66.489</v>
      </c>
      <c r="N122" t="n">
        <v>71.538</v>
      </c>
      <c r="O122" t="n">
        <v>74.905</v>
      </c>
      <c r="P122" t="n">
        <v>77.43000000000001</v>
      </c>
      <c r="Q122" t="n">
        <v>85.846</v>
      </c>
      <c r="R122" t="n">
        <v>90.896</v>
      </c>
      <c r="S122" t="n">
        <v>104.362</v>
      </c>
      <c r="T122" t="n">
        <v>90.896</v>
      </c>
      <c r="U122" t="n">
        <v>90.054</v>
      </c>
      <c r="V122" t="n">
        <v>91.738</v>
      </c>
      <c r="W122" t="n">
        <v>90.896</v>
      </c>
      <c r="X122" t="n">
        <v>79.113</v>
      </c>
      <c r="Y122" t="n">
        <v>79.113</v>
      </c>
      <c r="Z122" t="n">
        <v>78.271</v>
      </c>
      <c r="AA122" t="n">
        <v>73.22199999999999</v>
      </c>
      <c r="AB122" t="n">
        <v>72.38</v>
      </c>
      <c r="AC122" t="n">
        <v>72.38</v>
      </c>
      <c r="AD122" t="n">
        <v>62.281</v>
      </c>
      <c r="AE122" t="n">
        <v>232.29</v>
      </c>
      <c r="AF122" t="n">
        <v>271.617</v>
      </c>
      <c r="AG122" t="n">
        <v>329.918</v>
      </c>
      <c r="AH122" t="n">
        <v>289.52</v>
      </c>
      <c r="AI122" t="n">
        <v>1215.312</v>
      </c>
      <c r="AJ122" t="n">
        <v>1684.099</v>
      </c>
      <c r="AK122" t="n">
        <v>1050.353</v>
      </c>
      <c r="AL122" t="n">
        <v>1216.153</v>
      </c>
      <c r="AM122" t="n">
        <v>1079.81</v>
      </c>
      <c r="AN122" t="n">
        <v>106.887</v>
      </c>
      <c r="AO122" t="n">
        <v>89.21299999999999</v>
      </c>
      <c r="AP122" t="n">
        <v>85.004</v>
      </c>
      <c r="AQ122" t="n">
        <v>75.747</v>
      </c>
      <c r="AR122" t="n">
        <v>71.538</v>
      </c>
      <c r="AS122" t="n">
        <v>516.76</v>
      </c>
      <c r="AT122" t="n">
        <v>584.932</v>
      </c>
      <c r="AU122" t="n">
        <v>606.814</v>
      </c>
      <c r="AV122" t="n">
        <v>635.4299999999999</v>
      </c>
      <c r="AW122" t="n">
        <v>621.9640000000001</v>
      </c>
      <c r="AX122" t="n">
        <v>622.8049999999999</v>
      </c>
      <c r="AY122" t="n">
        <v>651.421</v>
      </c>
      <c r="AZ122" t="n">
        <v>826.479</v>
      </c>
      <c r="BA122" t="n">
        <v>617.755</v>
      </c>
      <c r="BB122" t="n">
        <v>817.221</v>
      </c>
      <c r="BC122" t="n">
        <v>1064.66</v>
      </c>
      <c r="BD122" t="n">
        <v>1111.792</v>
      </c>
      <c r="BE122" t="n">
        <v>922.425</v>
      </c>
      <c r="BF122" t="n">
        <v>1036.045</v>
      </c>
      <c r="BG122" t="n">
        <v>1026.787</v>
      </c>
      <c r="BH122" t="n">
        <v>490.67</v>
      </c>
      <c r="BI122" t="n">
        <v>538.6420000000001</v>
      </c>
      <c r="BJ122" t="n">
        <v>518.443</v>
      </c>
      <c r="BK122" t="n">
        <v>608.498</v>
      </c>
      <c r="BL122" t="n">
        <v>849.203</v>
      </c>
      <c r="BM122" t="n">
        <v>788.606</v>
      </c>
      <c r="BN122" t="n">
        <v>340.137</v>
      </c>
      <c r="BO122" t="n">
        <v>382.663</v>
      </c>
      <c r="BP122" t="n">
        <v>397.509</v>
      </c>
      <c r="BQ122" t="n">
        <v>363.801</v>
      </c>
      <c r="BR122" t="n">
        <v>374.922</v>
      </c>
      <c r="BS122" t="n">
        <v>387.368</v>
      </c>
      <c r="BT122" t="n">
        <v>358.509</v>
      </c>
      <c r="BU122" t="n">
        <v>343.805</v>
      </c>
      <c r="BV122" t="n">
        <v>321.85</v>
      </c>
    </row>
    <row r="123">
      <c r="A123" t="inlineStr">
        <is>
          <t>Anodontostoma chacunda</t>
        </is>
      </c>
      <c r="B123" t="inlineStr">
        <is>
          <t>Chacunda gizzard shad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128.357</v>
      </c>
      <c r="F123" t="n">
        <v>123.357</v>
      </c>
      <c r="G123" t="n">
        <v>113.355</v>
      </c>
      <c r="H123" t="n">
        <v>106.687</v>
      </c>
      <c r="I123" t="n">
        <v>107.52</v>
      </c>
      <c r="J123" t="n">
        <v>115.022</v>
      </c>
      <c r="K123" t="n">
        <v>118.356</v>
      </c>
      <c r="L123" t="n">
        <v>120.023</v>
      </c>
      <c r="M123" t="n">
        <v>136.692</v>
      </c>
      <c r="N123" t="n">
        <v>148.361</v>
      </c>
      <c r="O123" t="n">
        <v>155.029</v>
      </c>
      <c r="P123" t="n">
        <v>159.197</v>
      </c>
      <c r="Q123" t="n">
        <v>178.367</v>
      </c>
      <c r="R123" t="n">
        <v>190.869</v>
      </c>
      <c r="S123" t="n">
        <v>218.374</v>
      </c>
      <c r="T123" t="n">
        <v>228.977</v>
      </c>
      <c r="U123" t="n">
        <v>260.109</v>
      </c>
      <c r="V123" t="n">
        <v>299.677</v>
      </c>
      <c r="W123" t="n">
        <v>335.575</v>
      </c>
      <c r="X123" t="n">
        <v>322.897</v>
      </c>
      <c r="Y123" t="n">
        <v>571.766</v>
      </c>
      <c r="Z123" t="n">
        <v>598.777</v>
      </c>
      <c r="AA123" t="n">
        <v>784.45</v>
      </c>
      <c r="AB123" t="n">
        <v>912.711</v>
      </c>
      <c r="AC123" t="n">
        <v>1091.383</v>
      </c>
      <c r="AD123" t="n">
        <v>1211.931</v>
      </c>
      <c r="AE123" t="n">
        <v>968.215</v>
      </c>
      <c r="AF123" t="n">
        <v>1153.524</v>
      </c>
      <c r="AG123" t="n">
        <v>1363.905</v>
      </c>
      <c r="AH123" t="n">
        <v>1273.93</v>
      </c>
      <c r="AI123" t="n">
        <v>359.164</v>
      </c>
      <c r="AJ123" t="n">
        <v>419.837</v>
      </c>
      <c r="AK123" t="n">
        <v>381.86</v>
      </c>
      <c r="AL123" t="n">
        <v>369.528</v>
      </c>
      <c r="AM123" t="n">
        <v>290.806</v>
      </c>
      <c r="AN123" t="n">
        <v>2266.628</v>
      </c>
      <c r="AO123" t="n">
        <v>1782.992</v>
      </c>
      <c r="AP123" t="n">
        <v>1827.521</v>
      </c>
      <c r="AQ123" t="n">
        <v>1961.148</v>
      </c>
      <c r="AR123" t="n">
        <v>1900.923</v>
      </c>
      <c r="AS123" t="n">
        <v>14.063</v>
      </c>
      <c r="AT123" t="n">
        <v>89.194</v>
      </c>
      <c r="AU123" t="n">
        <v>92.214</v>
      </c>
      <c r="AV123" t="n">
        <v>96.432</v>
      </c>
      <c r="AW123" t="n">
        <v>89.50700000000001</v>
      </c>
      <c r="AX123" t="n">
        <v>11.506</v>
      </c>
      <c r="AY123" t="n">
        <v>12.182</v>
      </c>
      <c r="AZ123" t="n">
        <v>12.182</v>
      </c>
      <c r="BA123" t="n">
        <v>12.182</v>
      </c>
      <c r="BB123" t="n">
        <v>14.89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343.918</v>
      </c>
      <c r="BI123" t="n">
        <v>418.932</v>
      </c>
      <c r="BJ123" t="n">
        <v>396.428</v>
      </c>
      <c r="BK123" t="n">
        <v>444.77</v>
      </c>
      <c r="BL123" t="n">
        <v>79.282</v>
      </c>
      <c r="BM123" t="n">
        <v>74.28100000000001</v>
      </c>
      <c r="BN123" t="n">
        <v>72.099</v>
      </c>
      <c r="BO123" t="n">
        <v>81.14100000000001</v>
      </c>
      <c r="BP123" t="n">
        <v>84.34399999999999</v>
      </c>
      <c r="BQ123" t="n">
        <v>77.267</v>
      </c>
      <c r="BR123" t="n">
        <v>79.584</v>
      </c>
      <c r="BS123" t="n">
        <v>82.36499999999999</v>
      </c>
      <c r="BT123" t="n">
        <v>76.336</v>
      </c>
      <c r="BU123" t="n">
        <v>72.718</v>
      </c>
      <c r="BV123" t="n">
        <v>68.13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380.036</v>
      </c>
      <c r="AA124" t="n">
        <v>334.385</v>
      </c>
      <c r="AB124" t="n">
        <v>553.284</v>
      </c>
      <c r="AC124" t="n">
        <v>387.093</v>
      </c>
      <c r="AD124" t="n">
        <v>52.152</v>
      </c>
      <c r="AE124" t="n">
        <v>581.53</v>
      </c>
      <c r="AF124" t="n">
        <v>588.936</v>
      </c>
      <c r="AG124" t="n">
        <v>658.967</v>
      </c>
      <c r="AH124" t="n">
        <v>68.20399999999999</v>
      </c>
      <c r="AI124" t="n">
        <v>6.526</v>
      </c>
      <c r="AJ124" t="n">
        <v>45.173</v>
      </c>
      <c r="AK124" t="n">
        <v>1161.512</v>
      </c>
      <c r="AL124" t="n">
        <v>435.341</v>
      </c>
      <c r="AM124" t="n">
        <v>578.939</v>
      </c>
      <c r="AN124" t="n">
        <v>1517.629</v>
      </c>
      <c r="AO124" t="n">
        <v>705.026</v>
      </c>
      <c r="AP124" t="n">
        <v>6518.882</v>
      </c>
      <c r="AQ124" t="n">
        <v>1121.295</v>
      </c>
      <c r="AR124" t="n">
        <v>792.35</v>
      </c>
      <c r="AS124" t="n">
        <v>573.1660000000001</v>
      </c>
      <c r="AT124" t="n">
        <v>20.482</v>
      </c>
      <c r="AU124" t="n">
        <v>27.824</v>
      </c>
      <c r="AV124" t="n">
        <v>29.287</v>
      </c>
      <c r="AW124" t="n">
        <v>38.389</v>
      </c>
      <c r="AX124" t="n">
        <v>52.605</v>
      </c>
      <c r="AY124" t="n">
        <v>53.167</v>
      </c>
      <c r="AZ124" t="n">
        <v>48.809</v>
      </c>
      <c r="BA124" t="n">
        <v>47.716</v>
      </c>
      <c r="BB124" t="n">
        <v>33.506</v>
      </c>
      <c r="BC124" t="n">
        <v>49.902</v>
      </c>
      <c r="BD124" t="n">
        <v>12.491</v>
      </c>
      <c r="BE124" t="n">
        <v>12.193</v>
      </c>
      <c r="BF124" t="n">
        <v>2.915</v>
      </c>
      <c r="BG124" t="n">
        <v>2.957</v>
      </c>
      <c r="BH124" t="n">
        <v>81.34099999999999</v>
      </c>
      <c r="BI124" t="n">
        <v>96.099</v>
      </c>
      <c r="BJ124" t="n">
        <v>86.389</v>
      </c>
      <c r="BK124" t="n">
        <v>101.478</v>
      </c>
      <c r="BL124" t="n">
        <v>828.801</v>
      </c>
      <c r="BM124" t="n">
        <v>860.989</v>
      </c>
      <c r="BN124" t="n">
        <v>837.354</v>
      </c>
      <c r="BO124" t="n">
        <v>942.513</v>
      </c>
      <c r="BP124" t="n">
        <v>980.054</v>
      </c>
      <c r="BQ124" t="n">
        <v>898.2670000000001</v>
      </c>
      <c r="BR124" t="n">
        <v>924.976</v>
      </c>
      <c r="BS124" t="n">
        <v>958.326</v>
      </c>
      <c r="BT124" t="n">
        <v>888.6609999999999</v>
      </c>
      <c r="BU124" t="n">
        <v>838.105</v>
      </c>
      <c r="BV124" t="n">
        <v>785.553</v>
      </c>
    </row>
    <row r="125">
      <c r="A125" t="inlineStr">
        <is>
          <t>Malacostraca</t>
        </is>
      </c>
      <c r="B125" t="inlineStr">
        <is>
          <t>Lobsters, crabs, shrimps, krill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3333.717</v>
      </c>
      <c r="AO125" t="n">
        <v>2344.118</v>
      </c>
      <c r="AP125" t="n">
        <v>2748.036</v>
      </c>
      <c r="AQ125" t="n">
        <v>3636.327</v>
      </c>
      <c r="AR125" t="n">
        <v>3671.187</v>
      </c>
      <c r="AS125" t="n">
        <v>83.389</v>
      </c>
      <c r="AT125" t="n">
        <v>88.17400000000001</v>
      </c>
      <c r="AU125" t="n">
        <v>89.541</v>
      </c>
      <c r="AV125" t="n">
        <v>92.959</v>
      </c>
      <c r="AW125" t="n">
        <v>86.124</v>
      </c>
      <c r="AX125" t="n">
        <v>1713.585</v>
      </c>
      <c r="AY125" t="n">
        <v>1779.886</v>
      </c>
      <c r="AZ125" t="n">
        <v>1872.845</v>
      </c>
      <c r="BA125" t="n">
        <v>1894.718</v>
      </c>
      <c r="BB125" t="n">
        <v>2220.757</v>
      </c>
      <c r="BC125" t="n">
        <v>0.6840000000000001</v>
      </c>
      <c r="BD125" t="n">
        <v>0.6840000000000001</v>
      </c>
      <c r="BE125" t="n">
        <v>0.6840000000000001</v>
      </c>
      <c r="BF125" t="n">
        <v>0.6840000000000001</v>
      </c>
      <c r="BG125" t="n">
        <v>0.6840000000000001</v>
      </c>
      <c r="BH125" t="n">
        <v>0</v>
      </c>
      <c r="BI125" t="n">
        <v>0</v>
      </c>
      <c r="BJ125" t="n">
        <v>0</v>
      </c>
      <c r="BK125" t="n">
        <v>0</v>
      </c>
      <c r="BL125" t="n">
        <v>7.519</v>
      </c>
      <c r="BM125" t="n">
        <v>8.202</v>
      </c>
      <c r="BN125" t="n">
        <v>7.976</v>
      </c>
      <c r="BO125" t="n">
        <v>8.978</v>
      </c>
      <c r="BP125" t="n">
        <v>9.336</v>
      </c>
      <c r="BQ125" t="n">
        <v>8.555999999999999</v>
      </c>
      <c r="BR125" t="n">
        <v>8.81</v>
      </c>
      <c r="BS125" t="n">
        <v>9.125999999999999</v>
      </c>
      <c r="BT125" t="n">
        <v>8.462999999999999</v>
      </c>
      <c r="BU125" t="n">
        <v>7.977</v>
      </c>
      <c r="BV125" t="n">
        <v>7.477</v>
      </c>
    </row>
    <row r="126">
      <c r="A126" t="inlineStr">
        <is>
          <t>Lutjanus johnii</t>
        </is>
      </c>
      <c r="B126" t="inlineStr">
        <is>
          <t>John's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196.657</v>
      </c>
      <c r="F126" t="n">
        <v>189.221</v>
      </c>
      <c r="G126" t="n">
        <v>173.521</v>
      </c>
      <c r="H126" t="n">
        <v>162.779</v>
      </c>
      <c r="I126" t="n">
        <v>165.258</v>
      </c>
      <c r="J126" t="n">
        <v>176.826</v>
      </c>
      <c r="K126" t="n">
        <v>179.305</v>
      </c>
      <c r="L126" t="n">
        <v>184.263</v>
      </c>
      <c r="M126" t="n">
        <v>209.052</v>
      </c>
      <c r="N126" t="n">
        <v>227.23</v>
      </c>
      <c r="O126" t="n">
        <v>237.145</v>
      </c>
      <c r="P126" t="n">
        <v>242.929</v>
      </c>
      <c r="Q126" t="n">
        <v>272.676</v>
      </c>
      <c r="R126" t="n">
        <v>291.681</v>
      </c>
      <c r="S126" t="n">
        <v>332.995</v>
      </c>
      <c r="T126" t="n">
        <v>298.003</v>
      </c>
      <c r="U126" t="n">
        <v>304.374</v>
      </c>
      <c r="V126" t="n">
        <v>318.959</v>
      </c>
      <c r="W126" t="n">
        <v>324.503</v>
      </c>
      <c r="X126" t="n">
        <v>291.404</v>
      </c>
      <c r="Y126" t="n">
        <v>349.901</v>
      </c>
      <c r="Z126" t="n">
        <v>352.164</v>
      </c>
      <c r="AA126" t="n">
        <v>382.974</v>
      </c>
      <c r="AB126" t="n">
        <v>420.292</v>
      </c>
      <c r="AC126" t="n">
        <v>461.302</v>
      </c>
      <c r="AD126" t="n">
        <v>453.516</v>
      </c>
      <c r="AE126" t="n">
        <v>1975.71</v>
      </c>
      <c r="AF126" t="n">
        <v>2320.162</v>
      </c>
      <c r="AG126" t="n">
        <v>2799.642</v>
      </c>
      <c r="AH126" t="n">
        <v>2490.225</v>
      </c>
      <c r="AI126" t="n">
        <v>406.133</v>
      </c>
      <c r="AJ126" t="n">
        <v>555.538</v>
      </c>
      <c r="AK126" t="n">
        <v>358.016</v>
      </c>
      <c r="AL126" t="n">
        <v>407.709</v>
      </c>
      <c r="AM126" t="n">
        <v>358.439</v>
      </c>
      <c r="AN126" t="n">
        <v>676.127</v>
      </c>
      <c r="AO126" t="n">
        <v>546.0309999999999</v>
      </c>
      <c r="AP126" t="n">
        <v>541.0170000000001</v>
      </c>
      <c r="AQ126" t="n">
        <v>543.902</v>
      </c>
      <c r="AR126" t="n">
        <v>520.689</v>
      </c>
      <c r="AS126" t="n">
        <v>47.178</v>
      </c>
      <c r="AT126" t="n">
        <v>50.406</v>
      </c>
      <c r="AU126" t="n">
        <v>52.02</v>
      </c>
      <c r="AV126" t="n">
        <v>54.422</v>
      </c>
      <c r="AW126" t="n">
        <v>50.444</v>
      </c>
      <c r="AX126" t="n">
        <v>59.285</v>
      </c>
      <c r="AY126" t="n">
        <v>61.649</v>
      </c>
      <c r="AZ126" t="n">
        <v>67.279</v>
      </c>
      <c r="BA126" t="n">
        <v>65.58799999999999</v>
      </c>
      <c r="BB126" t="n">
        <v>78.31</v>
      </c>
      <c r="BC126" t="n">
        <v>41.278</v>
      </c>
      <c r="BD126" t="n">
        <v>40.49</v>
      </c>
      <c r="BE126" t="n">
        <v>39.664</v>
      </c>
      <c r="BF126" t="n">
        <v>39.703</v>
      </c>
      <c r="BG126" t="n">
        <v>38.088</v>
      </c>
      <c r="BH126" t="n">
        <v>22.31</v>
      </c>
      <c r="BI126" t="n">
        <v>26.441</v>
      </c>
      <c r="BJ126" t="n">
        <v>24.789</v>
      </c>
      <c r="BK126" t="n">
        <v>28.92</v>
      </c>
      <c r="BL126" t="n">
        <v>141.357</v>
      </c>
      <c r="BM126" t="n">
        <v>137.898</v>
      </c>
      <c r="BN126" t="n">
        <v>134.029</v>
      </c>
      <c r="BO126" t="n">
        <v>150.854</v>
      </c>
      <c r="BP126" t="n">
        <v>156.846</v>
      </c>
      <c r="BQ126" t="n">
        <v>143.734</v>
      </c>
      <c r="BR126" t="n">
        <v>148.015</v>
      </c>
      <c r="BS126" t="n">
        <v>153.276</v>
      </c>
      <c r="BT126" t="n">
        <v>142.124</v>
      </c>
      <c r="BU126" t="n">
        <v>134.605</v>
      </c>
      <c r="BV126" t="n">
        <v>126.147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n">
        <v>39.943</v>
      </c>
      <c r="F127" t="n">
        <v>39.943</v>
      </c>
      <c r="G127" t="n">
        <v>52.425</v>
      </c>
      <c r="H127" t="n">
        <v>46.6</v>
      </c>
      <c r="I127" t="n">
        <v>39.943</v>
      </c>
      <c r="J127" t="n">
        <v>39.943</v>
      </c>
      <c r="K127" t="n">
        <v>39.943</v>
      </c>
      <c r="L127" t="n">
        <v>38.278</v>
      </c>
      <c r="M127" t="n">
        <v>40.775</v>
      </c>
      <c r="N127" t="n">
        <v>39.943</v>
      </c>
      <c r="O127" t="n">
        <v>53.257</v>
      </c>
      <c r="P127" t="n">
        <v>65.739</v>
      </c>
      <c r="Q127" t="n">
        <v>68.235</v>
      </c>
      <c r="R127" t="n">
        <v>105.681</v>
      </c>
      <c r="S127" t="n">
        <v>99.024</v>
      </c>
      <c r="T127" t="n">
        <v>118.798</v>
      </c>
      <c r="U127" t="n">
        <v>136.908</v>
      </c>
      <c r="V127" t="n">
        <v>128.003</v>
      </c>
      <c r="W127" t="n">
        <v>136.127</v>
      </c>
      <c r="X127" t="n">
        <v>117.08</v>
      </c>
      <c r="Y127" t="n">
        <v>153.138</v>
      </c>
      <c r="Z127" t="n">
        <v>175.877</v>
      </c>
      <c r="AA127" t="n">
        <v>174.888</v>
      </c>
      <c r="AB127" t="n">
        <v>139.75</v>
      </c>
      <c r="AC127" t="n">
        <v>177.817</v>
      </c>
      <c r="AD127" t="n">
        <v>159.538</v>
      </c>
      <c r="AE127" t="n">
        <v>613.939</v>
      </c>
      <c r="AF127" t="n">
        <v>653.104</v>
      </c>
      <c r="AG127" t="n">
        <v>653.046</v>
      </c>
      <c r="AH127" t="n">
        <v>591.873</v>
      </c>
      <c r="AI127" t="n">
        <v>451.967</v>
      </c>
      <c r="AJ127" t="n">
        <v>799.452</v>
      </c>
      <c r="AK127" t="n">
        <v>747.386</v>
      </c>
      <c r="AL127" t="n">
        <v>827.804</v>
      </c>
      <c r="AM127" t="n">
        <v>753.3</v>
      </c>
      <c r="AN127" t="n">
        <v>786.366</v>
      </c>
      <c r="AO127" t="n">
        <v>124.25</v>
      </c>
      <c r="AP127" t="n">
        <v>295.791</v>
      </c>
      <c r="AQ127" t="n">
        <v>273.868</v>
      </c>
      <c r="AR127" t="n">
        <v>371.729</v>
      </c>
      <c r="AS127" t="n">
        <v>453.689</v>
      </c>
      <c r="AT127" t="n">
        <v>403.445</v>
      </c>
      <c r="AU127" t="n">
        <v>346.614</v>
      </c>
      <c r="AV127" t="n">
        <v>381.516</v>
      </c>
      <c r="AW127" t="n">
        <v>420.032</v>
      </c>
      <c r="AX127" t="n">
        <v>386.298</v>
      </c>
      <c r="AY127" t="n">
        <v>342.483</v>
      </c>
      <c r="AZ127" t="n">
        <v>314.855</v>
      </c>
      <c r="BA127" t="n">
        <v>366.519</v>
      </c>
      <c r="BB127" t="n">
        <v>405.749</v>
      </c>
      <c r="BC127" t="n">
        <v>429.128</v>
      </c>
      <c r="BD127" t="n">
        <v>438.509</v>
      </c>
      <c r="BE127" t="n">
        <v>457.611</v>
      </c>
      <c r="BF127" t="n">
        <v>440.801</v>
      </c>
      <c r="BG127" t="n">
        <v>387.863</v>
      </c>
      <c r="BH127" t="n">
        <v>426.927</v>
      </c>
      <c r="BI127" t="n">
        <v>387.246</v>
      </c>
      <c r="BJ127" t="n">
        <v>395.218</v>
      </c>
      <c r="BK127" t="n">
        <v>347.775</v>
      </c>
      <c r="BL127" t="n">
        <v>324.179</v>
      </c>
      <c r="BM127" t="n">
        <v>351.565</v>
      </c>
      <c r="BN127" t="n">
        <v>344.444</v>
      </c>
      <c r="BO127" t="n">
        <v>387.174</v>
      </c>
      <c r="BP127" t="n">
        <v>402.316</v>
      </c>
      <c r="BQ127" t="n">
        <v>370.036</v>
      </c>
      <c r="BR127" t="n">
        <v>380.65</v>
      </c>
      <c r="BS127" t="n">
        <v>394.702</v>
      </c>
      <c r="BT127" t="n">
        <v>366.99</v>
      </c>
      <c r="BU127" t="n">
        <v>348.029</v>
      </c>
      <c r="BV127" t="n">
        <v>326.113</v>
      </c>
    </row>
    <row r="128">
      <c r="A128" t="inlineStr">
        <is>
          <t>Caesionidae</t>
        </is>
      </c>
      <c r="B128" t="inlineStr">
        <is>
          <t>Fusiliers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0.236</v>
      </c>
      <c r="F128" t="n">
        <v>3.76</v>
      </c>
      <c r="G128" t="n">
        <v>15.854</v>
      </c>
      <c r="H128" t="n">
        <v>18.868</v>
      </c>
      <c r="I128" t="n">
        <v>20.136</v>
      </c>
      <c r="J128" t="n">
        <v>20.008</v>
      </c>
      <c r="K128" t="n">
        <v>8.731999999999999</v>
      </c>
      <c r="L128" t="n">
        <v>22.462</v>
      </c>
      <c r="M128" t="n">
        <v>27.29</v>
      </c>
      <c r="N128" t="n">
        <v>24.567</v>
      </c>
      <c r="O128" t="n">
        <v>45.834</v>
      </c>
      <c r="P128" t="n">
        <v>40.858</v>
      </c>
      <c r="Q128" t="n">
        <v>60.266</v>
      </c>
      <c r="R128" t="n">
        <v>69.01900000000001</v>
      </c>
      <c r="S128" t="n">
        <v>68.61799999999999</v>
      </c>
      <c r="T128" t="n">
        <v>115.204</v>
      </c>
      <c r="U128" t="n">
        <v>224.405</v>
      </c>
      <c r="V128" t="n">
        <v>222.894</v>
      </c>
      <c r="W128" t="n">
        <v>188.783</v>
      </c>
      <c r="X128" t="n">
        <v>210.689</v>
      </c>
      <c r="Y128" t="n">
        <v>464.456</v>
      </c>
      <c r="Z128" t="n">
        <v>1562.839</v>
      </c>
      <c r="AA128" t="n">
        <v>1330.572</v>
      </c>
      <c r="AB128" t="n">
        <v>1652.664</v>
      </c>
      <c r="AC128" t="n">
        <v>1600.013</v>
      </c>
      <c r="AD128" t="n">
        <v>1364.288</v>
      </c>
      <c r="AE128" t="n">
        <v>1421.733</v>
      </c>
      <c r="AF128" t="n">
        <v>1510.237</v>
      </c>
      <c r="AG128" t="n">
        <v>1366.494</v>
      </c>
      <c r="AH128" t="n">
        <v>1247.393</v>
      </c>
      <c r="AI128" t="n">
        <v>1136.18</v>
      </c>
      <c r="AJ128" t="n">
        <v>936.88</v>
      </c>
      <c r="AK128" t="n">
        <v>1046.851</v>
      </c>
      <c r="AL128" t="n">
        <v>896.052</v>
      </c>
      <c r="AM128" t="n">
        <v>613.671</v>
      </c>
      <c r="AN128" t="n">
        <v>505.352</v>
      </c>
      <c r="AO128" t="n">
        <v>435.985</v>
      </c>
      <c r="AP128" t="n">
        <v>343.199</v>
      </c>
      <c r="AQ128" t="n">
        <v>356.92</v>
      </c>
      <c r="AR128" t="n">
        <v>170.862</v>
      </c>
      <c r="AS128" t="n">
        <v>175.898</v>
      </c>
      <c r="AT128" t="n">
        <v>58.494</v>
      </c>
      <c r="AU128" t="n">
        <v>17.872</v>
      </c>
      <c r="AV128" t="n">
        <v>3.794</v>
      </c>
      <c r="AW128" t="n">
        <v>0.19</v>
      </c>
      <c r="AX128" t="n">
        <v>0.223</v>
      </c>
      <c r="AY128" t="n">
        <v>4.836</v>
      </c>
      <c r="AZ128" t="n">
        <v>1.776</v>
      </c>
      <c r="BA128" t="n">
        <v>3.175</v>
      </c>
      <c r="BB128" t="n">
        <v>2.407</v>
      </c>
      <c r="BC128" t="n">
        <v>1.813</v>
      </c>
      <c r="BD128" t="n">
        <v>0.4</v>
      </c>
      <c r="BE128" t="n">
        <v>0.647</v>
      </c>
      <c r="BF128" t="n">
        <v>0.352</v>
      </c>
      <c r="BG128" t="n">
        <v>0.929</v>
      </c>
      <c r="BH128" t="n">
        <v>1.335</v>
      </c>
      <c r="BI128" t="n">
        <v>0.458</v>
      </c>
      <c r="BJ128" t="n">
        <v>0.657</v>
      </c>
      <c r="BK128" t="n">
        <v>0.265</v>
      </c>
      <c r="BL128" t="n">
        <v>0.06900000000000001</v>
      </c>
      <c r="BM128" t="n">
        <v>0.66</v>
      </c>
      <c r="BN128" t="n">
        <v>0.089</v>
      </c>
      <c r="BO128" t="n">
        <v>0.089</v>
      </c>
      <c r="BP128" t="n">
        <v>0.871</v>
      </c>
      <c r="BQ128" t="n">
        <v>0.666</v>
      </c>
      <c r="BR128" t="n">
        <v>0.463</v>
      </c>
      <c r="BS128" t="n">
        <v>0.047</v>
      </c>
      <c r="BT128" t="n">
        <v>2.112</v>
      </c>
      <c r="BU128" t="n">
        <v>2.53</v>
      </c>
      <c r="BV128" t="n">
        <v>3.432</v>
      </c>
    </row>
    <row r="129">
      <c r="A129" t="inlineStr">
        <is>
          <t>Charybdis</t>
        </is>
      </c>
      <c r="B129" t="inlineStr">
        <is>
          <t>Whirlpool swimming crabs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517.1950000000001</v>
      </c>
      <c r="U129" t="n">
        <v>517.1950000000001</v>
      </c>
      <c r="V129" t="n">
        <v>578.441</v>
      </c>
      <c r="W129" t="n">
        <v>578.441</v>
      </c>
      <c r="X129" t="n">
        <v>598.857</v>
      </c>
      <c r="Y129" t="n">
        <v>1375.934</v>
      </c>
      <c r="Z129" t="n">
        <v>1498.54</v>
      </c>
      <c r="AA129" t="n">
        <v>1430.424</v>
      </c>
      <c r="AB129" t="n">
        <v>735.664</v>
      </c>
      <c r="AC129" t="n">
        <v>735.664</v>
      </c>
      <c r="AD129" t="n">
        <v>735.664</v>
      </c>
      <c r="AE129" t="n">
        <v>735.664</v>
      </c>
      <c r="AF129" t="n">
        <v>735.664</v>
      </c>
      <c r="AG129" t="n">
        <v>735.664</v>
      </c>
      <c r="AH129" t="n">
        <v>544.941</v>
      </c>
      <c r="AI129" t="n">
        <v>81.756</v>
      </c>
      <c r="AJ129" t="n">
        <v>52.747</v>
      </c>
      <c r="AK129" t="n">
        <v>185.267</v>
      </c>
      <c r="AL129" t="n">
        <v>548.7809999999999</v>
      </c>
      <c r="AM129" t="n">
        <v>422.89</v>
      </c>
      <c r="AN129" t="n">
        <v>574.944</v>
      </c>
      <c r="AO129" t="n">
        <v>348.576</v>
      </c>
      <c r="AP129" t="n">
        <v>786.357</v>
      </c>
      <c r="AQ129" t="n">
        <v>873.949</v>
      </c>
      <c r="AR129" t="n">
        <v>995.933</v>
      </c>
      <c r="AS129" t="n">
        <v>953.538</v>
      </c>
      <c r="AT129" t="n">
        <v>787.0309999999999</v>
      </c>
      <c r="AU129" t="n">
        <v>651.826</v>
      </c>
      <c r="AV129" t="n">
        <v>35.279</v>
      </c>
      <c r="AW129" t="n">
        <v>31.966</v>
      </c>
      <c r="AX129" t="n">
        <v>32.441</v>
      </c>
      <c r="AY129" t="n">
        <v>33.185</v>
      </c>
      <c r="AZ129" t="n">
        <v>31.696</v>
      </c>
      <c r="BA129" t="n">
        <v>34.249</v>
      </c>
      <c r="BB129" t="n">
        <v>40.584</v>
      </c>
      <c r="BC129" t="n">
        <v>41.235</v>
      </c>
      <c r="BD129" t="n">
        <v>45.949</v>
      </c>
      <c r="BE129" t="n">
        <v>48.801</v>
      </c>
      <c r="BF129" t="n">
        <v>59.145</v>
      </c>
      <c r="BG129" t="n">
        <v>59.368</v>
      </c>
      <c r="BH129" t="n">
        <v>63.817</v>
      </c>
      <c r="BI129" t="n">
        <v>64.349</v>
      </c>
      <c r="BJ129" t="n">
        <v>67.54000000000001</v>
      </c>
      <c r="BK129" t="n">
        <v>70.199</v>
      </c>
      <c r="BL129" t="n">
        <v>79.77200000000001</v>
      </c>
      <c r="BM129" t="n">
        <v>90.408</v>
      </c>
      <c r="BN129" t="n">
        <v>121.992</v>
      </c>
      <c r="BO129" t="n">
        <v>123.38</v>
      </c>
      <c r="BP129" t="n">
        <v>116.999</v>
      </c>
      <c r="BQ129" t="n">
        <v>127.901</v>
      </c>
      <c r="BR129" t="n">
        <v>127.941</v>
      </c>
      <c r="BS129" t="n">
        <v>128.273</v>
      </c>
      <c r="BT129" t="n">
        <v>128.725</v>
      </c>
      <c r="BU129" t="n">
        <v>163.373</v>
      </c>
      <c r="BV129" t="n">
        <v>145.956</v>
      </c>
    </row>
    <row r="130">
      <c r="A130" t="inlineStr">
        <is>
          <t>Scorpaenidae</t>
        </is>
      </c>
      <c r="B130" t="inlineStr">
        <is>
          <t>Scorpionfishes, rockfishes</t>
        </is>
      </c>
      <c r="C130" t="inlineStr">
        <is>
          <t>Large reef assoc. fish (&gt;=90 cm)</t>
        </is>
      </c>
      <c r="D130" t="inlineStr">
        <is>
          <t>Scorpionfishes</t>
        </is>
      </c>
      <c r="E130" t="n">
        <v>50.588</v>
      </c>
      <c r="F130" t="n">
        <v>50.588</v>
      </c>
      <c r="G130" t="n">
        <v>67.17400000000001</v>
      </c>
      <c r="H130" t="n">
        <v>58.881</v>
      </c>
      <c r="I130" t="n">
        <v>50.588</v>
      </c>
      <c r="J130" t="n">
        <v>50.588</v>
      </c>
      <c r="K130" t="n">
        <v>50.588</v>
      </c>
      <c r="L130" t="n">
        <v>48.1</v>
      </c>
      <c r="M130" t="n">
        <v>52.246</v>
      </c>
      <c r="N130" t="n">
        <v>50.588</v>
      </c>
      <c r="O130" t="n">
        <v>68.003</v>
      </c>
      <c r="P130" t="n">
        <v>83.76000000000001</v>
      </c>
      <c r="Q130" t="n">
        <v>87.077</v>
      </c>
      <c r="R130" t="n">
        <v>135.177</v>
      </c>
      <c r="S130" t="n">
        <v>125.225</v>
      </c>
      <c r="T130" t="n">
        <v>152.459</v>
      </c>
      <c r="U130" t="n">
        <v>174.623</v>
      </c>
      <c r="V130" t="n">
        <v>163.205</v>
      </c>
      <c r="W130" t="n">
        <v>173.73</v>
      </c>
      <c r="X130" t="n">
        <v>148.381</v>
      </c>
      <c r="Y130" t="n">
        <v>194.496</v>
      </c>
      <c r="Z130" t="n">
        <v>224.425</v>
      </c>
      <c r="AA130" t="n">
        <v>223.285</v>
      </c>
      <c r="AB130" t="n">
        <v>177.426</v>
      </c>
      <c r="AC130" t="n">
        <v>226.649</v>
      </c>
      <c r="AD130" t="n">
        <v>202.656</v>
      </c>
      <c r="AE130" t="n">
        <v>186.411</v>
      </c>
      <c r="AF130" t="n">
        <v>242.62</v>
      </c>
      <c r="AG130" t="n">
        <v>251.447</v>
      </c>
      <c r="AH130" t="n">
        <v>227.558</v>
      </c>
      <c r="AI130" t="n">
        <v>172.983</v>
      </c>
      <c r="AJ130" t="n">
        <v>253.252</v>
      </c>
      <c r="AK130" t="n">
        <v>166.826</v>
      </c>
      <c r="AL130" t="n">
        <v>186.686</v>
      </c>
      <c r="AM130" t="n">
        <v>146.496</v>
      </c>
      <c r="AN130" t="n">
        <v>166.996</v>
      </c>
      <c r="AO130" t="n">
        <v>157.483</v>
      </c>
      <c r="AP130" t="n">
        <v>377.631</v>
      </c>
      <c r="AQ130" t="n">
        <v>349.646</v>
      </c>
      <c r="AR130" t="n">
        <v>474.834</v>
      </c>
      <c r="AS130" t="n">
        <v>577.183</v>
      </c>
      <c r="AT130" t="n">
        <v>514.542</v>
      </c>
      <c r="AU130" t="n">
        <v>442.112</v>
      </c>
      <c r="AV130" t="n">
        <v>487.8</v>
      </c>
      <c r="AW130" t="n">
        <v>535.28</v>
      </c>
      <c r="AX130" t="n">
        <v>492.116</v>
      </c>
      <c r="AY130" t="n">
        <v>436.316</v>
      </c>
      <c r="AZ130" t="n">
        <v>402.84</v>
      </c>
      <c r="BA130" t="n">
        <v>468.897</v>
      </c>
      <c r="BB130" t="n">
        <v>516.806</v>
      </c>
      <c r="BC130" t="n">
        <v>546.3390000000001</v>
      </c>
      <c r="BD130" t="n">
        <v>560.068</v>
      </c>
      <c r="BE130" t="n">
        <v>584.529</v>
      </c>
      <c r="BF130" t="n">
        <v>561.851</v>
      </c>
      <c r="BG130" t="n">
        <v>494.889</v>
      </c>
      <c r="BH130" t="n">
        <v>544.905</v>
      </c>
      <c r="BI130" t="n">
        <v>494.467</v>
      </c>
      <c r="BJ130" t="n">
        <v>504.809</v>
      </c>
      <c r="BK130" t="n">
        <v>444.044</v>
      </c>
      <c r="BL130" t="n">
        <v>413.072</v>
      </c>
      <c r="BM130" t="n">
        <v>447.681</v>
      </c>
      <c r="BN130" t="n">
        <v>438.621</v>
      </c>
      <c r="BO130" t="n">
        <v>493.03</v>
      </c>
      <c r="BP130" t="n">
        <v>512.311</v>
      </c>
      <c r="BQ130" t="n">
        <v>471.21</v>
      </c>
      <c r="BR130" t="n">
        <v>484.724</v>
      </c>
      <c r="BS130" t="n">
        <v>502.618</v>
      </c>
      <c r="BT130" t="n">
        <v>467.331</v>
      </c>
      <c r="BU130" t="n">
        <v>443.193</v>
      </c>
      <c r="BV130" t="n">
        <v>415.283</v>
      </c>
    </row>
    <row r="131">
      <c r="A131" t="inlineStr">
        <is>
          <t>Podophthalmus vigil</t>
        </is>
      </c>
      <c r="B131" t="inlineStr">
        <is>
          <t>Periscope crab</t>
        </is>
      </c>
      <c r="C131" t="inlineStr">
        <is>
          <t>Lobsters, crabs</t>
        </is>
      </c>
      <c r="D131" t="inlineStr">
        <is>
          <t>Crustaceans</t>
        </is>
      </c>
      <c r="E131" t="n">
        <v>16.063</v>
      </c>
      <c r="F131" t="n">
        <v>17.373</v>
      </c>
      <c r="G131" t="n">
        <v>19.519</v>
      </c>
      <c r="H131" t="n">
        <v>21.284</v>
      </c>
      <c r="I131" t="n">
        <v>23.122</v>
      </c>
      <c r="J131" t="n">
        <v>25.589</v>
      </c>
      <c r="K131" t="n">
        <v>27.792</v>
      </c>
      <c r="L131" t="n">
        <v>29.473</v>
      </c>
      <c r="M131" t="n">
        <v>31.829</v>
      </c>
      <c r="N131" t="n">
        <v>33.611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90.066</v>
      </c>
      <c r="Z131" t="n">
        <v>94.276</v>
      </c>
      <c r="AA131" t="n">
        <v>102.17</v>
      </c>
      <c r="AB131" t="n">
        <v>109.652</v>
      </c>
      <c r="AC131" t="n">
        <v>112.172</v>
      </c>
      <c r="AD131" t="n">
        <v>58.582</v>
      </c>
      <c r="AE131" t="n">
        <v>37.465</v>
      </c>
      <c r="AF131" t="n">
        <v>37.519</v>
      </c>
      <c r="AG131" t="n">
        <v>37.569</v>
      </c>
      <c r="AH131" t="n">
        <v>35.381</v>
      </c>
      <c r="AI131" t="n">
        <v>67.461</v>
      </c>
      <c r="AJ131" t="n">
        <v>113.939</v>
      </c>
      <c r="AK131" t="n">
        <v>154.003</v>
      </c>
      <c r="AL131" t="n">
        <v>196.846</v>
      </c>
      <c r="AM131" t="n">
        <v>225.159</v>
      </c>
      <c r="AN131" t="n">
        <v>287.609</v>
      </c>
      <c r="AO131" t="n">
        <v>663.694</v>
      </c>
      <c r="AP131" t="n">
        <v>896.167</v>
      </c>
      <c r="AQ131" t="n">
        <v>577.258</v>
      </c>
      <c r="AR131" t="n">
        <v>485.978</v>
      </c>
      <c r="AS131" t="n">
        <v>515.5599999999999</v>
      </c>
      <c r="AT131" t="n">
        <v>575.9160000000001</v>
      </c>
      <c r="AU131" t="n">
        <v>527.2380000000001</v>
      </c>
      <c r="AV131" t="n">
        <v>538.237</v>
      </c>
      <c r="AW131" t="n">
        <v>548.729</v>
      </c>
      <c r="AX131" t="n">
        <v>551.843</v>
      </c>
      <c r="AY131" t="n">
        <v>543.5170000000001</v>
      </c>
      <c r="AZ131" t="n">
        <v>521.442</v>
      </c>
      <c r="BA131" t="n">
        <v>591.667</v>
      </c>
      <c r="BB131" t="n">
        <v>546.333</v>
      </c>
      <c r="BC131" t="n">
        <v>669.779</v>
      </c>
      <c r="BD131" t="n">
        <v>517.374</v>
      </c>
      <c r="BE131" t="n">
        <v>489.853</v>
      </c>
      <c r="BF131" t="n">
        <v>492.579</v>
      </c>
      <c r="BG131" t="n">
        <v>475.08</v>
      </c>
      <c r="BH131" t="n">
        <v>493.246</v>
      </c>
      <c r="BI131" t="n">
        <v>480.761</v>
      </c>
      <c r="BJ131" t="n">
        <v>449.869</v>
      </c>
      <c r="BK131" t="n">
        <v>475.308</v>
      </c>
      <c r="BL131" t="n">
        <v>481.417</v>
      </c>
      <c r="BM131" t="n">
        <v>475.092</v>
      </c>
      <c r="BN131" t="n">
        <v>431.86</v>
      </c>
      <c r="BO131" t="n">
        <v>501.192</v>
      </c>
      <c r="BP131" t="n">
        <v>508.829</v>
      </c>
      <c r="BQ131" t="n">
        <v>644.417</v>
      </c>
      <c r="BR131" t="n">
        <v>498.318</v>
      </c>
      <c r="BS131" t="n">
        <v>504.015</v>
      </c>
      <c r="BT131" t="n">
        <v>506.024</v>
      </c>
      <c r="BU131" t="n">
        <v>391.589</v>
      </c>
      <c r="BV131" t="n">
        <v>378.332</v>
      </c>
    </row>
    <row r="132">
      <c r="A132" t="inlineStr">
        <is>
          <t>Charybdis feriatus</t>
        </is>
      </c>
      <c r="B132" t="inlineStr">
        <is>
          <t>Crucifix crab</t>
        </is>
      </c>
      <c r="C132" t="inlineStr">
        <is>
          <t>Lobsters, crabs</t>
        </is>
      </c>
      <c r="D132" t="inlineStr">
        <is>
          <t>Crustaceans</t>
        </is>
      </c>
      <c r="E132" t="n">
        <v>16.059</v>
      </c>
      <c r="F132" t="n">
        <v>17.368</v>
      </c>
      <c r="G132" t="n">
        <v>19.514</v>
      </c>
      <c r="H132" t="n">
        <v>21.278</v>
      </c>
      <c r="I132" t="n">
        <v>23.115</v>
      </c>
      <c r="J132" t="n">
        <v>25.582</v>
      </c>
      <c r="K132" t="n">
        <v>27.784</v>
      </c>
      <c r="L132" t="n">
        <v>29.465</v>
      </c>
      <c r="M132" t="n">
        <v>31.82</v>
      </c>
      <c r="N132" t="n">
        <v>33.601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90.04600000000001</v>
      </c>
      <c r="Z132" t="n">
        <v>94.26900000000001</v>
      </c>
      <c r="AA132" t="n">
        <v>102.156</v>
      </c>
      <c r="AB132" t="n">
        <v>109.637</v>
      </c>
      <c r="AC132" t="n">
        <v>112.157</v>
      </c>
      <c r="AD132" t="n">
        <v>58.582</v>
      </c>
      <c r="AE132" t="n">
        <v>37.464</v>
      </c>
      <c r="AF132" t="n">
        <v>37.518</v>
      </c>
      <c r="AG132" t="n">
        <v>37.568</v>
      </c>
      <c r="AH132" t="n">
        <v>35.38</v>
      </c>
      <c r="AI132" t="n">
        <v>67.44799999999999</v>
      </c>
      <c r="AJ132" t="n">
        <v>113.919</v>
      </c>
      <c r="AK132" t="n">
        <v>153.973</v>
      </c>
      <c r="AL132" t="n">
        <v>196.806</v>
      </c>
      <c r="AM132" t="n">
        <v>225.109</v>
      </c>
      <c r="AN132" t="n">
        <v>287.543</v>
      </c>
      <c r="AO132" t="n">
        <v>663.564</v>
      </c>
      <c r="AP132" t="n">
        <v>896.115</v>
      </c>
      <c r="AQ132" t="n">
        <v>577.212</v>
      </c>
      <c r="AR132" t="n">
        <v>485.956</v>
      </c>
      <c r="AS132" t="n">
        <v>509.813</v>
      </c>
      <c r="AT132" t="n">
        <v>570.3339999999999</v>
      </c>
      <c r="AU132" t="n">
        <v>522.014</v>
      </c>
      <c r="AV132" t="n">
        <v>532.9450000000001</v>
      </c>
      <c r="AW132" t="n">
        <v>543.667</v>
      </c>
      <c r="AX132" t="n">
        <v>546.556</v>
      </c>
      <c r="AY132" t="n">
        <v>538.1180000000001</v>
      </c>
      <c r="AZ132" t="n">
        <v>516.3</v>
      </c>
      <c r="BA132" t="n">
        <v>586.095</v>
      </c>
      <c r="BB132" t="n">
        <v>539.795</v>
      </c>
      <c r="BC132" t="n">
        <v>661.468</v>
      </c>
      <c r="BD132" t="n">
        <v>509.294</v>
      </c>
      <c r="BE132" t="n">
        <v>481.081</v>
      </c>
      <c r="BF132" t="n">
        <v>481.965</v>
      </c>
      <c r="BG132" t="n">
        <v>464.229</v>
      </c>
      <c r="BH132" t="n">
        <v>481.478</v>
      </c>
      <c r="BI132" t="n">
        <v>468.997</v>
      </c>
      <c r="BJ132" t="n">
        <v>438.797</v>
      </c>
      <c r="BK132" t="n">
        <v>464.73</v>
      </c>
      <c r="BL132" t="n">
        <v>469.851</v>
      </c>
      <c r="BM132" t="n">
        <v>454.494</v>
      </c>
      <c r="BN132" t="n">
        <v>422.092</v>
      </c>
      <c r="BO132" t="n">
        <v>491.319</v>
      </c>
      <c r="BP132" t="n">
        <v>499.47</v>
      </c>
      <c r="BQ132" t="n">
        <v>634.216</v>
      </c>
      <c r="BR132" t="n">
        <v>488.107</v>
      </c>
      <c r="BS132" t="n">
        <v>493.778</v>
      </c>
      <c r="BT132" t="n">
        <v>495.75</v>
      </c>
      <c r="BU132" t="n">
        <v>391.645</v>
      </c>
      <c r="BV132" t="n">
        <v>378.391</v>
      </c>
    </row>
    <row r="133">
      <c r="A133" t="inlineStr">
        <is>
          <t>Scomberoides</t>
        </is>
      </c>
      <c r="B133" t="inlineStr">
        <is>
          <t>Queenfishes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36.581</v>
      </c>
      <c r="F133" t="n">
        <v>34.918</v>
      </c>
      <c r="G133" t="n">
        <v>32.424</v>
      </c>
      <c r="H133" t="n">
        <v>30.761</v>
      </c>
      <c r="I133" t="n">
        <v>29.93</v>
      </c>
      <c r="J133" t="n">
        <v>32.424</v>
      </c>
      <c r="K133" t="n">
        <v>34.087</v>
      </c>
      <c r="L133" t="n">
        <v>34.087</v>
      </c>
      <c r="M133" t="n">
        <v>38.243</v>
      </c>
      <c r="N133" t="n">
        <v>41.569</v>
      </c>
      <c r="O133" t="n">
        <v>44.063</v>
      </c>
      <c r="P133" t="n">
        <v>45.726</v>
      </c>
      <c r="Q133" t="n">
        <v>50.714</v>
      </c>
      <c r="R133" t="n">
        <v>54.871</v>
      </c>
      <c r="S133" t="n">
        <v>62.353</v>
      </c>
      <c r="T133" t="n">
        <v>53.208</v>
      </c>
      <c r="U133" t="n">
        <v>53.208</v>
      </c>
      <c r="V133" t="n">
        <v>54.04</v>
      </c>
      <c r="W133" t="n">
        <v>53.208</v>
      </c>
      <c r="X133" t="n">
        <v>47.389</v>
      </c>
      <c r="Y133" t="n">
        <v>47.389</v>
      </c>
      <c r="Z133" t="n">
        <v>46.557</v>
      </c>
      <c r="AA133" t="n">
        <v>44.063</v>
      </c>
      <c r="AB133" t="n">
        <v>43.232</v>
      </c>
      <c r="AC133" t="n">
        <v>42.4</v>
      </c>
      <c r="AD133" t="n">
        <v>37.264</v>
      </c>
      <c r="AE133" t="n">
        <v>189.058</v>
      </c>
      <c r="AF133" t="n">
        <v>208.254</v>
      </c>
      <c r="AG133" t="n">
        <v>284.772</v>
      </c>
      <c r="AH133" t="n">
        <v>263.874</v>
      </c>
      <c r="AI133" t="n">
        <v>646.301</v>
      </c>
      <c r="AJ133" t="n">
        <v>856.63</v>
      </c>
      <c r="AK133" t="n">
        <v>600.231</v>
      </c>
      <c r="AL133" t="n">
        <v>634.885</v>
      </c>
      <c r="AM133" t="n">
        <v>586.812</v>
      </c>
      <c r="AN133" t="n">
        <v>621.696</v>
      </c>
      <c r="AO133" t="n">
        <v>504.512</v>
      </c>
      <c r="AP133" t="n">
        <v>497.778</v>
      </c>
      <c r="AQ133" t="n">
        <v>572.198</v>
      </c>
      <c r="AR133" t="n">
        <v>529.101</v>
      </c>
      <c r="AS133" t="n">
        <v>221.236</v>
      </c>
      <c r="AT133" t="n">
        <v>206.753</v>
      </c>
      <c r="AU133" t="n">
        <v>189.228</v>
      </c>
      <c r="AV133" t="n">
        <v>194.181</v>
      </c>
      <c r="AW133" t="n">
        <v>173.126</v>
      </c>
      <c r="AX133" t="n">
        <v>156.095</v>
      </c>
      <c r="AY133" t="n">
        <v>164.94</v>
      </c>
      <c r="AZ133" t="n">
        <v>180.609</v>
      </c>
      <c r="BA133" t="n">
        <v>168.036</v>
      </c>
      <c r="BB133" t="n">
        <v>198.691</v>
      </c>
      <c r="BC133" t="n">
        <v>227.951</v>
      </c>
      <c r="BD133" t="n">
        <v>228.335</v>
      </c>
      <c r="BE133" t="n">
        <v>211.015</v>
      </c>
      <c r="BF133" t="n">
        <v>216.222</v>
      </c>
      <c r="BG133" t="n">
        <v>215.75</v>
      </c>
      <c r="BH133" t="n">
        <v>517.539</v>
      </c>
      <c r="BI133" t="n">
        <v>628.0069999999999</v>
      </c>
      <c r="BJ133" t="n">
        <v>601.726</v>
      </c>
      <c r="BK133" t="n">
        <v>665.631</v>
      </c>
      <c r="BL133" t="n">
        <v>525.424</v>
      </c>
      <c r="BM133" t="n">
        <v>510.883</v>
      </c>
      <c r="BN133" t="n">
        <v>496.549</v>
      </c>
      <c r="BO133" t="n">
        <v>558.881</v>
      </c>
      <c r="BP133" t="n">
        <v>581.082</v>
      </c>
      <c r="BQ133" t="n">
        <v>532.503</v>
      </c>
      <c r="BR133" t="n">
        <v>548.364</v>
      </c>
      <c r="BS133" t="n">
        <v>567.856</v>
      </c>
      <c r="BT133" t="n">
        <v>526.538</v>
      </c>
      <c r="BU133" t="n">
        <v>498.697</v>
      </c>
      <c r="BV133" t="n">
        <v>467.361</v>
      </c>
    </row>
    <row r="134">
      <c r="A134" t="inlineStr">
        <is>
          <t>Caesio</t>
        </is>
      </c>
      <c r="B134" t="inlineStr">
        <is>
          <t>Caesios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50.163</v>
      </c>
      <c r="F134" t="n">
        <v>47.736</v>
      </c>
      <c r="G134" t="n">
        <v>43.691</v>
      </c>
      <c r="H134" t="n">
        <v>42.072</v>
      </c>
      <c r="I134" t="n">
        <v>42.072</v>
      </c>
      <c r="J134" t="n">
        <v>45.309</v>
      </c>
      <c r="K134" t="n">
        <v>46.118</v>
      </c>
      <c r="L134" t="n">
        <v>46.118</v>
      </c>
      <c r="M134" t="n">
        <v>52.59</v>
      </c>
      <c r="N134" t="n">
        <v>57.445</v>
      </c>
      <c r="O134" t="n">
        <v>59.872</v>
      </c>
      <c r="P134" t="n">
        <v>61.49</v>
      </c>
      <c r="Q134" t="n">
        <v>69.581</v>
      </c>
      <c r="R134" t="n">
        <v>73.627</v>
      </c>
      <c r="S134" t="n">
        <v>83.336</v>
      </c>
      <c r="T134" t="n">
        <v>74.242</v>
      </c>
      <c r="U134" t="n">
        <v>74.242</v>
      </c>
      <c r="V134" t="n">
        <v>75.666</v>
      </c>
      <c r="W134" t="n">
        <v>74.85599999999999</v>
      </c>
      <c r="X134" t="n">
        <v>66.76600000000001</v>
      </c>
      <c r="Y134" t="n">
        <v>71.652</v>
      </c>
      <c r="Z134" t="n">
        <v>70.843</v>
      </c>
      <c r="AA134" t="n">
        <v>71.06999999999999</v>
      </c>
      <c r="AB134" t="n">
        <v>74.015</v>
      </c>
      <c r="AC134" t="n">
        <v>76.669</v>
      </c>
      <c r="AD134" t="n">
        <v>69.905</v>
      </c>
      <c r="AE134" t="n">
        <v>23.302</v>
      </c>
      <c r="AF134" t="n">
        <v>27.464</v>
      </c>
      <c r="AG134" t="n">
        <v>33.431</v>
      </c>
      <c r="AH134" t="n">
        <v>30.195</v>
      </c>
      <c r="AI134" t="n">
        <v>546.3579999999999</v>
      </c>
      <c r="AJ134" t="n">
        <v>733.224</v>
      </c>
      <c r="AK134" t="n">
        <v>497.781</v>
      </c>
      <c r="AL134" t="n">
        <v>551.342</v>
      </c>
      <c r="AM134" t="n">
        <v>476.162</v>
      </c>
      <c r="AN134" t="n">
        <v>289.102</v>
      </c>
      <c r="AO134" t="n">
        <v>240.136</v>
      </c>
      <c r="AP134" t="n">
        <v>230.233</v>
      </c>
      <c r="AQ134" t="n">
        <v>211.236</v>
      </c>
      <c r="AR134" t="n">
        <v>197.481</v>
      </c>
      <c r="AS134" t="n">
        <v>167.998</v>
      </c>
      <c r="AT134" t="n">
        <v>185.41</v>
      </c>
      <c r="AU134" t="n">
        <v>190.976</v>
      </c>
      <c r="AV134" t="n">
        <v>200.297</v>
      </c>
      <c r="AW134" t="n">
        <v>190.555</v>
      </c>
      <c r="AX134" t="n">
        <v>271.011</v>
      </c>
      <c r="AY134" t="n">
        <v>282.953</v>
      </c>
      <c r="AZ134" t="n">
        <v>353.861</v>
      </c>
      <c r="BA134" t="n">
        <v>272.953</v>
      </c>
      <c r="BB134" t="n">
        <v>355.512</v>
      </c>
      <c r="BC134" t="n">
        <v>467.262</v>
      </c>
      <c r="BD134" t="n">
        <v>482.117</v>
      </c>
      <c r="BE134" t="n">
        <v>407.584</v>
      </c>
      <c r="BF134" t="n">
        <v>451.469</v>
      </c>
      <c r="BG134" t="n">
        <v>447.424</v>
      </c>
      <c r="BH134" t="n">
        <v>136.476</v>
      </c>
      <c r="BI134" t="n">
        <v>151.752</v>
      </c>
      <c r="BJ134" t="n">
        <v>146.088</v>
      </c>
      <c r="BK134" t="n">
        <v>170.264</v>
      </c>
      <c r="BL134" t="n">
        <v>746.396</v>
      </c>
      <c r="BM134" t="n">
        <v>699.987</v>
      </c>
      <c r="BN134" t="n">
        <v>680.121</v>
      </c>
      <c r="BO134" t="n">
        <v>765.476</v>
      </c>
      <c r="BP134" t="n">
        <v>795.838</v>
      </c>
      <c r="BQ134" t="n">
        <v>729.246</v>
      </c>
      <c r="BR134" t="n">
        <v>751.003</v>
      </c>
      <c r="BS134" t="n">
        <v>777.586</v>
      </c>
      <c r="BT134" t="n">
        <v>720.924</v>
      </c>
      <c r="BU134" t="n">
        <v>684.425</v>
      </c>
      <c r="BV134" t="n">
        <v>641.374</v>
      </c>
    </row>
    <row r="135">
      <c r="A135" t="inlineStr">
        <is>
          <t>Charybdis anisodon</t>
        </is>
      </c>
      <c r="B135" t="inlineStr">
        <is>
          <t>Twospined arm swimming crab</t>
        </is>
      </c>
      <c r="C135" t="inlineStr">
        <is>
          <t>Lobsters, crabs</t>
        </is>
      </c>
      <c r="D135" t="inlineStr">
        <is>
          <t>Crustaceans</t>
        </is>
      </c>
      <c r="E135" t="n">
        <v>16.096</v>
      </c>
      <c r="F135" t="n">
        <v>17.409</v>
      </c>
      <c r="G135" t="n">
        <v>19.559</v>
      </c>
      <c r="H135" t="n">
        <v>21.328</v>
      </c>
      <c r="I135" t="n">
        <v>23.169</v>
      </c>
      <c r="J135" t="n">
        <v>25.642</v>
      </c>
      <c r="K135" t="n">
        <v>27.849</v>
      </c>
      <c r="L135" t="n">
        <v>29.534</v>
      </c>
      <c r="M135" t="n">
        <v>31.894</v>
      </c>
      <c r="N135" t="n">
        <v>33.679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90.235</v>
      </c>
      <c r="Z135" t="n">
        <v>94.40900000000001</v>
      </c>
      <c r="AA135" t="n">
        <v>102.333</v>
      </c>
      <c r="AB135" t="n">
        <v>109.825</v>
      </c>
      <c r="AC135" t="n">
        <v>112.351</v>
      </c>
      <c r="AD135" t="n">
        <v>58.65</v>
      </c>
      <c r="AE135" t="n">
        <v>37.511</v>
      </c>
      <c r="AF135" t="n">
        <v>37.565</v>
      </c>
      <c r="AG135" t="n">
        <v>37.615</v>
      </c>
      <c r="AH135" t="n">
        <v>35.425</v>
      </c>
      <c r="AI135" t="n">
        <v>67.57899999999999</v>
      </c>
      <c r="AJ135" t="n">
        <v>114.133</v>
      </c>
      <c r="AK135" t="n">
        <v>154.274</v>
      </c>
      <c r="AL135" t="n">
        <v>197.199</v>
      </c>
      <c r="AM135" t="n">
        <v>225.577</v>
      </c>
      <c r="AN135" t="n">
        <v>288.147</v>
      </c>
      <c r="AO135" t="n">
        <v>664.869</v>
      </c>
      <c r="AP135" t="n">
        <v>897.664</v>
      </c>
      <c r="AQ135" t="n">
        <v>578.244</v>
      </c>
      <c r="AR135" t="n">
        <v>486.78</v>
      </c>
      <c r="AS135" t="n">
        <v>516.359</v>
      </c>
      <c r="AT135" t="n">
        <v>576.833</v>
      </c>
      <c r="AU135" t="n">
        <v>528.0599999999999</v>
      </c>
      <c r="AV135" t="n">
        <v>539.076</v>
      </c>
      <c r="AW135" t="n">
        <v>549.585</v>
      </c>
      <c r="AX135" t="n">
        <v>552.696</v>
      </c>
      <c r="AY135" t="n">
        <v>544.35</v>
      </c>
      <c r="AZ135" t="n">
        <v>522.236</v>
      </c>
      <c r="BA135" t="n">
        <v>592.597</v>
      </c>
      <c r="BB135" t="n">
        <v>547.15</v>
      </c>
      <c r="BC135" t="n">
        <v>670.702</v>
      </c>
      <c r="BD135" t="n">
        <v>518.062</v>
      </c>
      <c r="BE135" t="n">
        <v>490.505</v>
      </c>
      <c r="BF135" t="n">
        <v>493.234</v>
      </c>
      <c r="BG135" t="n">
        <v>475.735</v>
      </c>
      <c r="BH135" t="n">
        <v>493.911</v>
      </c>
      <c r="BI135" t="n">
        <v>481.4</v>
      </c>
      <c r="BJ135" t="n">
        <v>450.465</v>
      </c>
      <c r="BK135" t="n">
        <v>475.971</v>
      </c>
      <c r="BL135" t="n">
        <v>482.063</v>
      </c>
      <c r="BM135" t="n">
        <v>465.642</v>
      </c>
      <c r="BN135" t="n">
        <v>432.458</v>
      </c>
      <c r="BO135" t="n">
        <v>501.857</v>
      </c>
      <c r="BP135" t="n">
        <v>509.5</v>
      </c>
      <c r="BQ135" t="n">
        <v>234.707</v>
      </c>
      <c r="BR135" t="n">
        <v>498.942</v>
      </c>
      <c r="BS135" t="n">
        <v>504.643</v>
      </c>
      <c r="BT135" t="n">
        <v>506.656</v>
      </c>
      <c r="BU135" t="n">
        <v>86.94</v>
      </c>
      <c r="BV135" t="n">
        <v>73.657</v>
      </c>
    </row>
    <row r="136">
      <c r="A136" t="inlineStr">
        <is>
          <t>Mierspenaeopsis hardwickii</t>
        </is>
      </c>
      <c r="B136" t="inlineStr">
        <is>
          <t>Spear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4189.152</v>
      </c>
      <c r="AO136" t="n">
        <v>3505.545</v>
      </c>
      <c r="AP136" t="n">
        <v>3328.794</v>
      </c>
      <c r="AQ136" t="n">
        <v>3005.619</v>
      </c>
      <c r="AR136" t="n">
        <v>2805.475</v>
      </c>
      <c r="AS136" t="n">
        <v>145.559</v>
      </c>
      <c r="AT136" t="n">
        <v>164.62</v>
      </c>
      <c r="AU136" t="n">
        <v>170.685</v>
      </c>
      <c r="AV136" t="n">
        <v>179.349</v>
      </c>
      <c r="AW136" t="n">
        <v>175.884</v>
      </c>
      <c r="AX136" t="n">
        <v>101.371</v>
      </c>
      <c r="AY136" t="n">
        <v>105.704</v>
      </c>
      <c r="AZ136" t="n">
        <v>134.295</v>
      </c>
      <c r="BA136" t="n">
        <v>99.639</v>
      </c>
      <c r="BB136" t="n">
        <v>132.563</v>
      </c>
      <c r="BC136" t="n">
        <v>68.447</v>
      </c>
      <c r="BD136" t="n">
        <v>71.913</v>
      </c>
      <c r="BE136" t="n">
        <v>58.917</v>
      </c>
      <c r="BF136" t="n">
        <v>66.715</v>
      </c>
      <c r="BG136" t="n">
        <v>65.848</v>
      </c>
      <c r="BH136" t="n">
        <v>51.119</v>
      </c>
      <c r="BI136" t="n">
        <v>57.184</v>
      </c>
      <c r="BJ136" t="n">
        <v>54.585</v>
      </c>
      <c r="BK136" t="n">
        <v>63.249</v>
      </c>
      <c r="BL136" t="n">
        <v>24.26</v>
      </c>
      <c r="BM136" t="n">
        <v>21.661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Plotosidae</t>
        </is>
      </c>
      <c r="B137" t="inlineStr">
        <is>
          <t>Eeltail catfishes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0.26</v>
      </c>
      <c r="X137" t="n">
        <v>0.378</v>
      </c>
      <c r="Y137" t="n">
        <v>0.353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896.04</v>
      </c>
      <c r="AX137" t="n">
        <v>599.087</v>
      </c>
      <c r="AY137" t="n">
        <v>806.008</v>
      </c>
      <c r="AZ137" t="n">
        <v>674.694</v>
      </c>
      <c r="BA137" t="n">
        <v>1223.695</v>
      </c>
      <c r="BB137" t="n">
        <v>600.039</v>
      </c>
      <c r="BC137" t="n">
        <v>1372.45</v>
      </c>
      <c r="BD137" t="n">
        <v>1134.815</v>
      </c>
      <c r="BE137" t="n">
        <v>1035.889</v>
      </c>
      <c r="BF137" t="n">
        <v>155.199</v>
      </c>
      <c r="BG137" t="n">
        <v>217.028</v>
      </c>
      <c r="BH137" t="n">
        <v>169.965</v>
      </c>
      <c r="BI137" t="n">
        <v>202.475</v>
      </c>
      <c r="BJ137" t="n">
        <v>148.759</v>
      </c>
      <c r="BK137" t="n">
        <v>148.21</v>
      </c>
      <c r="BL137" t="n">
        <v>287.324</v>
      </c>
      <c r="BM137" t="n">
        <v>383.832</v>
      </c>
      <c r="BN137" t="n">
        <v>420.638</v>
      </c>
      <c r="BO137" t="n">
        <v>506.106</v>
      </c>
      <c r="BP137" t="n">
        <v>487.95</v>
      </c>
      <c r="BQ137" t="n">
        <v>514.8680000000001</v>
      </c>
      <c r="BR137" t="n">
        <v>550.9589999999999</v>
      </c>
      <c r="BS137" t="n">
        <v>697.316</v>
      </c>
      <c r="BT137" t="n">
        <v>2750.131</v>
      </c>
      <c r="BU137" t="n">
        <v>1374.16</v>
      </c>
      <c r="BV137" t="n">
        <v>1406</v>
      </c>
    </row>
    <row r="138">
      <c r="A138" t="inlineStr">
        <is>
          <t>Dussumieria</t>
        </is>
      </c>
      <c r="B138" t="inlineStr">
        <is>
          <t>Rainbow sardines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1512.019</v>
      </c>
      <c r="BI138" t="n">
        <v>1756.138</v>
      </c>
      <c r="BJ138" t="n">
        <v>1676.799</v>
      </c>
      <c r="BK138" t="n">
        <v>1918.653</v>
      </c>
      <c r="BL138" t="n">
        <v>994.3099999999999</v>
      </c>
      <c r="BM138" t="n">
        <v>1034.753</v>
      </c>
      <c r="BN138" t="n">
        <v>1006.334</v>
      </c>
      <c r="BO138" t="n">
        <v>1132.72</v>
      </c>
      <c r="BP138" t="n">
        <v>1177.835</v>
      </c>
      <c r="BQ138" t="n">
        <v>1079.532</v>
      </c>
      <c r="BR138" t="n">
        <v>1111.589</v>
      </c>
      <c r="BS138" t="n">
        <v>1151.402</v>
      </c>
      <c r="BT138" t="n">
        <v>1067.856</v>
      </c>
      <c r="BU138" t="n">
        <v>1007.273</v>
      </c>
      <c r="BV138" t="n">
        <v>944.104</v>
      </c>
    </row>
    <row r="139">
      <c r="A139" t="inlineStr">
        <is>
          <t>Paralichthyidae</t>
        </is>
      </c>
      <c r="B139" t="inlineStr">
        <is>
          <t>Largetooth flounders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1.837</v>
      </c>
      <c r="X139" t="n">
        <v>1.976</v>
      </c>
      <c r="Y139" t="n">
        <v>3.386</v>
      </c>
      <c r="Z139" t="n">
        <v>2.341</v>
      </c>
      <c r="AA139" t="n">
        <v>4.073</v>
      </c>
      <c r="AB139" t="n">
        <v>4.698</v>
      </c>
      <c r="AC139" t="n">
        <v>3.732</v>
      </c>
      <c r="AD139" t="n">
        <v>0</v>
      </c>
      <c r="AE139" t="n">
        <v>238.398</v>
      </c>
      <c r="AF139" t="n">
        <v>289.168</v>
      </c>
      <c r="AG139" t="n">
        <v>334.785</v>
      </c>
      <c r="AH139" t="n">
        <v>328.708</v>
      </c>
      <c r="AI139" t="n">
        <v>284.814</v>
      </c>
      <c r="AJ139" t="n">
        <v>325.354</v>
      </c>
      <c r="AK139" t="n">
        <v>320.321</v>
      </c>
      <c r="AL139" t="n">
        <v>299.335</v>
      </c>
      <c r="AM139" t="n">
        <v>227.382</v>
      </c>
      <c r="AN139" t="n">
        <v>440.454</v>
      </c>
      <c r="AO139" t="n">
        <v>312.607</v>
      </c>
      <c r="AP139" t="n">
        <v>362.713</v>
      </c>
      <c r="AQ139" t="n">
        <v>448.066</v>
      </c>
      <c r="AR139" t="n">
        <v>450.153</v>
      </c>
      <c r="AS139" t="n">
        <v>590.356</v>
      </c>
      <c r="AT139" t="n">
        <v>610.357</v>
      </c>
      <c r="AU139" t="n">
        <v>617.013</v>
      </c>
      <c r="AV139" t="n">
        <v>646.958</v>
      </c>
      <c r="AW139" t="n">
        <v>596.7430000000001</v>
      </c>
      <c r="AX139" t="n">
        <v>572.972</v>
      </c>
      <c r="AY139" t="n">
        <v>594.804</v>
      </c>
      <c r="AZ139" t="n">
        <v>627.766</v>
      </c>
      <c r="BA139" t="n">
        <v>632.54</v>
      </c>
      <c r="BB139" t="n">
        <v>702.425</v>
      </c>
      <c r="BC139" t="n">
        <v>320.494</v>
      </c>
      <c r="BD139" t="n">
        <v>310.313</v>
      </c>
      <c r="BE139" t="n">
        <v>308.645</v>
      </c>
      <c r="BF139" t="n">
        <v>299.841</v>
      </c>
      <c r="BG139" t="n">
        <v>298.464</v>
      </c>
      <c r="BH139" t="n">
        <v>138.659</v>
      </c>
      <c r="BI139" t="n">
        <v>163.65</v>
      </c>
      <c r="BJ139" t="n">
        <v>154.764</v>
      </c>
      <c r="BK139" t="n">
        <v>176.855</v>
      </c>
      <c r="BL139" t="n">
        <v>284.016</v>
      </c>
      <c r="BM139" t="n">
        <v>295.323</v>
      </c>
      <c r="BN139" t="n">
        <v>287.319</v>
      </c>
      <c r="BO139" t="n">
        <v>323.413</v>
      </c>
      <c r="BP139" t="n">
        <v>336.316</v>
      </c>
      <c r="BQ139" t="n">
        <v>308.275</v>
      </c>
      <c r="BR139" t="n">
        <v>317.413</v>
      </c>
      <c r="BS139" t="n">
        <v>328.834</v>
      </c>
      <c r="BT139" t="n">
        <v>305.014</v>
      </c>
      <c r="BU139" t="n">
        <v>287.643</v>
      </c>
      <c r="BV139" t="n">
        <v>269.625</v>
      </c>
    </row>
    <row r="140">
      <c r="A140" t="inlineStr">
        <is>
          <t>Siganus canaliculatus</t>
        </is>
      </c>
      <c r="B140" t="inlineStr">
        <is>
          <t>White-spotted spinefoot</t>
        </is>
      </c>
      <c r="C140" t="inlineStr">
        <is>
          <t>Small reef assoc. fish (&lt;30 cm)</t>
        </is>
      </c>
      <c r="D140" t="inlineStr">
        <is>
          <t>Perch-likes</t>
        </is>
      </c>
      <c r="E140" t="n">
        <v>96.066</v>
      </c>
      <c r="F140" t="n">
        <v>96.066</v>
      </c>
      <c r="G140" t="n">
        <v>127.266</v>
      </c>
      <c r="H140" t="n">
        <v>112.487</v>
      </c>
      <c r="I140" t="n">
        <v>96.066</v>
      </c>
      <c r="J140" t="n">
        <v>96.066</v>
      </c>
      <c r="K140" t="n">
        <v>96.066</v>
      </c>
      <c r="L140" t="n">
        <v>91.95999999999999</v>
      </c>
      <c r="M140" t="n">
        <v>99.34999999999999</v>
      </c>
      <c r="N140" t="n">
        <v>96.066</v>
      </c>
      <c r="O140" t="n">
        <v>128.908</v>
      </c>
      <c r="P140" t="n">
        <v>160.109</v>
      </c>
      <c r="Q140" t="n">
        <v>165.036</v>
      </c>
      <c r="R140" t="n">
        <v>256.996</v>
      </c>
      <c r="S140" t="n">
        <v>238.111</v>
      </c>
      <c r="T140" t="n">
        <v>284.022</v>
      </c>
      <c r="U140" t="n">
        <v>319.377</v>
      </c>
      <c r="V140" t="n">
        <v>290.343</v>
      </c>
      <c r="W140" t="n">
        <v>304.179</v>
      </c>
      <c r="X140" t="n">
        <v>254.137</v>
      </c>
      <c r="Y140" t="n">
        <v>332.308</v>
      </c>
      <c r="Z140" t="n">
        <v>362.141</v>
      </c>
      <c r="AA140" t="n">
        <v>337.934</v>
      </c>
      <c r="AB140" t="n">
        <v>217.799</v>
      </c>
      <c r="AC140" t="n">
        <v>242.652</v>
      </c>
      <c r="AD140" t="n">
        <v>200.692</v>
      </c>
      <c r="AE140" t="n">
        <v>189.846</v>
      </c>
      <c r="AF140" t="n">
        <v>232.504</v>
      </c>
      <c r="AG140" t="n">
        <v>247.627</v>
      </c>
      <c r="AH140" t="n">
        <v>197.176</v>
      </c>
      <c r="AI140" t="n">
        <v>153.608</v>
      </c>
      <c r="AJ140" t="n">
        <v>222.988</v>
      </c>
      <c r="AK140" t="n">
        <v>151.31</v>
      </c>
      <c r="AL140" t="n">
        <v>179.073</v>
      </c>
      <c r="AM140" t="n">
        <v>135.995</v>
      </c>
      <c r="AN140" t="n">
        <v>159.809</v>
      </c>
      <c r="AO140" t="n">
        <v>130.736</v>
      </c>
      <c r="AP140" t="n">
        <v>250.922</v>
      </c>
      <c r="AQ140" t="n">
        <v>243.434</v>
      </c>
      <c r="AR140" t="n">
        <v>336.457</v>
      </c>
      <c r="AS140" t="n">
        <v>338.008</v>
      </c>
      <c r="AT140" t="n">
        <v>299.356</v>
      </c>
      <c r="AU140" t="n">
        <v>270.287</v>
      </c>
      <c r="AV140" t="n">
        <v>255.305</v>
      </c>
      <c r="AW140" t="n">
        <v>284.007</v>
      </c>
      <c r="AX140" t="n">
        <v>270.532</v>
      </c>
      <c r="AY140" t="n">
        <v>237.039</v>
      </c>
      <c r="AZ140" t="n">
        <v>223.56</v>
      </c>
      <c r="BA140" t="n">
        <v>229.906</v>
      </c>
      <c r="BB140" t="n">
        <v>241.868</v>
      </c>
      <c r="BC140" t="n">
        <v>272.322</v>
      </c>
      <c r="BD140" t="n">
        <v>291.831</v>
      </c>
      <c r="BE140" t="n">
        <v>262.598</v>
      </c>
      <c r="BF140" t="n">
        <v>276.183</v>
      </c>
      <c r="BG140" t="n">
        <v>252.654</v>
      </c>
      <c r="BH140" t="n">
        <v>248.494</v>
      </c>
      <c r="BI140" t="n">
        <v>227.427</v>
      </c>
      <c r="BJ140" t="n">
        <v>228.221</v>
      </c>
      <c r="BK140" t="n">
        <v>215.951</v>
      </c>
      <c r="BL140" t="n">
        <v>221.408</v>
      </c>
      <c r="BM140" t="n">
        <v>235.675</v>
      </c>
      <c r="BN140" t="n">
        <v>233.697</v>
      </c>
      <c r="BO140" t="n">
        <v>261.587</v>
      </c>
      <c r="BP140" t="n">
        <v>270.988</v>
      </c>
      <c r="BQ140" t="n">
        <v>251.101</v>
      </c>
      <c r="BR140" t="n">
        <v>257.908</v>
      </c>
      <c r="BS140" t="n">
        <v>267.339</v>
      </c>
      <c r="BT140" t="n">
        <v>249.575</v>
      </c>
      <c r="BU140" t="n">
        <v>240.283</v>
      </c>
      <c r="BV140" t="n">
        <v>224.663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198.814</v>
      </c>
      <c r="F141" t="n">
        <v>189.468</v>
      </c>
      <c r="G141" t="n">
        <v>175.024</v>
      </c>
      <c r="H141" t="n">
        <v>164.829</v>
      </c>
      <c r="I141" t="n">
        <v>164.829</v>
      </c>
      <c r="J141" t="n">
        <v>177.573</v>
      </c>
      <c r="K141" t="n">
        <v>180.122</v>
      </c>
      <c r="L141" t="n">
        <v>186.07</v>
      </c>
      <c r="M141" t="n">
        <v>209.859</v>
      </c>
      <c r="N141" t="n">
        <v>227.702</v>
      </c>
      <c r="O141" t="n">
        <v>238.747</v>
      </c>
      <c r="P141" t="n">
        <v>244.694</v>
      </c>
      <c r="Q141" t="n">
        <v>272.732</v>
      </c>
      <c r="R141" t="n">
        <v>293.123</v>
      </c>
      <c r="S141" t="n">
        <v>333.906</v>
      </c>
      <c r="T141" t="n">
        <v>291.295</v>
      </c>
      <c r="U141" t="n">
        <v>290.316</v>
      </c>
      <c r="V141" t="n">
        <v>297.833</v>
      </c>
      <c r="W141" t="n">
        <v>295.392</v>
      </c>
      <c r="X141" t="n">
        <v>262.929</v>
      </c>
      <c r="Y141" t="n">
        <v>270.766</v>
      </c>
      <c r="Z141" t="n">
        <v>265.427</v>
      </c>
      <c r="AA141" t="n">
        <v>256.285</v>
      </c>
      <c r="AB141" t="n">
        <v>264.37</v>
      </c>
      <c r="AC141" t="n">
        <v>266.36</v>
      </c>
      <c r="AD141" t="n">
        <v>238.719</v>
      </c>
      <c r="AE141" t="n">
        <v>725.708</v>
      </c>
      <c r="AF141" t="n">
        <v>861.699</v>
      </c>
      <c r="AG141" t="n">
        <v>1024.853</v>
      </c>
      <c r="AH141" t="n">
        <v>943.362</v>
      </c>
      <c r="AI141" t="n">
        <v>2.355</v>
      </c>
      <c r="AJ141" t="n">
        <v>2.355</v>
      </c>
      <c r="AK141" t="n">
        <v>3.14</v>
      </c>
      <c r="AL141" t="n">
        <v>2.355</v>
      </c>
      <c r="AM141" t="n">
        <v>1.57</v>
      </c>
      <c r="AN141" t="n">
        <v>686.034</v>
      </c>
      <c r="AO141" t="n">
        <v>538.059</v>
      </c>
      <c r="AP141" t="n">
        <v>553.186</v>
      </c>
      <c r="AQ141" t="n">
        <v>601.034</v>
      </c>
      <c r="AR141" t="n">
        <v>584.633</v>
      </c>
      <c r="AS141" t="n">
        <v>15.238</v>
      </c>
      <c r="AT141" t="n">
        <v>16.088</v>
      </c>
      <c r="AU141" t="n">
        <v>17.722</v>
      </c>
      <c r="AV141" t="n">
        <v>16.023</v>
      </c>
      <c r="AW141" t="n">
        <v>15.238</v>
      </c>
      <c r="AX141" t="n">
        <v>9.678000000000001</v>
      </c>
      <c r="AY141" t="n">
        <v>9.678000000000001</v>
      </c>
      <c r="AZ141" t="n">
        <v>10.528</v>
      </c>
      <c r="BA141" t="n">
        <v>9.678000000000001</v>
      </c>
      <c r="BB141" t="n">
        <v>11.313</v>
      </c>
      <c r="BC141" t="n">
        <v>25.905</v>
      </c>
      <c r="BD141" t="n">
        <v>25.12</v>
      </c>
      <c r="BE141" t="n">
        <v>25.905</v>
      </c>
      <c r="BF141" t="n">
        <v>24.335</v>
      </c>
      <c r="BG141" t="n">
        <v>24.335</v>
      </c>
      <c r="BH141" t="n">
        <v>44.19</v>
      </c>
      <c r="BI141" t="n">
        <v>49.159</v>
      </c>
      <c r="BJ141" t="n">
        <v>48.374</v>
      </c>
      <c r="BK141" t="n">
        <v>55.042</v>
      </c>
      <c r="BL141" t="n">
        <v>182.109</v>
      </c>
      <c r="BM141" t="n">
        <v>189.894</v>
      </c>
      <c r="BN141" t="n">
        <v>184.687</v>
      </c>
      <c r="BO141" t="n">
        <v>207.883</v>
      </c>
      <c r="BP141" t="n">
        <v>216.165</v>
      </c>
      <c r="BQ141" t="n">
        <v>198.126</v>
      </c>
      <c r="BR141" t="n">
        <v>204.008</v>
      </c>
      <c r="BS141" t="n">
        <v>211.319</v>
      </c>
      <c r="BT141" t="n">
        <v>195.989</v>
      </c>
      <c r="BU141" t="n">
        <v>184.864</v>
      </c>
      <c r="BV141" t="n">
        <v>173.273</v>
      </c>
    </row>
    <row r="142">
      <c r="A142" t="inlineStr">
        <is>
          <t>Siganidae</t>
        </is>
      </c>
      <c r="B142" t="inlineStr">
        <is>
          <t>Rabbitfishes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0.153</v>
      </c>
      <c r="F142" t="n">
        <v>3.096</v>
      </c>
      <c r="G142" t="n">
        <v>0.089</v>
      </c>
      <c r="H142" t="n">
        <v>14.834</v>
      </c>
      <c r="I142" t="n">
        <v>15.83</v>
      </c>
      <c r="J142" t="n">
        <v>15.729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0.152</v>
      </c>
      <c r="Z142" t="n">
        <v>0.146</v>
      </c>
      <c r="AA142" t="n">
        <v>0.14</v>
      </c>
      <c r="AB142" t="n">
        <v>0.124</v>
      </c>
      <c r="AC142" t="n">
        <v>0.124</v>
      </c>
      <c r="AD142" t="n">
        <v>0.121</v>
      </c>
      <c r="AE142" t="n">
        <v>26.113</v>
      </c>
      <c r="AF142" t="n">
        <v>18.871</v>
      </c>
      <c r="AG142" t="n">
        <v>32.788</v>
      </c>
      <c r="AH142" t="n">
        <v>29.25</v>
      </c>
      <c r="AI142" t="n">
        <v>28.165</v>
      </c>
      <c r="AJ142" t="n">
        <v>26.166</v>
      </c>
      <c r="AK142" t="n">
        <v>34.702</v>
      </c>
      <c r="AL142" t="n">
        <v>55.323</v>
      </c>
      <c r="AM142" t="n">
        <v>85.821</v>
      </c>
      <c r="AN142" t="n">
        <v>76.68000000000001</v>
      </c>
      <c r="AO142" t="n">
        <v>53.463</v>
      </c>
      <c r="AP142" t="n">
        <v>44.978</v>
      </c>
      <c r="AQ142" t="n">
        <v>45.228</v>
      </c>
      <c r="AR142" t="n">
        <v>33.564</v>
      </c>
      <c r="AS142" t="n">
        <v>45.934</v>
      </c>
      <c r="AT142" t="n">
        <v>17.515</v>
      </c>
      <c r="AU142" t="n">
        <v>10.761</v>
      </c>
      <c r="AV142" t="n">
        <v>8.609</v>
      </c>
      <c r="AW142" t="n">
        <v>3.479</v>
      </c>
      <c r="AX142" t="n">
        <v>438.416</v>
      </c>
      <c r="AY142" t="n">
        <v>437.778</v>
      </c>
      <c r="AZ142" t="n">
        <v>424.899</v>
      </c>
      <c r="BA142" t="n">
        <v>434.726</v>
      </c>
      <c r="BB142" t="n">
        <v>466.15</v>
      </c>
      <c r="BC142" t="n">
        <v>398.61</v>
      </c>
      <c r="BD142" t="n">
        <v>333.634</v>
      </c>
      <c r="BE142" t="n">
        <v>322.797</v>
      </c>
      <c r="BF142" t="n">
        <v>306.712</v>
      </c>
      <c r="BG142" t="n">
        <v>262.828</v>
      </c>
      <c r="BH142" t="n">
        <v>278.005</v>
      </c>
      <c r="BI142" t="n">
        <v>299.689</v>
      </c>
      <c r="BJ142" t="n">
        <v>349.773</v>
      </c>
      <c r="BK142" t="n">
        <v>393.506</v>
      </c>
      <c r="BL142" t="n">
        <v>503.723</v>
      </c>
      <c r="BM142" t="n">
        <v>586.3</v>
      </c>
      <c r="BN142" t="n">
        <v>861.603</v>
      </c>
      <c r="BO142" t="n">
        <v>837.73</v>
      </c>
      <c r="BP142" t="n">
        <v>781.147</v>
      </c>
      <c r="BQ142" t="n">
        <v>802.581</v>
      </c>
      <c r="BR142" t="n">
        <v>857.366</v>
      </c>
      <c r="BS142" t="n">
        <v>857.872</v>
      </c>
      <c r="BT142" t="n">
        <v>860.766</v>
      </c>
      <c r="BU142" t="n">
        <v>1017.449</v>
      </c>
      <c r="BV142" t="n">
        <v>910.066</v>
      </c>
    </row>
    <row r="143">
      <c r="A143" t="inlineStr">
        <is>
          <t>Panulirus longipes</t>
        </is>
      </c>
      <c r="B143" t="inlineStr">
        <is>
          <t>Longlegged spiny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183.776</v>
      </c>
      <c r="AJ143" t="n">
        <v>208.763</v>
      </c>
      <c r="AK143" t="n">
        <v>208.763</v>
      </c>
      <c r="AL143" t="n">
        <v>195.061</v>
      </c>
      <c r="AM143" t="n">
        <v>147.505</v>
      </c>
      <c r="AN143" t="n">
        <v>309.518</v>
      </c>
      <c r="AO143" t="n">
        <v>217.63</v>
      </c>
      <c r="AP143" t="n">
        <v>254.707</v>
      </c>
      <c r="AQ143" t="n">
        <v>344.177</v>
      </c>
      <c r="AR143" t="n">
        <v>347.402</v>
      </c>
      <c r="AS143" t="n">
        <v>797.671</v>
      </c>
      <c r="AT143" t="n">
        <v>810.323</v>
      </c>
      <c r="AU143" t="n">
        <v>819.961</v>
      </c>
      <c r="AV143" t="n">
        <v>843.42</v>
      </c>
      <c r="AW143" t="n">
        <v>774.597</v>
      </c>
      <c r="AX143" t="n">
        <v>661.241</v>
      </c>
      <c r="AY143" t="n">
        <v>686.206</v>
      </c>
      <c r="AZ143" t="n">
        <v>722.6420000000001</v>
      </c>
      <c r="BA143" t="n">
        <v>730.739</v>
      </c>
      <c r="BB143" t="n">
        <v>856.374</v>
      </c>
      <c r="BC143" t="n">
        <v>452.462</v>
      </c>
      <c r="BD143" t="n">
        <v>438.301</v>
      </c>
      <c r="BE143" t="n">
        <v>436.953</v>
      </c>
      <c r="BF143" t="n">
        <v>423.467</v>
      </c>
      <c r="BG143" t="n">
        <v>420.769</v>
      </c>
      <c r="BH143" t="n">
        <v>116.656</v>
      </c>
      <c r="BI143" t="n">
        <v>143.628</v>
      </c>
      <c r="BJ143" t="n">
        <v>135.536</v>
      </c>
      <c r="BK143" t="n">
        <v>152.394</v>
      </c>
      <c r="BL143" t="n">
        <v>74.17400000000001</v>
      </c>
      <c r="BM143" t="n">
        <v>77.54600000000001</v>
      </c>
      <c r="BN143" t="n">
        <v>75.42400000000001</v>
      </c>
      <c r="BO143" t="n">
        <v>84.89700000000001</v>
      </c>
      <c r="BP143" t="n">
        <v>88.28</v>
      </c>
      <c r="BQ143" t="n">
        <v>80.914</v>
      </c>
      <c r="BR143" t="n">
        <v>83.316</v>
      </c>
      <c r="BS143" t="n">
        <v>86.304</v>
      </c>
      <c r="BT143" t="n">
        <v>80.045</v>
      </c>
      <c r="BU143" t="n">
        <v>75.447</v>
      </c>
      <c r="BV143" t="n">
        <v>70.717</v>
      </c>
    </row>
    <row r="144">
      <c r="A144" t="inlineStr">
        <is>
          <t>Solenocera crassicornis</t>
        </is>
      </c>
      <c r="B144" t="inlineStr">
        <is>
          <t>Coastal mud shrimp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2949.147</v>
      </c>
      <c r="AO144" t="n">
        <v>2469.652</v>
      </c>
      <c r="AP144" t="n">
        <v>2345.215</v>
      </c>
      <c r="AQ144" t="n">
        <v>2117.081</v>
      </c>
      <c r="AR144" t="n">
        <v>1976.053</v>
      </c>
      <c r="AS144" t="n">
        <v>3.318</v>
      </c>
      <c r="AT144" t="n">
        <v>4.148</v>
      </c>
      <c r="AU144" t="n">
        <v>3.318</v>
      </c>
      <c r="AV144" t="n">
        <v>3.318</v>
      </c>
      <c r="AW144" t="n">
        <v>3.318</v>
      </c>
      <c r="AX144" t="n">
        <v>214.861</v>
      </c>
      <c r="AY144" t="n">
        <v>223.986</v>
      </c>
      <c r="AZ144" t="n">
        <v>285.375</v>
      </c>
      <c r="BA144" t="n">
        <v>212.372</v>
      </c>
      <c r="BB144" t="n">
        <v>280.397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1.659</v>
      </c>
      <c r="BI144" t="n">
        <v>1.659</v>
      </c>
      <c r="BJ144" t="n">
        <v>1.659</v>
      </c>
      <c r="BK144" t="n">
        <v>1.659</v>
      </c>
      <c r="BL144" t="n">
        <v>3.318</v>
      </c>
      <c r="BM144" t="n">
        <v>2.489</v>
      </c>
      <c r="BN144" t="n">
        <v>2.42</v>
      </c>
      <c r="BO144" t="n">
        <v>2.724</v>
      </c>
      <c r="BP144" t="n">
        <v>2.833</v>
      </c>
      <c r="BQ144" t="n">
        <v>2.596</v>
      </c>
      <c r="BR144" t="n">
        <v>2.673</v>
      </c>
      <c r="BS144" t="n">
        <v>2.769</v>
      </c>
      <c r="BT144" t="n">
        <v>2.568</v>
      </c>
      <c r="BU144" t="n">
        <v>2.434</v>
      </c>
      <c r="BV144" t="n">
        <v>2.281</v>
      </c>
    </row>
    <row r="145">
      <c r="A145" t="inlineStr">
        <is>
          <t>Rhizostomeae</t>
        </is>
      </c>
      <c r="B145" t="inlineStr">
        <is>
          <t>Oral arm jellyfishes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1154.005</v>
      </c>
      <c r="BR145" t="n">
        <v>3937.131</v>
      </c>
      <c r="BS145" t="n">
        <v>2497.522</v>
      </c>
      <c r="BT145" t="n">
        <v>0.155</v>
      </c>
      <c r="BU145" t="n">
        <v>0.155</v>
      </c>
      <c r="BV145" t="n">
        <v>4851.24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0.15</v>
      </c>
      <c r="Y146" t="n">
        <v>1.255</v>
      </c>
      <c r="Z146" t="n">
        <v>1.246</v>
      </c>
      <c r="AA146" t="n">
        <v>1.023</v>
      </c>
      <c r="AB146" t="n">
        <v>1.388</v>
      </c>
      <c r="AC146" t="n">
        <v>2.561</v>
      </c>
      <c r="AD146" t="n">
        <v>3.622</v>
      </c>
      <c r="AE146" t="n">
        <v>258.574</v>
      </c>
      <c r="AF146" t="n">
        <v>315.487</v>
      </c>
      <c r="AG146" t="n">
        <v>356.628</v>
      </c>
      <c r="AH146" t="n">
        <v>367.756</v>
      </c>
      <c r="AI146" t="n">
        <v>368.374</v>
      </c>
      <c r="AJ146" t="n">
        <v>426.005</v>
      </c>
      <c r="AK146" t="n">
        <v>379.186</v>
      </c>
      <c r="AL146" t="n">
        <v>370.46</v>
      </c>
      <c r="AM146" t="n">
        <v>291.375</v>
      </c>
      <c r="AN146" t="n">
        <v>209.041</v>
      </c>
      <c r="AO146" t="n">
        <v>168.427</v>
      </c>
      <c r="AP146" t="n">
        <v>166.631</v>
      </c>
      <c r="AQ146" t="n">
        <v>165.745</v>
      </c>
      <c r="AR146" t="n">
        <v>159.074</v>
      </c>
      <c r="AS146" t="n">
        <v>842.521</v>
      </c>
      <c r="AT146" t="n">
        <v>905.158</v>
      </c>
      <c r="AU146" t="n">
        <v>921.302</v>
      </c>
      <c r="AV146" t="n">
        <v>966.14</v>
      </c>
      <c r="AW146" t="n">
        <v>899.139</v>
      </c>
      <c r="AX146" t="n">
        <v>236.845</v>
      </c>
      <c r="AY146" t="n">
        <v>248.136</v>
      </c>
      <c r="AZ146" t="n">
        <v>312.636</v>
      </c>
      <c r="BA146" t="n">
        <v>235.072</v>
      </c>
      <c r="BB146" t="n">
        <v>309.627</v>
      </c>
      <c r="BC146" t="n">
        <v>57.785</v>
      </c>
      <c r="BD146" t="n">
        <v>57.924</v>
      </c>
      <c r="BE146" t="n">
        <v>53.026</v>
      </c>
      <c r="BF146" t="n">
        <v>54.122</v>
      </c>
      <c r="BG146" t="n">
        <v>54.122</v>
      </c>
      <c r="BH146" t="n">
        <v>76.562</v>
      </c>
      <c r="BI146" t="n">
        <v>83.63</v>
      </c>
      <c r="BJ146" t="n">
        <v>80.504</v>
      </c>
      <c r="BK146" t="n">
        <v>94.104</v>
      </c>
      <c r="BL146" t="n">
        <v>139.921</v>
      </c>
      <c r="BM146" t="n">
        <v>133.11</v>
      </c>
      <c r="BN146" t="n">
        <v>129.368</v>
      </c>
      <c r="BO146" t="n">
        <v>145.607</v>
      </c>
      <c r="BP146" t="n">
        <v>151.389</v>
      </c>
      <c r="BQ146" t="n">
        <v>138.731</v>
      </c>
      <c r="BR146" t="n">
        <v>142.865</v>
      </c>
      <c r="BS146" t="n">
        <v>147.939</v>
      </c>
      <c r="BT146" t="n">
        <v>137.172</v>
      </c>
      <c r="BU146" t="n">
        <v>129.974</v>
      </c>
      <c r="BV146" t="n">
        <v>121.806</v>
      </c>
    </row>
    <row r="147">
      <c r="A147" t="inlineStr">
        <is>
          <t>Istiophorus</t>
        </is>
      </c>
      <c r="B147" t="inlineStr">
        <is>
          <t>Sailfishes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18.763</v>
      </c>
      <c r="F147" t="n">
        <v>20.469</v>
      </c>
      <c r="G147" t="n">
        <v>17.91</v>
      </c>
      <c r="H147" t="n">
        <v>16.205</v>
      </c>
      <c r="I147" t="n">
        <v>17.057</v>
      </c>
      <c r="J147" t="n">
        <v>17.91</v>
      </c>
      <c r="K147" t="n">
        <v>18.763</v>
      </c>
      <c r="L147" t="n">
        <v>18.763</v>
      </c>
      <c r="M147" t="n">
        <v>20.469</v>
      </c>
      <c r="N147" t="n">
        <v>23.88</v>
      </c>
      <c r="O147" t="n">
        <v>24.733</v>
      </c>
      <c r="P147" t="n">
        <v>24.733</v>
      </c>
      <c r="Q147" t="n">
        <v>28.145</v>
      </c>
      <c r="R147" t="n">
        <v>28.998</v>
      </c>
      <c r="S147" t="n">
        <v>34.115</v>
      </c>
      <c r="T147" t="n">
        <v>28.998</v>
      </c>
      <c r="U147" t="n">
        <v>29.85</v>
      </c>
      <c r="V147" t="n">
        <v>29.85</v>
      </c>
      <c r="W147" t="n">
        <v>28.998</v>
      </c>
      <c r="X147" t="n">
        <v>25.586</v>
      </c>
      <c r="Y147" t="n">
        <v>25.586</v>
      </c>
      <c r="Z147" t="n">
        <v>25.586</v>
      </c>
      <c r="AA147" t="n">
        <v>23.88</v>
      </c>
      <c r="AB147" t="n">
        <v>23.028</v>
      </c>
      <c r="AC147" t="n">
        <v>23.028</v>
      </c>
      <c r="AD147" t="n">
        <v>20.469</v>
      </c>
      <c r="AE147" t="n">
        <v>0</v>
      </c>
      <c r="AF147" t="n">
        <v>0</v>
      </c>
      <c r="AG147" t="n">
        <v>0</v>
      </c>
      <c r="AH147" t="n">
        <v>0</v>
      </c>
      <c r="AI147" t="n">
        <v>1193.167</v>
      </c>
      <c r="AJ147" t="n">
        <v>1653.717</v>
      </c>
      <c r="AK147" t="n">
        <v>1031.121</v>
      </c>
      <c r="AL147" t="n">
        <v>1193.167</v>
      </c>
      <c r="AM147" t="n">
        <v>1059.266</v>
      </c>
      <c r="AN147" t="n">
        <v>135.606</v>
      </c>
      <c r="AO147" t="n">
        <v>112.579</v>
      </c>
      <c r="AP147" t="n">
        <v>107.462</v>
      </c>
      <c r="AQ147" t="n">
        <v>97.227</v>
      </c>
      <c r="AR147" t="n">
        <v>92.11</v>
      </c>
      <c r="AS147" t="n">
        <v>110.873</v>
      </c>
      <c r="AT147" t="n">
        <v>126.225</v>
      </c>
      <c r="AU147" t="n">
        <v>129.636</v>
      </c>
      <c r="AV147" t="n">
        <v>136.459</v>
      </c>
      <c r="AW147" t="n">
        <v>133.048</v>
      </c>
      <c r="AX147" t="n">
        <v>431.553</v>
      </c>
      <c r="AY147" t="n">
        <v>451.169</v>
      </c>
      <c r="AZ147" t="n">
        <v>573.129</v>
      </c>
      <c r="BA147" t="n">
        <v>427.288</v>
      </c>
      <c r="BB147" t="n">
        <v>565.453</v>
      </c>
      <c r="BC147" t="n">
        <v>26.439</v>
      </c>
      <c r="BD147" t="n">
        <v>27.292</v>
      </c>
      <c r="BE147" t="n">
        <v>22.175</v>
      </c>
      <c r="BF147" t="n">
        <v>24.733</v>
      </c>
      <c r="BG147" t="n">
        <v>24.733</v>
      </c>
      <c r="BH147" t="n">
        <v>34.968</v>
      </c>
      <c r="BI147" t="n">
        <v>38.379</v>
      </c>
      <c r="BJ147" t="n">
        <v>37.526</v>
      </c>
      <c r="BK147" t="n">
        <v>43.496</v>
      </c>
      <c r="BL147" t="n">
        <v>112.579</v>
      </c>
      <c r="BM147" t="n">
        <v>104.903</v>
      </c>
      <c r="BN147" t="n">
        <v>101.914</v>
      </c>
      <c r="BO147" t="n">
        <v>114.703</v>
      </c>
      <c r="BP147" t="n">
        <v>119.251</v>
      </c>
      <c r="BQ147" t="n">
        <v>109.269</v>
      </c>
      <c r="BR147" t="n">
        <v>112.531</v>
      </c>
      <c r="BS147" t="n">
        <v>116.509</v>
      </c>
      <c r="BT147" t="n">
        <v>108.014</v>
      </c>
      <c r="BU147" t="n">
        <v>102.608</v>
      </c>
      <c r="BV147" t="n">
        <v>96.151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0.068</v>
      </c>
      <c r="J148" t="n">
        <v>0.45</v>
      </c>
      <c r="K148" t="n">
        <v>0.594</v>
      </c>
      <c r="L148" t="n">
        <v>0.066</v>
      </c>
      <c r="M148" t="n">
        <v>0.053</v>
      </c>
      <c r="N148" t="n">
        <v>0.253</v>
      </c>
      <c r="O148" t="n">
        <v>0.432</v>
      </c>
      <c r="P148" t="n">
        <v>1.019</v>
      </c>
      <c r="Q148" t="n">
        <v>0.157</v>
      </c>
      <c r="R148" t="n">
        <v>0.059</v>
      </c>
      <c r="S148" t="n">
        <v>0.288</v>
      </c>
      <c r="T148" t="n">
        <v>0.119</v>
      </c>
      <c r="U148" t="n">
        <v>0.08500000000000001</v>
      </c>
      <c r="V148" t="n">
        <v>0.215</v>
      </c>
      <c r="W148" t="n">
        <v>0.039</v>
      </c>
      <c r="X148" t="n">
        <v>0.668</v>
      </c>
      <c r="Y148" t="n">
        <v>0.328</v>
      </c>
      <c r="Z148" t="n">
        <v>4.241</v>
      </c>
      <c r="AA148" t="n">
        <v>0.016</v>
      </c>
      <c r="AB148" t="n">
        <v>0</v>
      </c>
      <c r="AC148" t="n">
        <v>0.097</v>
      </c>
      <c r="AD148" t="n">
        <v>0.003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0.101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847.47</v>
      </c>
      <c r="BD148" t="n">
        <v>540.025</v>
      </c>
      <c r="BE148" t="n">
        <v>356.946</v>
      </c>
      <c r="BF148" t="n">
        <v>752.585</v>
      </c>
      <c r="BG148" t="n">
        <v>802.854</v>
      </c>
      <c r="BH148" t="n">
        <v>1158.795</v>
      </c>
      <c r="BI148" t="n">
        <v>1079.476</v>
      </c>
      <c r="BJ148" t="n">
        <v>1171.528</v>
      </c>
      <c r="BK148" t="n">
        <v>729.001</v>
      </c>
      <c r="BL148" t="n">
        <v>596.442</v>
      </c>
      <c r="BM148" t="n">
        <v>457.751</v>
      </c>
      <c r="BN148" t="n">
        <v>532.705</v>
      </c>
      <c r="BO148" t="n">
        <v>510.667</v>
      </c>
      <c r="BP148" t="n">
        <v>340.38</v>
      </c>
      <c r="BQ148" t="n">
        <v>351.639</v>
      </c>
      <c r="BR148" t="n">
        <v>341.255</v>
      </c>
      <c r="BS148" t="n">
        <v>278.299</v>
      </c>
      <c r="BT148" t="n">
        <v>164.161</v>
      </c>
      <c r="BU148" t="n">
        <v>151.067</v>
      </c>
      <c r="BV148" t="n">
        <v>86.417</v>
      </c>
    </row>
    <row r="149">
      <c r="A149" t="inlineStr">
        <is>
          <t>Lates calcarifer</t>
        </is>
      </c>
      <c r="B149" t="inlineStr">
        <is>
          <t>Barramundi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0.004</v>
      </c>
      <c r="F149" t="n">
        <v>0.004</v>
      </c>
      <c r="G149" t="n">
        <v>0.004</v>
      </c>
      <c r="H149" t="n">
        <v>0.005</v>
      </c>
      <c r="I149" t="n">
        <v>0.005</v>
      </c>
      <c r="J149" t="n">
        <v>0.005</v>
      </c>
      <c r="K149" t="n">
        <v>0.005</v>
      </c>
      <c r="L149" t="n">
        <v>0.005</v>
      </c>
      <c r="M149" t="n">
        <v>0.005</v>
      </c>
      <c r="N149" t="n">
        <v>0.005</v>
      </c>
      <c r="O149" t="n">
        <v>0.005</v>
      </c>
      <c r="P149" t="n">
        <v>0.006</v>
      </c>
      <c r="Q149" t="n">
        <v>0.007</v>
      </c>
      <c r="R149" t="n">
        <v>0.007</v>
      </c>
      <c r="S149" t="n">
        <v>0.008</v>
      </c>
      <c r="T149" t="n">
        <v>0.008999999999999999</v>
      </c>
      <c r="U149" t="n">
        <v>0.01</v>
      </c>
      <c r="V149" t="n">
        <v>0.008999999999999999</v>
      </c>
      <c r="W149" t="n">
        <v>0.01</v>
      </c>
      <c r="X149" t="n">
        <v>0.011</v>
      </c>
      <c r="Y149" t="n">
        <v>0.01</v>
      </c>
      <c r="Z149" t="n">
        <v>0.01</v>
      </c>
      <c r="AA149" t="n">
        <v>0.011</v>
      </c>
      <c r="AB149" t="n">
        <v>0.014</v>
      </c>
      <c r="AC149" t="n">
        <v>0.016</v>
      </c>
      <c r="AD149" t="n">
        <v>0.013</v>
      </c>
      <c r="AE149" t="n">
        <v>388.195</v>
      </c>
      <c r="AF149" t="n">
        <v>453.101</v>
      </c>
      <c r="AG149" t="n">
        <v>549.4829999999999</v>
      </c>
      <c r="AH149" t="n">
        <v>482.555</v>
      </c>
      <c r="AI149" t="n">
        <v>506.505</v>
      </c>
      <c r="AJ149" t="n">
        <v>703.153</v>
      </c>
      <c r="AK149" t="n">
        <v>438.662</v>
      </c>
      <c r="AL149" t="n">
        <v>507.338</v>
      </c>
      <c r="AM149" t="n">
        <v>449.495</v>
      </c>
      <c r="AN149" t="n">
        <v>95.964</v>
      </c>
      <c r="AO149" t="n">
        <v>141.982</v>
      </c>
      <c r="AP149" t="n">
        <v>140.136</v>
      </c>
      <c r="AQ149" t="n">
        <v>88.66800000000001</v>
      </c>
      <c r="AR149" t="n">
        <v>81.601</v>
      </c>
      <c r="AS149" t="n">
        <v>27.067</v>
      </c>
      <c r="AT149" t="n">
        <v>15.921</v>
      </c>
      <c r="AU149" t="n">
        <v>14.754</v>
      </c>
      <c r="AV149" t="n">
        <v>14.18</v>
      </c>
      <c r="AW149" t="n">
        <v>591.586</v>
      </c>
      <c r="AX149" t="n">
        <v>36.655</v>
      </c>
      <c r="AY149" t="n">
        <v>587.047</v>
      </c>
      <c r="AZ149" t="n">
        <v>64.917</v>
      </c>
      <c r="BA149" t="n">
        <v>66.255</v>
      </c>
      <c r="BB149" t="n">
        <v>80.117</v>
      </c>
      <c r="BC149" t="n">
        <v>998.349</v>
      </c>
      <c r="BD149" t="n">
        <v>494.91</v>
      </c>
      <c r="BE149" t="n">
        <v>515.8390000000001</v>
      </c>
      <c r="BF149" t="n">
        <v>106.891</v>
      </c>
      <c r="BG149" t="n">
        <v>74.983</v>
      </c>
      <c r="BH149" t="n">
        <v>79.22</v>
      </c>
      <c r="BI149" t="n">
        <v>95.667</v>
      </c>
      <c r="BJ149" t="n">
        <v>82.325</v>
      </c>
      <c r="BK149" t="n">
        <v>55.383</v>
      </c>
      <c r="BL149" t="n">
        <v>62.742</v>
      </c>
      <c r="BM149" t="n">
        <v>49.537</v>
      </c>
      <c r="BN149" t="n">
        <v>47.874</v>
      </c>
      <c r="BO149" t="n">
        <v>54.11</v>
      </c>
      <c r="BP149" t="n">
        <v>143.699</v>
      </c>
      <c r="BQ149" t="n">
        <v>256.031</v>
      </c>
      <c r="BR149" t="n">
        <v>245.142</v>
      </c>
      <c r="BS149" t="n">
        <v>70.21299999999999</v>
      </c>
      <c r="BT149" t="n">
        <v>54.539</v>
      </c>
      <c r="BU149" t="n">
        <v>189.251</v>
      </c>
      <c r="BV149" t="n">
        <v>667.958</v>
      </c>
    </row>
    <row r="150">
      <c r="A150" t="inlineStr">
        <is>
          <t>Monacanthidae</t>
        </is>
      </c>
      <c r="B150" t="inlineStr">
        <is>
          <t>Filefishes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23.897</v>
      </c>
      <c r="F150" t="n">
        <v>23.897</v>
      </c>
      <c r="G150" t="n">
        <v>32.137</v>
      </c>
      <c r="H150" t="n">
        <v>28.017</v>
      </c>
      <c r="I150" t="n">
        <v>23.897</v>
      </c>
      <c r="J150" t="n">
        <v>23.897</v>
      </c>
      <c r="K150" t="n">
        <v>23.897</v>
      </c>
      <c r="L150" t="n">
        <v>23.073</v>
      </c>
      <c r="M150" t="n">
        <v>24.721</v>
      </c>
      <c r="N150" t="n">
        <v>23.897</v>
      </c>
      <c r="O150" t="n">
        <v>32.137</v>
      </c>
      <c r="P150" t="n">
        <v>40.377</v>
      </c>
      <c r="Q150" t="n">
        <v>41.201</v>
      </c>
      <c r="R150" t="n">
        <v>64.274</v>
      </c>
      <c r="S150" t="n">
        <v>59.33</v>
      </c>
      <c r="T150" t="n">
        <v>73.114</v>
      </c>
      <c r="U150" t="n">
        <v>83.714</v>
      </c>
      <c r="V150" t="n">
        <v>77.164</v>
      </c>
      <c r="W150" t="n">
        <v>81.997</v>
      </c>
      <c r="X150" t="n">
        <v>71.015</v>
      </c>
      <c r="Y150" t="n">
        <v>93.066</v>
      </c>
      <c r="Z150" t="n">
        <v>106.993</v>
      </c>
      <c r="AA150" t="n">
        <v>106.504</v>
      </c>
      <c r="AB150" t="n">
        <v>85.741</v>
      </c>
      <c r="AC150" t="n">
        <v>107.375</v>
      </c>
      <c r="AD150" t="n">
        <v>96.663</v>
      </c>
      <c r="AE150" t="n">
        <v>88.59</v>
      </c>
      <c r="AF150" t="n">
        <v>115.354</v>
      </c>
      <c r="AG150" t="n">
        <v>120.113</v>
      </c>
      <c r="AH150" t="n">
        <v>108.057</v>
      </c>
      <c r="AI150" t="n">
        <v>82.232</v>
      </c>
      <c r="AJ150" t="n">
        <v>120.148</v>
      </c>
      <c r="AK150" t="n">
        <v>80.29300000000001</v>
      </c>
      <c r="AL150" t="n">
        <v>88.949</v>
      </c>
      <c r="AM150" t="n">
        <v>69.928</v>
      </c>
      <c r="AN150" t="n">
        <v>79.122</v>
      </c>
      <c r="AO150" t="n">
        <v>74.235</v>
      </c>
      <c r="AP150" t="n">
        <v>178.763</v>
      </c>
      <c r="AQ150" t="n">
        <v>165.966</v>
      </c>
      <c r="AR150" t="n">
        <v>226.279</v>
      </c>
      <c r="AS150" t="n">
        <v>275.001</v>
      </c>
      <c r="AT150" t="n">
        <v>245.937</v>
      </c>
      <c r="AU150" t="n">
        <v>210.653</v>
      </c>
      <c r="AV150" t="n">
        <v>232.34</v>
      </c>
      <c r="AW150" t="n">
        <v>254.812</v>
      </c>
      <c r="AX150" t="n">
        <v>234.318</v>
      </c>
      <c r="AY150" t="n">
        <v>208.064</v>
      </c>
      <c r="AZ150" t="n">
        <v>191.74</v>
      </c>
      <c r="BA150" t="n">
        <v>222.833</v>
      </c>
      <c r="BB150" t="n">
        <v>246.406</v>
      </c>
      <c r="BC150" t="n">
        <v>261.158</v>
      </c>
      <c r="BD150" t="n">
        <v>267.651</v>
      </c>
      <c r="BE150" t="n">
        <v>279.233</v>
      </c>
      <c r="BF150" t="n">
        <v>267.772</v>
      </c>
      <c r="BG150" t="n">
        <v>236.836</v>
      </c>
      <c r="BH150" t="n">
        <v>260.909</v>
      </c>
      <c r="BI150" t="n">
        <v>236.404</v>
      </c>
      <c r="BJ150" t="n">
        <v>241.564</v>
      </c>
      <c r="BK150" t="n">
        <v>212.205</v>
      </c>
      <c r="BL150" t="n">
        <v>197.022</v>
      </c>
      <c r="BM150" t="n">
        <v>213.62</v>
      </c>
      <c r="BN150" t="n">
        <v>209.299</v>
      </c>
      <c r="BO150" t="n">
        <v>235.26</v>
      </c>
      <c r="BP150" t="n">
        <v>244.456</v>
      </c>
      <c r="BQ150" t="n">
        <v>224.841</v>
      </c>
      <c r="BR150" t="n">
        <v>231.292</v>
      </c>
      <c r="BS150" t="n">
        <v>239.821</v>
      </c>
      <c r="BT150" t="n">
        <v>222.978</v>
      </c>
      <c r="BU150" t="n">
        <v>211.457</v>
      </c>
      <c r="BV150" t="n">
        <v>198.137</v>
      </c>
    </row>
    <row r="151">
      <c r="A151" t="inlineStr">
        <is>
          <t>Thunnus</t>
        </is>
      </c>
      <c r="B151" t="inlineStr">
        <is>
          <t>Tunas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0.002</v>
      </c>
      <c r="F151" t="n">
        <v>0</v>
      </c>
      <c r="G151" t="n">
        <v>0</v>
      </c>
      <c r="H151" t="n">
        <v>0</v>
      </c>
      <c r="I151" t="n">
        <v>0</v>
      </c>
      <c r="J151" t="n">
        <v>0.001</v>
      </c>
      <c r="K151" t="n">
        <v>0.001</v>
      </c>
      <c r="L151" t="n">
        <v>0</v>
      </c>
      <c r="M151" t="n">
        <v>0</v>
      </c>
      <c r="N151" t="n">
        <v>0</v>
      </c>
      <c r="O151" t="n">
        <v>0.002</v>
      </c>
      <c r="P151" t="n">
        <v>0.003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459.692</v>
      </c>
      <c r="Z151" t="n">
        <v>320.908</v>
      </c>
      <c r="AA151" t="n">
        <v>367.459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673.2380000000001</v>
      </c>
      <c r="AH151" t="n">
        <v>419.828</v>
      </c>
      <c r="AI151" t="n">
        <v>988.91</v>
      </c>
      <c r="AJ151" t="n">
        <v>420.701</v>
      </c>
      <c r="AK151" t="n">
        <v>339.238</v>
      </c>
      <c r="AL151" t="n">
        <v>720.953</v>
      </c>
      <c r="AM151" t="n">
        <v>827.146</v>
      </c>
      <c r="AN151" t="n">
        <v>1278.396</v>
      </c>
      <c r="AO151" t="n">
        <v>1092.194</v>
      </c>
      <c r="AP151" t="n">
        <v>673.2380000000001</v>
      </c>
      <c r="AQ151" t="n">
        <v>0</v>
      </c>
      <c r="AR151" t="n">
        <v>817.836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0.41</v>
      </c>
      <c r="BH151" t="n">
        <v>0.004</v>
      </c>
      <c r="BI151" t="n">
        <v>0.001</v>
      </c>
      <c r="BJ151" t="n">
        <v>0.037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267.657</v>
      </c>
      <c r="F152" t="n">
        <v>255.188</v>
      </c>
      <c r="G152" t="n">
        <v>235.239</v>
      </c>
      <c r="H152" t="n">
        <v>221.108</v>
      </c>
      <c r="I152" t="n">
        <v>223.601</v>
      </c>
      <c r="J152" t="n">
        <v>238.563</v>
      </c>
      <c r="K152" t="n">
        <v>241.888</v>
      </c>
      <c r="L152" t="n">
        <v>249.369</v>
      </c>
      <c r="M152" t="n">
        <v>282.619</v>
      </c>
      <c r="N152" t="n">
        <v>305.893</v>
      </c>
      <c r="O152" t="n">
        <v>321.687</v>
      </c>
      <c r="P152" t="n">
        <v>328.336</v>
      </c>
      <c r="Q152" t="n">
        <v>368.236</v>
      </c>
      <c r="R152" t="n">
        <v>394.004</v>
      </c>
      <c r="S152" t="n">
        <v>449.696</v>
      </c>
      <c r="T152" t="n">
        <v>390.679</v>
      </c>
      <c r="U152" t="n">
        <v>388.185</v>
      </c>
      <c r="V152" t="n">
        <v>394.004</v>
      </c>
      <c r="W152" t="n">
        <v>389.016</v>
      </c>
      <c r="X152" t="n">
        <v>344.13</v>
      </c>
      <c r="Y152" t="n">
        <v>340.805</v>
      </c>
      <c r="Z152" t="n">
        <v>333.324</v>
      </c>
      <c r="AA152" t="n">
        <v>312.543</v>
      </c>
      <c r="AB152" t="n">
        <v>314.206</v>
      </c>
      <c r="AC152" t="n">
        <v>310.049</v>
      </c>
      <c r="AD152" t="n">
        <v>265.445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Scarus</t>
        </is>
      </c>
      <c r="B153" t="inlineStr">
        <is>
          <t>Parrots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23.24</v>
      </c>
      <c r="F153" t="n">
        <v>21.58</v>
      </c>
      <c r="G153" t="n">
        <v>19.09</v>
      </c>
      <c r="H153" t="n">
        <v>19.09</v>
      </c>
      <c r="I153" t="n">
        <v>18.26</v>
      </c>
      <c r="J153" t="n">
        <v>19.92</v>
      </c>
      <c r="K153" t="n">
        <v>20.75</v>
      </c>
      <c r="L153" t="n">
        <v>20.75</v>
      </c>
      <c r="M153" t="n">
        <v>23.24</v>
      </c>
      <c r="N153" t="n">
        <v>24.9</v>
      </c>
      <c r="O153" t="n">
        <v>26.56</v>
      </c>
      <c r="P153" t="n">
        <v>27.39</v>
      </c>
      <c r="Q153" t="n">
        <v>30.709</v>
      </c>
      <c r="R153" t="n">
        <v>33.199</v>
      </c>
      <c r="S153" t="n">
        <v>38.179</v>
      </c>
      <c r="T153" t="n">
        <v>32.369</v>
      </c>
      <c r="U153" t="n">
        <v>32.369</v>
      </c>
      <c r="V153" t="n">
        <v>32.369</v>
      </c>
      <c r="W153" t="n">
        <v>32.369</v>
      </c>
      <c r="X153" t="n">
        <v>28.22</v>
      </c>
      <c r="Y153" t="n">
        <v>29.049</v>
      </c>
      <c r="Z153" t="n">
        <v>28.22</v>
      </c>
      <c r="AA153" t="n">
        <v>25.73</v>
      </c>
      <c r="AB153" t="n">
        <v>26.56</v>
      </c>
      <c r="AC153" t="n">
        <v>25.73</v>
      </c>
      <c r="AD153" t="n">
        <v>21.58</v>
      </c>
      <c r="AE153" t="n">
        <v>0</v>
      </c>
      <c r="AF153" t="n">
        <v>0</v>
      </c>
      <c r="AG153" t="n">
        <v>0</v>
      </c>
      <c r="AH153" t="n">
        <v>0</v>
      </c>
      <c r="AI153" t="n">
        <v>216.632</v>
      </c>
      <c r="AJ153" t="n">
        <v>294.562</v>
      </c>
      <c r="AK153" t="n">
        <v>194.104</v>
      </c>
      <c r="AL153" t="n">
        <v>218.262</v>
      </c>
      <c r="AM153" t="n">
        <v>191.079</v>
      </c>
      <c r="AN153" t="n">
        <v>72.032</v>
      </c>
      <c r="AO153" t="n">
        <v>58.811</v>
      </c>
      <c r="AP153" t="n">
        <v>57.952</v>
      </c>
      <c r="AQ153" t="n">
        <v>52.942</v>
      </c>
      <c r="AR153" t="n">
        <v>50.423</v>
      </c>
      <c r="AS153" t="n">
        <v>226.236</v>
      </c>
      <c r="AT153" t="n">
        <v>239.213</v>
      </c>
      <c r="AU153" t="n">
        <v>243.312</v>
      </c>
      <c r="AV153" t="n">
        <v>251.804</v>
      </c>
      <c r="AW153" t="n">
        <v>234.123</v>
      </c>
      <c r="AX153" t="n">
        <v>81.3</v>
      </c>
      <c r="AY153" t="n">
        <v>82.95999999999999</v>
      </c>
      <c r="AZ153" t="n">
        <v>101.992</v>
      </c>
      <c r="BA153" t="n">
        <v>83.703</v>
      </c>
      <c r="BB153" t="n">
        <v>105.968</v>
      </c>
      <c r="BC153" t="n">
        <v>202.42</v>
      </c>
      <c r="BD153" t="n">
        <v>209.089</v>
      </c>
      <c r="BE153" t="n">
        <v>177.549</v>
      </c>
      <c r="BF153" t="n">
        <v>196.639</v>
      </c>
      <c r="BG153" t="n">
        <v>194.178</v>
      </c>
      <c r="BH153" t="n">
        <v>47.193</v>
      </c>
      <c r="BI153" t="n">
        <v>53.003</v>
      </c>
      <c r="BJ153" t="n">
        <v>49.683</v>
      </c>
      <c r="BK153" t="n">
        <v>57.983</v>
      </c>
      <c r="BL153" t="n">
        <v>287.001</v>
      </c>
      <c r="BM153" t="n">
        <v>270.373</v>
      </c>
      <c r="BN153" t="n">
        <v>262.696</v>
      </c>
      <c r="BO153" t="n">
        <v>295.665</v>
      </c>
      <c r="BP153" t="n">
        <v>307.391</v>
      </c>
      <c r="BQ153" t="n">
        <v>281.67</v>
      </c>
      <c r="BR153" t="n">
        <v>290.074</v>
      </c>
      <c r="BS153" t="n">
        <v>300.34</v>
      </c>
      <c r="BT153" t="n">
        <v>278.453</v>
      </c>
      <c r="BU153" t="n">
        <v>264.365</v>
      </c>
      <c r="BV153" t="n">
        <v>247.735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1.661</v>
      </c>
      <c r="F154" t="n">
        <v>1.661</v>
      </c>
      <c r="G154" t="n">
        <v>1.661</v>
      </c>
      <c r="H154" t="n">
        <v>1.661</v>
      </c>
      <c r="I154" t="n">
        <v>1.661</v>
      </c>
      <c r="J154" t="n">
        <v>3.322</v>
      </c>
      <c r="K154" t="n">
        <v>3.322</v>
      </c>
      <c r="L154" t="n">
        <v>3.322</v>
      </c>
      <c r="M154" t="n">
        <v>3.322</v>
      </c>
      <c r="N154" t="n">
        <v>3.322</v>
      </c>
      <c r="O154" t="n">
        <v>3.322</v>
      </c>
      <c r="P154" t="n">
        <v>3.322</v>
      </c>
      <c r="Q154" t="n">
        <v>3.322</v>
      </c>
      <c r="R154" t="n">
        <v>4.153</v>
      </c>
      <c r="S154" t="n">
        <v>4.983</v>
      </c>
      <c r="T154" t="n">
        <v>26.515</v>
      </c>
      <c r="U154" t="n">
        <v>45.081</v>
      </c>
      <c r="V154" t="n">
        <v>66.90900000000001</v>
      </c>
      <c r="W154" t="n">
        <v>89.557</v>
      </c>
      <c r="X154" t="n">
        <v>93.851</v>
      </c>
      <c r="Y154" t="n">
        <v>933.038</v>
      </c>
      <c r="Z154" t="n">
        <v>947.478</v>
      </c>
      <c r="AA154" t="n">
        <v>943.583</v>
      </c>
      <c r="AB154" t="n">
        <v>1243.442</v>
      </c>
      <c r="AC154" t="n">
        <v>1115.533</v>
      </c>
      <c r="AD154" t="n">
        <v>1169.22</v>
      </c>
      <c r="AE154" t="n">
        <v>11.537</v>
      </c>
      <c r="AF154" t="n">
        <v>116.388</v>
      </c>
      <c r="AG154" t="n">
        <v>250.759</v>
      </c>
      <c r="AH154" t="n">
        <v>81.348</v>
      </c>
      <c r="AI154" t="n">
        <v>160.409</v>
      </c>
      <c r="AJ154" t="n">
        <v>380.247</v>
      </c>
      <c r="AK154" t="n">
        <v>19.435</v>
      </c>
      <c r="AL154" t="n">
        <v>46.096</v>
      </c>
      <c r="AM154" t="n">
        <v>21.836</v>
      </c>
      <c r="AN154" t="n">
        <v>10.238</v>
      </c>
      <c r="AO154" t="n">
        <v>7.475</v>
      </c>
      <c r="AP154" t="n">
        <v>6.645</v>
      </c>
      <c r="AQ154" t="n">
        <v>6.645</v>
      </c>
      <c r="AR154" t="n">
        <v>6.645</v>
      </c>
      <c r="AS154" t="n">
        <v>8.186</v>
      </c>
      <c r="AT154" t="n">
        <v>8.868</v>
      </c>
      <c r="AU154" t="n">
        <v>8.868</v>
      </c>
      <c r="AV154" t="n">
        <v>8.868</v>
      </c>
      <c r="AW154" t="n">
        <v>8.186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0.6820000000000001</v>
      </c>
      <c r="BM154" t="n">
        <v>1.364</v>
      </c>
      <c r="BN154" t="n">
        <v>1.325</v>
      </c>
      <c r="BO154" t="n">
        <v>1.491</v>
      </c>
      <c r="BP154" t="n">
        <v>1.55</v>
      </c>
      <c r="BQ154" t="n">
        <v>1.42</v>
      </c>
      <c r="BR154" t="n">
        <v>1.463</v>
      </c>
      <c r="BS154" t="n">
        <v>1.514</v>
      </c>
      <c r="BT154" t="n">
        <v>1.403</v>
      </c>
      <c r="BU154" t="n">
        <v>1.323</v>
      </c>
      <c r="BV154" t="n">
        <v>1.239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6.987</v>
      </c>
      <c r="U155" t="n">
        <v>12.577</v>
      </c>
      <c r="V155" t="n">
        <v>20.961</v>
      </c>
      <c r="W155" t="n">
        <v>26.582</v>
      </c>
      <c r="X155" t="n">
        <v>29.396</v>
      </c>
      <c r="Y155" t="n">
        <v>75.45999999999999</v>
      </c>
      <c r="Z155" t="n">
        <v>80.351</v>
      </c>
      <c r="AA155" t="n">
        <v>116.925</v>
      </c>
      <c r="AB155" t="n">
        <v>140.497</v>
      </c>
      <c r="AC155" t="n">
        <v>173.978</v>
      </c>
      <c r="AD155" t="n">
        <v>200.924</v>
      </c>
      <c r="AE155" t="n">
        <v>67.014</v>
      </c>
      <c r="AF155" t="n">
        <v>81.78100000000001</v>
      </c>
      <c r="AG155" t="n">
        <v>94.637</v>
      </c>
      <c r="AH155" t="n">
        <v>94.41500000000001</v>
      </c>
      <c r="AI155" t="n">
        <v>327.874</v>
      </c>
      <c r="AJ155" t="n">
        <v>393.511</v>
      </c>
      <c r="AK155" t="n">
        <v>348.118</v>
      </c>
      <c r="AL155" t="n">
        <v>341.149</v>
      </c>
      <c r="AM155" t="n">
        <v>269.353</v>
      </c>
      <c r="AN155" t="n">
        <v>84.146</v>
      </c>
      <c r="AO155" t="n">
        <v>60.012</v>
      </c>
      <c r="AP155" t="n">
        <v>67.604</v>
      </c>
      <c r="AQ155" t="n">
        <v>86.979</v>
      </c>
      <c r="AR155" t="n">
        <v>86.979</v>
      </c>
      <c r="AS155" t="n">
        <v>87.67700000000001</v>
      </c>
      <c r="AT155" t="n">
        <v>94.947</v>
      </c>
      <c r="AU155" t="n">
        <v>96.43899999999999</v>
      </c>
      <c r="AV155" t="n">
        <v>100.631</v>
      </c>
      <c r="AW155" t="n">
        <v>93.64400000000001</v>
      </c>
      <c r="AX155" t="n">
        <v>135.811</v>
      </c>
      <c r="AY155" t="n">
        <v>140.797</v>
      </c>
      <c r="AZ155" t="n">
        <v>153.43</v>
      </c>
      <c r="BA155" t="n">
        <v>149.181</v>
      </c>
      <c r="BB155" t="n">
        <v>177.185</v>
      </c>
      <c r="BC155" t="n">
        <v>120.346</v>
      </c>
      <c r="BD155" t="n">
        <v>117.645</v>
      </c>
      <c r="BE155" t="n">
        <v>114.473</v>
      </c>
      <c r="BF155" t="n">
        <v>113.264</v>
      </c>
      <c r="BG155" t="n">
        <v>111.772</v>
      </c>
      <c r="BH155" t="n">
        <v>31.345</v>
      </c>
      <c r="BI155" t="n">
        <v>34.517</v>
      </c>
      <c r="BJ155" t="n">
        <v>32.931</v>
      </c>
      <c r="BK155" t="n">
        <v>39.275</v>
      </c>
      <c r="BL155" t="n">
        <v>206.801</v>
      </c>
      <c r="BM155" t="n">
        <v>207.028</v>
      </c>
      <c r="BN155" t="n">
        <v>201.295</v>
      </c>
      <c r="BO155" t="n">
        <v>226.571</v>
      </c>
      <c r="BP155" t="n">
        <v>235.586</v>
      </c>
      <c r="BQ155" t="n">
        <v>215.911</v>
      </c>
      <c r="BR155" t="n">
        <v>222.33</v>
      </c>
      <c r="BS155" t="n">
        <v>230.269</v>
      </c>
      <c r="BT155" t="n">
        <v>213.543</v>
      </c>
      <c r="BU155" t="n">
        <v>201.929</v>
      </c>
      <c r="BV155" t="n">
        <v>189.255</v>
      </c>
    </row>
    <row r="156">
      <c r="A156" t="inlineStr">
        <is>
          <t>Lethrinus</t>
        </is>
      </c>
      <c r="B156" t="inlineStr">
        <is>
          <t>Emperors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0.001</v>
      </c>
      <c r="H156" t="n">
        <v>0.001</v>
      </c>
      <c r="I156" t="n">
        <v>0.001</v>
      </c>
      <c r="J156" t="n">
        <v>0.001</v>
      </c>
      <c r="K156" t="n">
        <v>0.001</v>
      </c>
      <c r="L156" t="n">
        <v>0.001</v>
      </c>
      <c r="M156" t="n">
        <v>0.001</v>
      </c>
      <c r="N156" t="n">
        <v>0.001</v>
      </c>
      <c r="O156" t="n">
        <v>0.001</v>
      </c>
      <c r="P156" t="n">
        <v>0.001</v>
      </c>
      <c r="Q156" t="n">
        <v>0.001</v>
      </c>
      <c r="R156" t="n">
        <v>0.001</v>
      </c>
      <c r="S156" t="n">
        <v>0.001</v>
      </c>
      <c r="T156" t="n">
        <v>0.001</v>
      </c>
      <c r="U156" t="n">
        <v>0.001</v>
      </c>
      <c r="V156" t="n">
        <v>0.001</v>
      </c>
      <c r="W156" t="n">
        <v>0.001</v>
      </c>
      <c r="X156" t="n">
        <v>0.001</v>
      </c>
      <c r="Y156" t="n">
        <v>0.001</v>
      </c>
      <c r="Z156" t="n">
        <v>0.001</v>
      </c>
      <c r="AA156" t="n">
        <v>0.001</v>
      </c>
      <c r="AB156" t="n">
        <v>0</v>
      </c>
      <c r="AC156" t="n">
        <v>0</v>
      </c>
      <c r="AD156" t="n">
        <v>0.005</v>
      </c>
      <c r="AE156" t="n">
        <v>0.001</v>
      </c>
      <c r="AF156" t="n">
        <v>0.001</v>
      </c>
      <c r="AG156" t="n">
        <v>0.001</v>
      </c>
      <c r="AH156" t="n">
        <v>0.002</v>
      </c>
      <c r="AI156" t="n">
        <v>0.002</v>
      </c>
      <c r="AJ156" t="n">
        <v>0.002</v>
      </c>
      <c r="AK156" t="n">
        <v>0.002</v>
      </c>
      <c r="AL156" t="n">
        <v>0.002</v>
      </c>
      <c r="AM156" t="n">
        <v>0.002</v>
      </c>
      <c r="AN156" t="n">
        <v>0.001</v>
      </c>
      <c r="AO156" t="n">
        <v>0.002</v>
      </c>
      <c r="AP156" t="n">
        <v>0.001</v>
      </c>
      <c r="AQ156" t="n">
        <v>0.001</v>
      </c>
      <c r="AR156" t="n">
        <v>0.002</v>
      </c>
      <c r="AS156" t="n">
        <v>0.003</v>
      </c>
      <c r="AT156" t="n">
        <v>0.003</v>
      </c>
      <c r="AU156" t="n">
        <v>0.001</v>
      </c>
      <c r="AV156" t="n">
        <v>0.003</v>
      </c>
      <c r="AW156" t="n">
        <v>0.002</v>
      </c>
      <c r="AX156" t="n">
        <v>0.01</v>
      </c>
      <c r="AY156" t="n">
        <v>0.012</v>
      </c>
      <c r="AZ156" t="n">
        <v>0.006</v>
      </c>
      <c r="BA156" t="n">
        <v>0.006</v>
      </c>
      <c r="BB156" t="n">
        <v>0.006</v>
      </c>
      <c r="BC156" t="n">
        <v>0.008</v>
      </c>
      <c r="BD156" t="n">
        <v>0.006</v>
      </c>
      <c r="BE156" t="n">
        <v>0.006</v>
      </c>
      <c r="BF156" t="n">
        <v>0.006</v>
      </c>
      <c r="BG156" t="n">
        <v>0.002</v>
      </c>
      <c r="BH156" t="n">
        <v>152.141</v>
      </c>
      <c r="BI156" t="n">
        <v>173.586</v>
      </c>
      <c r="BJ156" t="n">
        <v>164.76</v>
      </c>
      <c r="BK156" t="n">
        <v>187.055</v>
      </c>
      <c r="BL156" t="n">
        <v>610.829</v>
      </c>
      <c r="BM156" t="n">
        <v>577.42</v>
      </c>
      <c r="BN156" t="n">
        <v>561.059</v>
      </c>
      <c r="BO156" t="n">
        <v>631.476</v>
      </c>
      <c r="BP156" t="n">
        <v>656.5309999999999</v>
      </c>
      <c r="BQ156" t="n">
        <v>601.607</v>
      </c>
      <c r="BR156" t="n">
        <v>619.549</v>
      </c>
      <c r="BS156" t="n">
        <v>641.5</v>
      </c>
      <c r="BT156" t="n">
        <v>594.769</v>
      </c>
      <c r="BU156" t="n">
        <v>564.335</v>
      </c>
      <c r="BV156" t="n">
        <v>528.846</v>
      </c>
    </row>
    <row r="157">
      <c r="A157" t="inlineStr">
        <is>
          <t>Dussumieria elopsoides</t>
        </is>
      </c>
      <c r="B157" t="inlineStr">
        <is>
          <t>Slender rainbow sardine</t>
        </is>
      </c>
      <c r="C157" t="inlineStr">
        <is>
          <t>Small pelagics (&lt;30 cm)</t>
        </is>
      </c>
      <c r="D157" t="inlineStr">
        <is>
          <t>Herring-likes</t>
        </is>
      </c>
      <c r="E157" t="n">
        <v>17.51</v>
      </c>
      <c r="F157" t="n">
        <v>17.51</v>
      </c>
      <c r="G157" t="n">
        <v>23.347</v>
      </c>
      <c r="H157" t="n">
        <v>20.846</v>
      </c>
      <c r="I157" t="n">
        <v>17.51</v>
      </c>
      <c r="J157" t="n">
        <v>17.51</v>
      </c>
      <c r="K157" t="n">
        <v>17.51</v>
      </c>
      <c r="L157" t="n">
        <v>16.677</v>
      </c>
      <c r="M157" t="n">
        <v>18.344</v>
      </c>
      <c r="N157" t="n">
        <v>17.51</v>
      </c>
      <c r="O157" t="n">
        <v>23.347</v>
      </c>
      <c r="P157" t="n">
        <v>29.184</v>
      </c>
      <c r="Q157" t="n">
        <v>30.018</v>
      </c>
      <c r="R157" t="n">
        <v>47.528</v>
      </c>
      <c r="S157" t="n">
        <v>44.193</v>
      </c>
      <c r="T157" t="n">
        <v>51.951</v>
      </c>
      <c r="U157" t="n">
        <v>60.494</v>
      </c>
      <c r="V157" t="n">
        <v>55.771</v>
      </c>
      <c r="W157" t="n">
        <v>59.468</v>
      </c>
      <c r="X157" t="n">
        <v>49.886</v>
      </c>
      <c r="Y157" t="n">
        <v>66.345</v>
      </c>
      <c r="Z157" t="n">
        <v>76.124</v>
      </c>
      <c r="AA157" t="n">
        <v>74.759</v>
      </c>
      <c r="AB157" t="n">
        <v>58.893</v>
      </c>
      <c r="AC157" t="n">
        <v>73.053</v>
      </c>
      <c r="AD157" t="n">
        <v>64.872</v>
      </c>
      <c r="AE157" t="n">
        <v>59.665</v>
      </c>
      <c r="AF157" t="n">
        <v>77.601</v>
      </c>
      <c r="AG157" t="n">
        <v>81.172</v>
      </c>
      <c r="AH157" t="n">
        <v>72.05800000000001</v>
      </c>
      <c r="AI157" t="n">
        <v>54.967</v>
      </c>
      <c r="AJ157" t="n">
        <v>79.41200000000001</v>
      </c>
      <c r="AK157" t="n">
        <v>53.101</v>
      </c>
      <c r="AL157" t="n">
        <v>59.488</v>
      </c>
      <c r="AM157" t="n">
        <v>46.148</v>
      </c>
      <c r="AN157" t="n">
        <v>53.155</v>
      </c>
      <c r="AO157" t="n">
        <v>49.815</v>
      </c>
      <c r="AP157" t="n">
        <v>117.764</v>
      </c>
      <c r="AQ157" t="n">
        <v>108.645</v>
      </c>
      <c r="AR157" t="n">
        <v>155.274</v>
      </c>
      <c r="AS157" t="n">
        <v>191.761</v>
      </c>
      <c r="AT157" t="n">
        <v>171.443</v>
      </c>
      <c r="AU157" t="n">
        <v>147.354</v>
      </c>
      <c r="AV157" t="n">
        <v>161.335</v>
      </c>
      <c r="AW157" t="n">
        <v>177.251</v>
      </c>
      <c r="AX157" t="n">
        <v>163.573</v>
      </c>
      <c r="AY157" t="n">
        <v>144.74</v>
      </c>
      <c r="AZ157" t="n">
        <v>134.089</v>
      </c>
      <c r="BA157" t="n">
        <v>154.438</v>
      </c>
      <c r="BB157" t="n">
        <v>171.12</v>
      </c>
      <c r="BC157" t="n">
        <v>181.03</v>
      </c>
      <c r="BD157" t="n">
        <v>190.552</v>
      </c>
      <c r="BE157" t="n">
        <v>201.687</v>
      </c>
      <c r="BF157" t="n">
        <v>194.413</v>
      </c>
      <c r="BG157" t="n">
        <v>171.305</v>
      </c>
      <c r="BH157" t="n">
        <v>188.153</v>
      </c>
      <c r="BI157" t="n">
        <v>170.984</v>
      </c>
      <c r="BJ157" t="n">
        <v>173.913</v>
      </c>
      <c r="BK157" t="n">
        <v>153.201</v>
      </c>
      <c r="BL157" t="n">
        <v>143.566</v>
      </c>
      <c r="BM157" t="n">
        <v>155.083</v>
      </c>
      <c r="BN157" t="n">
        <v>151.947</v>
      </c>
      <c r="BO157" t="n">
        <v>170.795</v>
      </c>
      <c r="BP157" t="n">
        <v>177.473</v>
      </c>
      <c r="BQ157" t="n">
        <v>163.237</v>
      </c>
      <c r="BR157" t="n">
        <v>167.918</v>
      </c>
      <c r="BS157" t="n">
        <v>174.117</v>
      </c>
      <c r="BT157" t="n">
        <v>161.894</v>
      </c>
      <c r="BU157" t="n">
        <v>153.539</v>
      </c>
      <c r="BV157" t="n">
        <v>143.87</v>
      </c>
    </row>
    <row r="158">
      <c r="A158" t="inlineStr">
        <is>
          <t>Rastrelliger brachysoma</t>
        </is>
      </c>
      <c r="B158" t="inlineStr">
        <is>
          <t>Short mackerel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16.018</v>
      </c>
      <c r="F158" t="n">
        <v>16.019</v>
      </c>
      <c r="G158" t="n">
        <v>21.076</v>
      </c>
      <c r="H158" t="n">
        <v>18.549</v>
      </c>
      <c r="I158" t="n">
        <v>16.022</v>
      </c>
      <c r="J158" t="n">
        <v>16.022</v>
      </c>
      <c r="K158" t="n">
        <v>16.022</v>
      </c>
      <c r="L158" t="n">
        <v>15.18</v>
      </c>
      <c r="M158" t="n">
        <v>16.023</v>
      </c>
      <c r="N158" t="n">
        <v>16.022</v>
      </c>
      <c r="O158" t="n">
        <v>21.077</v>
      </c>
      <c r="P158" t="n">
        <v>26.135</v>
      </c>
      <c r="Q158" t="n">
        <v>26.976</v>
      </c>
      <c r="R158" t="n">
        <v>42.141</v>
      </c>
      <c r="S158" t="n">
        <v>38.769</v>
      </c>
      <c r="T158" t="n">
        <v>46.819</v>
      </c>
      <c r="U158" t="n">
        <v>53.226</v>
      </c>
      <c r="V158" t="n">
        <v>48.951</v>
      </c>
      <c r="W158" t="n">
        <v>52.666</v>
      </c>
      <c r="X158" t="n">
        <v>43.77</v>
      </c>
      <c r="Y158" t="n">
        <v>58.368</v>
      </c>
      <c r="Z158" t="n">
        <v>65.495</v>
      </c>
      <c r="AA158" t="n">
        <v>65.28</v>
      </c>
      <c r="AB158" t="n">
        <v>52.013</v>
      </c>
      <c r="AC158" t="n">
        <v>64.691</v>
      </c>
      <c r="AD158" t="n">
        <v>56.438</v>
      </c>
      <c r="AE158" t="n">
        <v>52.889</v>
      </c>
      <c r="AF158" t="n">
        <v>68.021</v>
      </c>
      <c r="AG158" t="n">
        <v>69.952</v>
      </c>
      <c r="AH158" t="n">
        <v>63.8</v>
      </c>
      <c r="AI158" t="n">
        <v>47.443</v>
      </c>
      <c r="AJ158" t="n">
        <v>70.72799999999999</v>
      </c>
      <c r="AK158" t="n">
        <v>46.963</v>
      </c>
      <c r="AL158" t="n">
        <v>52.549</v>
      </c>
      <c r="AM158" t="n">
        <v>40.996</v>
      </c>
      <c r="AN158" t="n">
        <v>46.79</v>
      </c>
      <c r="AO158" t="n">
        <v>43.194</v>
      </c>
      <c r="AP158" t="n">
        <v>103.196</v>
      </c>
      <c r="AQ158" t="n">
        <v>95.327</v>
      </c>
      <c r="AR158" t="n">
        <v>136.737</v>
      </c>
      <c r="AS158" t="n">
        <v>167.77</v>
      </c>
      <c r="AT158" t="n">
        <v>150.042</v>
      </c>
      <c r="AU158" t="n">
        <v>128.157</v>
      </c>
      <c r="AV158" t="n">
        <v>141.803</v>
      </c>
      <c r="AW158" t="n">
        <v>156.446</v>
      </c>
      <c r="AX158" t="n">
        <v>143.102</v>
      </c>
      <c r="AY158" t="n">
        <v>126.554</v>
      </c>
      <c r="AZ158" t="n">
        <v>117.235</v>
      </c>
      <c r="BA158" t="n">
        <v>135.547</v>
      </c>
      <c r="BB158" t="n">
        <v>149.528</v>
      </c>
      <c r="BC158" t="n">
        <v>159.499</v>
      </c>
      <c r="BD158" t="n">
        <v>167.532</v>
      </c>
      <c r="BE158" t="n">
        <v>176.741</v>
      </c>
      <c r="BF158" t="n">
        <v>169.789</v>
      </c>
      <c r="BG158" t="n">
        <v>149.525</v>
      </c>
      <c r="BH158" t="n">
        <v>165.163</v>
      </c>
      <c r="BI158" t="n">
        <v>150.133</v>
      </c>
      <c r="BJ158" t="n">
        <v>153.064</v>
      </c>
      <c r="BK158" t="n">
        <v>134.358</v>
      </c>
      <c r="BL158" t="n">
        <v>125.23</v>
      </c>
      <c r="BM158" t="n">
        <v>135.225</v>
      </c>
      <c r="BN158" t="n">
        <v>132.497</v>
      </c>
      <c r="BO158" t="n">
        <v>148.921</v>
      </c>
      <c r="BP158" t="n">
        <v>154.738</v>
      </c>
      <c r="BQ158" t="n">
        <v>142.334</v>
      </c>
      <c r="BR158" t="n">
        <v>146.426</v>
      </c>
      <c r="BS158" t="n">
        <v>151.814</v>
      </c>
      <c r="BT158" t="n">
        <v>141.147</v>
      </c>
      <c r="BU158" t="n">
        <v>133.87</v>
      </c>
      <c r="BV158" t="n">
        <v>125.446</v>
      </c>
    </row>
    <row r="159">
      <c r="A159" t="inlineStr">
        <is>
          <t>Photopectoralis bindus</t>
        </is>
      </c>
      <c r="B159" t="inlineStr">
        <is>
          <t>Orangefin ponyfish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150.713</v>
      </c>
      <c r="U159" t="n">
        <v>150.713</v>
      </c>
      <c r="V159" t="n">
        <v>168.56</v>
      </c>
      <c r="W159" t="n">
        <v>168.56</v>
      </c>
      <c r="X159" t="n">
        <v>174.509</v>
      </c>
      <c r="Y159" t="n">
        <v>400.729</v>
      </c>
      <c r="Z159" t="n">
        <v>436.434</v>
      </c>
      <c r="AA159" t="n">
        <v>416.596</v>
      </c>
      <c r="AB159" t="n">
        <v>214.255</v>
      </c>
      <c r="AC159" t="n">
        <v>214.255</v>
      </c>
      <c r="AD159" t="n">
        <v>214.255</v>
      </c>
      <c r="AE159" t="n">
        <v>214.255</v>
      </c>
      <c r="AF159" t="n">
        <v>214.255</v>
      </c>
      <c r="AG159" t="n">
        <v>214.255</v>
      </c>
      <c r="AH159" t="n">
        <v>158.708</v>
      </c>
      <c r="AI159" t="n">
        <v>23.81</v>
      </c>
      <c r="AJ159" t="n">
        <v>15.362</v>
      </c>
      <c r="AK159" t="n">
        <v>53.957</v>
      </c>
      <c r="AL159" t="n">
        <v>159.827</v>
      </c>
      <c r="AM159" t="n">
        <v>123.162</v>
      </c>
      <c r="AN159" t="n">
        <v>167.447</v>
      </c>
      <c r="AO159" t="n">
        <v>101.519</v>
      </c>
      <c r="AP159" t="n">
        <v>229.018</v>
      </c>
      <c r="AQ159" t="n">
        <v>254.529</v>
      </c>
      <c r="AR159" t="n">
        <v>290.055</v>
      </c>
      <c r="AS159" t="n">
        <v>277.708</v>
      </c>
      <c r="AT159" t="n">
        <v>229.215</v>
      </c>
      <c r="AU159" t="n">
        <v>189.838</v>
      </c>
      <c r="AV159" t="n">
        <v>10.275</v>
      </c>
      <c r="AW159" t="n">
        <v>9.31</v>
      </c>
      <c r="AX159" t="n">
        <v>9.448</v>
      </c>
      <c r="AY159" t="n">
        <v>9.664999999999999</v>
      </c>
      <c r="AZ159" t="n">
        <v>9.231</v>
      </c>
      <c r="BA159" t="n">
        <v>9.975</v>
      </c>
      <c r="BB159" t="n">
        <v>11.82</v>
      </c>
      <c r="BC159" t="n">
        <v>12.009</v>
      </c>
      <c r="BD159" t="n">
        <v>13.382</v>
      </c>
      <c r="BE159" t="n">
        <v>14.213</v>
      </c>
      <c r="BF159" t="n">
        <v>17.225</v>
      </c>
      <c r="BG159" t="n">
        <v>17.29</v>
      </c>
      <c r="BH159" t="n">
        <v>18.586</v>
      </c>
      <c r="BI159" t="n">
        <v>18.741</v>
      </c>
      <c r="BJ159" t="n">
        <v>19.67</v>
      </c>
      <c r="BK159" t="n">
        <v>20.445</v>
      </c>
      <c r="BL159" t="n">
        <v>23.233</v>
      </c>
      <c r="BM159" t="n">
        <v>26.33</v>
      </c>
      <c r="BN159" t="n">
        <v>35.529</v>
      </c>
      <c r="BO159" t="n">
        <v>35.933</v>
      </c>
      <c r="BP159" t="n">
        <v>34.075</v>
      </c>
      <c r="BQ159" t="n">
        <v>37.25</v>
      </c>
      <c r="BR159" t="n">
        <v>37.262</v>
      </c>
      <c r="BS159" t="n">
        <v>37.358</v>
      </c>
      <c r="BT159" t="n">
        <v>37.49</v>
      </c>
      <c r="BU159" t="n">
        <v>47.581</v>
      </c>
      <c r="BV159" t="n">
        <v>42.508</v>
      </c>
    </row>
    <row r="160">
      <c r="A160" t="inlineStr">
        <is>
          <t>Istiophoridae</t>
        </is>
      </c>
      <c r="B160" t="inlineStr">
        <is>
          <t>Billfishes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0.028</v>
      </c>
      <c r="J160" t="n">
        <v>0.167</v>
      </c>
      <c r="K160" t="n">
        <v>0.2</v>
      </c>
      <c r="L160" t="n">
        <v>0.038</v>
      </c>
      <c r="M160" t="n">
        <v>0.031</v>
      </c>
      <c r="N160" t="n">
        <v>0.554</v>
      </c>
      <c r="O160" t="n">
        <v>0.37</v>
      </c>
      <c r="P160" t="n">
        <v>0.328</v>
      </c>
      <c r="Q160" t="n">
        <v>0.103</v>
      </c>
      <c r="R160" t="n">
        <v>0.042</v>
      </c>
      <c r="S160" t="n">
        <v>0.647</v>
      </c>
      <c r="T160" t="n">
        <v>0.08400000000000001</v>
      </c>
      <c r="U160" t="n">
        <v>0.075</v>
      </c>
      <c r="V160" t="n">
        <v>0.144</v>
      </c>
      <c r="W160" t="n">
        <v>0.035</v>
      </c>
      <c r="X160" t="n">
        <v>0.797</v>
      </c>
      <c r="Y160" t="n">
        <v>12.619</v>
      </c>
      <c r="Z160" t="n">
        <v>17.621</v>
      </c>
      <c r="AA160" t="n">
        <v>21.994</v>
      </c>
      <c r="AB160" t="n">
        <v>23.098</v>
      </c>
      <c r="AC160" t="n">
        <v>28.038</v>
      </c>
      <c r="AD160" t="n">
        <v>26.446</v>
      </c>
      <c r="AE160" t="n">
        <v>29.883</v>
      </c>
      <c r="AF160" t="n">
        <v>29.965</v>
      </c>
      <c r="AG160" t="n">
        <v>36.157</v>
      </c>
      <c r="AH160" t="n">
        <v>32.766</v>
      </c>
      <c r="AI160" t="n">
        <v>32.544</v>
      </c>
      <c r="AJ160" t="n">
        <v>55.376</v>
      </c>
      <c r="AK160" t="n">
        <v>41.473</v>
      </c>
      <c r="AL160" t="n">
        <v>51.431</v>
      </c>
      <c r="AM160" t="n">
        <v>56.149</v>
      </c>
      <c r="AN160" t="n">
        <v>52.727</v>
      </c>
      <c r="AO160" t="n">
        <v>55.315</v>
      </c>
      <c r="AP160" t="n">
        <v>69.197</v>
      </c>
      <c r="AQ160" t="n">
        <v>88.142</v>
      </c>
      <c r="AR160" t="n">
        <v>87.205</v>
      </c>
      <c r="AS160" t="n">
        <v>89.669</v>
      </c>
      <c r="AT160" t="n">
        <v>101.892</v>
      </c>
      <c r="AU160" t="n">
        <v>94.304</v>
      </c>
      <c r="AV160" t="n">
        <v>119.069</v>
      </c>
      <c r="AW160" t="n">
        <v>120.284</v>
      </c>
      <c r="AX160" t="n">
        <v>110.857</v>
      </c>
      <c r="AY160" t="n">
        <v>121.945</v>
      </c>
      <c r="AZ160" t="n">
        <v>141.017</v>
      </c>
      <c r="BA160" t="n">
        <v>136.828</v>
      </c>
      <c r="BB160" t="n">
        <v>162.503</v>
      </c>
      <c r="BC160" t="n">
        <v>169.882</v>
      </c>
      <c r="BD160" t="n">
        <v>178.039</v>
      </c>
      <c r="BE160" t="n">
        <v>182.246</v>
      </c>
      <c r="BF160" t="n">
        <v>179.844</v>
      </c>
      <c r="BG160" t="n">
        <v>175.046</v>
      </c>
      <c r="BH160" t="n">
        <v>181.879</v>
      </c>
      <c r="BI160" t="n">
        <v>207.682</v>
      </c>
      <c r="BJ160" t="n">
        <v>189.323</v>
      </c>
      <c r="BK160" t="n">
        <v>211.46</v>
      </c>
      <c r="BL160" t="n">
        <v>194.012</v>
      </c>
      <c r="BM160" t="n">
        <v>208.542</v>
      </c>
      <c r="BN160" t="n">
        <v>203.492</v>
      </c>
      <c r="BO160" t="n">
        <v>229.282</v>
      </c>
      <c r="BP160" t="n">
        <v>239.499</v>
      </c>
      <c r="BQ160" t="n">
        <v>220.969</v>
      </c>
      <c r="BR160" t="n">
        <v>226.66</v>
      </c>
      <c r="BS160" t="n">
        <v>237.475</v>
      </c>
      <c r="BT160" t="n">
        <v>222.307</v>
      </c>
      <c r="BU160" t="n">
        <v>222.307</v>
      </c>
      <c r="BV160" t="n">
        <v>222.307</v>
      </c>
    </row>
    <row r="161">
      <c r="A161" t="inlineStr">
        <is>
          <t>Palinuridae</t>
        </is>
      </c>
      <c r="B161" t="inlineStr">
        <is>
          <t>Spiny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5.409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720.088</v>
      </c>
      <c r="BA161" t="n">
        <v>359.76</v>
      </c>
      <c r="BB161" t="n">
        <v>179.785</v>
      </c>
      <c r="BC161" t="n">
        <v>203.314</v>
      </c>
      <c r="BD161" t="n">
        <v>329.079</v>
      </c>
      <c r="BE161" t="n">
        <v>353.082</v>
      </c>
      <c r="BF161" t="n">
        <v>364.103</v>
      </c>
      <c r="BG161" t="n">
        <v>327.303</v>
      </c>
      <c r="BH161" t="n">
        <v>343.588</v>
      </c>
      <c r="BI161" t="n">
        <v>313.109</v>
      </c>
      <c r="BJ161" t="n">
        <v>391.997</v>
      </c>
      <c r="BK161" t="n">
        <v>409.323</v>
      </c>
      <c r="BL161" t="n">
        <v>410.597</v>
      </c>
      <c r="BM161" t="n">
        <v>387.374</v>
      </c>
      <c r="BN161" t="n">
        <v>119.003</v>
      </c>
      <c r="BO161" t="n">
        <v>115.577</v>
      </c>
      <c r="BP161" t="n">
        <v>116.155</v>
      </c>
      <c r="BQ161" t="n">
        <v>110.714</v>
      </c>
      <c r="BR161" t="n">
        <v>102.101</v>
      </c>
      <c r="BS161" t="n">
        <v>94.45699999999999</v>
      </c>
      <c r="BT161" t="n">
        <v>99.045</v>
      </c>
      <c r="BU161" t="n">
        <v>124.515</v>
      </c>
      <c r="BV161" t="n">
        <v>151.88</v>
      </c>
    </row>
    <row r="162">
      <c r="A162" t="inlineStr">
        <is>
          <t>Gazza minuta</t>
        </is>
      </c>
      <c r="B162" t="inlineStr">
        <is>
          <t>Toothpony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13.332</v>
      </c>
      <c r="F162" t="n">
        <v>13.332</v>
      </c>
      <c r="G162" t="n">
        <v>17.498</v>
      </c>
      <c r="H162" t="n">
        <v>15.831</v>
      </c>
      <c r="I162" t="n">
        <v>13.332</v>
      </c>
      <c r="J162" t="n">
        <v>13.332</v>
      </c>
      <c r="K162" t="n">
        <v>13.332</v>
      </c>
      <c r="L162" t="n">
        <v>12.498</v>
      </c>
      <c r="M162" t="n">
        <v>13.332</v>
      </c>
      <c r="N162" t="n">
        <v>13.332</v>
      </c>
      <c r="O162" t="n">
        <v>17.498</v>
      </c>
      <c r="P162" t="n">
        <v>21.664</v>
      </c>
      <c r="Q162" t="n">
        <v>22.497</v>
      </c>
      <c r="R162" t="n">
        <v>34.996</v>
      </c>
      <c r="S162" t="n">
        <v>33.329</v>
      </c>
      <c r="T162" t="n">
        <v>39.653</v>
      </c>
      <c r="U162" t="n">
        <v>46.235</v>
      </c>
      <c r="V162" t="n">
        <v>42.994</v>
      </c>
      <c r="W162" t="n">
        <v>45.439</v>
      </c>
      <c r="X162" t="n">
        <v>39.063</v>
      </c>
      <c r="Y162" t="n">
        <v>51.083</v>
      </c>
      <c r="Z162" t="n">
        <v>58.683</v>
      </c>
      <c r="AA162" t="n">
        <v>59.18</v>
      </c>
      <c r="AB162" t="n">
        <v>46.629</v>
      </c>
      <c r="AC162" t="n">
        <v>58.823</v>
      </c>
      <c r="AD162" t="n">
        <v>53.796</v>
      </c>
      <c r="AE162" t="n">
        <v>48.908</v>
      </c>
      <c r="AF162" t="n">
        <v>64.044</v>
      </c>
      <c r="AG162" t="n">
        <v>66.07299999999999</v>
      </c>
      <c r="AH162" t="n">
        <v>60.581</v>
      </c>
      <c r="AI162" t="n">
        <v>45.352</v>
      </c>
      <c r="AJ162" t="n">
        <v>66.122</v>
      </c>
      <c r="AK162" t="n">
        <v>43.684</v>
      </c>
      <c r="AL162" t="n">
        <v>49.28</v>
      </c>
      <c r="AM162" t="n">
        <v>38.295</v>
      </c>
      <c r="AN162" t="n">
        <v>43.104</v>
      </c>
      <c r="AO162" t="n">
        <v>41.196</v>
      </c>
      <c r="AP162" t="n">
        <v>99.02800000000001</v>
      </c>
      <c r="AQ162" t="n">
        <v>90.61199999999999</v>
      </c>
      <c r="AR162" t="n">
        <v>123.352</v>
      </c>
      <c r="AS162" t="n">
        <v>150.253</v>
      </c>
      <c r="AT162" t="n">
        <v>133.652</v>
      </c>
      <c r="AU162" t="n">
        <v>115.493</v>
      </c>
      <c r="AV162" t="n">
        <v>126.245</v>
      </c>
      <c r="AW162" t="n">
        <v>139.827</v>
      </c>
      <c r="AX162" t="n">
        <v>127.375</v>
      </c>
      <c r="AY162" t="n">
        <v>113.866</v>
      </c>
      <c r="AZ162" t="n">
        <v>104.148</v>
      </c>
      <c r="BA162" t="n">
        <v>121.57</v>
      </c>
      <c r="BB162" t="n">
        <v>134.015</v>
      </c>
      <c r="BC162" t="n">
        <v>141.789</v>
      </c>
      <c r="BD162" t="n">
        <v>144.805</v>
      </c>
      <c r="BE162" t="n">
        <v>151.489</v>
      </c>
      <c r="BF162" t="n">
        <v>145.198</v>
      </c>
      <c r="BG162" t="n">
        <v>127.662</v>
      </c>
      <c r="BH162" t="n">
        <v>140.585</v>
      </c>
      <c r="BI162" t="n">
        <v>128.465</v>
      </c>
      <c r="BJ162" t="n">
        <v>130.544</v>
      </c>
      <c r="BK162" t="n">
        <v>114.712</v>
      </c>
      <c r="BL162" t="n">
        <v>106.9</v>
      </c>
      <c r="BM162" t="n">
        <v>116.173</v>
      </c>
      <c r="BN162" t="n">
        <v>113.825</v>
      </c>
      <c r="BO162" t="n">
        <v>127.943</v>
      </c>
      <c r="BP162" t="n">
        <v>132.945</v>
      </c>
      <c r="BQ162" t="n">
        <v>122.281</v>
      </c>
      <c r="BR162" t="n">
        <v>125.788</v>
      </c>
      <c r="BS162" t="n">
        <v>130.43</v>
      </c>
      <c r="BT162" t="n">
        <v>121.274</v>
      </c>
      <c r="BU162" t="n">
        <v>115.009</v>
      </c>
      <c r="BV162" t="n">
        <v>107.765</v>
      </c>
    </row>
    <row r="163">
      <c r="A163" t="inlineStr">
        <is>
          <t>Sardinella fimbriata</t>
        </is>
      </c>
      <c r="B163" t="inlineStr">
        <is>
          <t>Fringescale sardinella</t>
        </is>
      </c>
      <c r="C163" t="inlineStr">
        <is>
          <t>Small pelagics (&lt;30 cm)</t>
        </is>
      </c>
      <c r="D163" t="inlineStr">
        <is>
          <t>Herring-likes</t>
        </is>
      </c>
      <c r="E163" t="n">
        <v>13.336</v>
      </c>
      <c r="F163" t="n">
        <v>13.336</v>
      </c>
      <c r="G163" t="n">
        <v>17.503</v>
      </c>
      <c r="H163" t="n">
        <v>15.836</v>
      </c>
      <c r="I163" t="n">
        <v>13.336</v>
      </c>
      <c r="J163" t="n">
        <v>13.336</v>
      </c>
      <c r="K163" t="n">
        <v>13.336</v>
      </c>
      <c r="L163" t="n">
        <v>12.502</v>
      </c>
      <c r="M163" t="n">
        <v>13.336</v>
      </c>
      <c r="N163" t="n">
        <v>13.336</v>
      </c>
      <c r="O163" t="n">
        <v>17.503</v>
      </c>
      <c r="P163" t="n">
        <v>21.671</v>
      </c>
      <c r="Q163" t="n">
        <v>22.504</v>
      </c>
      <c r="R163" t="n">
        <v>35.007</v>
      </c>
      <c r="S163" t="n">
        <v>33.34</v>
      </c>
      <c r="T163" t="n">
        <v>39.407</v>
      </c>
      <c r="U163" t="n">
        <v>45.605</v>
      </c>
      <c r="V163" t="n">
        <v>42.234</v>
      </c>
      <c r="W163" t="n">
        <v>44.421</v>
      </c>
      <c r="X163" t="n">
        <v>37.914</v>
      </c>
      <c r="Y163" t="n">
        <v>49.673</v>
      </c>
      <c r="Z163" t="n">
        <v>56.63</v>
      </c>
      <c r="AA163" t="n">
        <v>56.611</v>
      </c>
      <c r="AB163" t="n">
        <v>43.673</v>
      </c>
      <c r="AC163" t="n">
        <v>54.452</v>
      </c>
      <c r="AD163" t="n">
        <v>49.294</v>
      </c>
      <c r="AE163" t="n">
        <v>44.92</v>
      </c>
      <c r="AF163" t="n">
        <v>58.621</v>
      </c>
      <c r="AG163" t="n">
        <v>60.543</v>
      </c>
      <c r="AH163" t="n">
        <v>54.921</v>
      </c>
      <c r="AI163" t="n">
        <v>41.109</v>
      </c>
      <c r="AJ163" t="n">
        <v>59.821</v>
      </c>
      <c r="AK163" t="n">
        <v>39.697</v>
      </c>
      <c r="AL163" t="n">
        <v>45.035</v>
      </c>
      <c r="AM163" t="n">
        <v>34.693</v>
      </c>
      <c r="AN163" t="n">
        <v>39.244</v>
      </c>
      <c r="AO163" t="n">
        <v>37.079</v>
      </c>
      <c r="AP163" t="n">
        <v>88.09</v>
      </c>
      <c r="AQ163" t="n">
        <v>80.703</v>
      </c>
      <c r="AR163" t="n">
        <v>115.926</v>
      </c>
      <c r="AS163" t="n">
        <v>143.85</v>
      </c>
      <c r="AT163" t="n">
        <v>127.932</v>
      </c>
      <c r="AU163" t="n">
        <v>110.627</v>
      </c>
      <c r="AV163" t="n">
        <v>120.569</v>
      </c>
      <c r="AW163" t="n">
        <v>133.64</v>
      </c>
      <c r="AX163" t="n">
        <v>121.828</v>
      </c>
      <c r="AY163" t="n">
        <v>108.874</v>
      </c>
      <c r="AZ163" t="n">
        <v>99.58199999999999</v>
      </c>
      <c r="BA163" t="n">
        <v>116.022</v>
      </c>
      <c r="BB163" t="n">
        <v>127.783</v>
      </c>
      <c r="BC163" t="n">
        <v>135.344</v>
      </c>
      <c r="BD163" t="n">
        <v>142.656</v>
      </c>
      <c r="BE163" t="n">
        <v>151.548</v>
      </c>
      <c r="BF163" t="n">
        <v>145.255</v>
      </c>
      <c r="BG163" t="n">
        <v>127.711</v>
      </c>
      <c r="BH163" t="n">
        <v>140.64</v>
      </c>
      <c r="BI163" t="n">
        <v>128.515</v>
      </c>
      <c r="BJ163" t="n">
        <v>130.595</v>
      </c>
      <c r="BK163" t="n">
        <v>114.757</v>
      </c>
      <c r="BL163" t="n">
        <v>106.941</v>
      </c>
      <c r="BM163" t="n">
        <v>116.218</v>
      </c>
      <c r="BN163" t="n">
        <v>113.869</v>
      </c>
      <c r="BO163" t="n">
        <v>127.992</v>
      </c>
      <c r="BP163" t="n">
        <v>132.997</v>
      </c>
      <c r="BQ163" t="n">
        <v>122.328</v>
      </c>
      <c r="BR163" t="n">
        <v>125.836</v>
      </c>
      <c r="BS163" t="n">
        <v>130.481</v>
      </c>
      <c r="BT163" t="n">
        <v>121.32</v>
      </c>
      <c r="BU163" t="n">
        <v>115.053</v>
      </c>
      <c r="BV163" t="n">
        <v>107.807</v>
      </c>
    </row>
    <row r="164">
      <c r="A164" t="inlineStr">
        <is>
          <t>Terapon theraps</t>
        </is>
      </c>
      <c r="B164" t="inlineStr">
        <is>
          <t>Largescaled terapon</t>
        </is>
      </c>
      <c r="C164" t="inlineStr">
        <is>
          <t>Small pelagics (&lt;30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122.148</v>
      </c>
      <c r="U164" t="n">
        <v>122.148</v>
      </c>
      <c r="V164" t="n">
        <v>136.612</v>
      </c>
      <c r="W164" t="n">
        <v>136.612</v>
      </c>
      <c r="X164" t="n">
        <v>141.434</v>
      </c>
      <c r="Y164" t="n">
        <v>324.659</v>
      </c>
      <c r="Z164" t="n">
        <v>353.585</v>
      </c>
      <c r="AA164" t="n">
        <v>337.513</v>
      </c>
      <c r="AB164" t="n">
        <v>173.582</v>
      </c>
      <c r="AC164" t="n">
        <v>173.582</v>
      </c>
      <c r="AD164" t="n">
        <v>173.582</v>
      </c>
      <c r="AE164" t="n">
        <v>173.582</v>
      </c>
      <c r="AF164" t="n">
        <v>173.582</v>
      </c>
      <c r="AG164" t="n">
        <v>173.582</v>
      </c>
      <c r="AH164" t="n">
        <v>128.58</v>
      </c>
      <c r="AI164" t="n">
        <v>19.29</v>
      </c>
      <c r="AJ164" t="n">
        <v>12.446</v>
      </c>
      <c r="AK164" t="n">
        <v>43.714</v>
      </c>
      <c r="AL164" t="n">
        <v>129.486</v>
      </c>
      <c r="AM164" t="n">
        <v>99.782</v>
      </c>
      <c r="AN164" t="n">
        <v>135.66</v>
      </c>
      <c r="AO164" t="n">
        <v>82.248</v>
      </c>
      <c r="AP164" t="n">
        <v>185.543</v>
      </c>
      <c r="AQ164" t="n">
        <v>206.211</v>
      </c>
      <c r="AR164" t="n">
        <v>234.994</v>
      </c>
      <c r="AS164" t="n">
        <v>224.99</v>
      </c>
      <c r="AT164" t="n">
        <v>185.702</v>
      </c>
      <c r="AU164" t="n">
        <v>153.8</v>
      </c>
      <c r="AV164" t="n">
        <v>8.324</v>
      </c>
      <c r="AW164" t="n">
        <v>7.543</v>
      </c>
      <c r="AX164" t="n">
        <v>7.654</v>
      </c>
      <c r="AY164" t="n">
        <v>7.83</v>
      </c>
      <c r="AZ164" t="n">
        <v>7.479</v>
      </c>
      <c r="BA164" t="n">
        <v>8.081</v>
      </c>
      <c r="BB164" t="n">
        <v>9.576000000000001</v>
      </c>
      <c r="BC164" t="n">
        <v>9.728999999999999</v>
      </c>
      <c r="BD164" t="n">
        <v>10.842</v>
      </c>
      <c r="BE164" t="n">
        <v>11.515</v>
      </c>
      <c r="BF164" t="n">
        <v>13.955</v>
      </c>
      <c r="BG164" t="n">
        <v>14.008</v>
      </c>
      <c r="BH164" t="n">
        <v>15.058</v>
      </c>
      <c r="BI164" t="n">
        <v>15.183</v>
      </c>
      <c r="BJ164" t="n">
        <v>15.936</v>
      </c>
      <c r="BK164" t="n">
        <v>16.564</v>
      </c>
      <c r="BL164" t="n">
        <v>18.822</v>
      </c>
      <c r="BM164" t="n">
        <v>21.332</v>
      </c>
      <c r="BN164" t="n">
        <v>28.784</v>
      </c>
      <c r="BO164" t="n">
        <v>29.112</v>
      </c>
      <c r="BP164" t="n">
        <v>27.606</v>
      </c>
      <c r="BQ164" t="n">
        <v>30.179</v>
      </c>
      <c r="BR164" t="n">
        <v>30.188</v>
      </c>
      <c r="BS164" t="n">
        <v>30.266</v>
      </c>
      <c r="BT164" t="n">
        <v>30.373</v>
      </c>
      <c r="BU164" t="n">
        <v>38.548</v>
      </c>
      <c r="BV164" t="n">
        <v>34.439</v>
      </c>
    </row>
    <row r="165">
      <c r="A165" t="inlineStr">
        <is>
          <t>Psettodidae</t>
        </is>
      </c>
      <c r="B165" t="inlineStr">
        <is>
          <t>Turbots, Indian halibuts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11.02</v>
      </c>
      <c r="F165" t="n">
        <v>11.02</v>
      </c>
      <c r="G165" t="n">
        <v>15.258</v>
      </c>
      <c r="H165" t="n">
        <v>12.715</v>
      </c>
      <c r="I165" t="n">
        <v>11.02</v>
      </c>
      <c r="J165" t="n">
        <v>11.02</v>
      </c>
      <c r="K165" t="n">
        <v>11.02</v>
      </c>
      <c r="L165" t="n">
        <v>11.02</v>
      </c>
      <c r="M165" t="n">
        <v>11.867</v>
      </c>
      <c r="N165" t="n">
        <v>11.02</v>
      </c>
      <c r="O165" t="n">
        <v>15.258</v>
      </c>
      <c r="P165" t="n">
        <v>18.649</v>
      </c>
      <c r="Q165" t="n">
        <v>19.496</v>
      </c>
      <c r="R165" t="n">
        <v>29.668</v>
      </c>
      <c r="S165" t="n">
        <v>27.973</v>
      </c>
      <c r="T165" t="n">
        <v>33.784</v>
      </c>
      <c r="U165" t="n">
        <v>38.824</v>
      </c>
      <c r="V165" t="n">
        <v>35.356</v>
      </c>
      <c r="W165" t="n">
        <v>37.853</v>
      </c>
      <c r="X165" t="n">
        <v>32.184</v>
      </c>
      <c r="Y165" t="n">
        <v>43.897</v>
      </c>
      <c r="Z165" t="n">
        <v>49.631</v>
      </c>
      <c r="AA165" t="n">
        <v>49.527</v>
      </c>
      <c r="AB165" t="n">
        <v>38.785</v>
      </c>
      <c r="AC165" t="n">
        <v>50.399</v>
      </c>
      <c r="AD165" t="n">
        <v>44.488</v>
      </c>
      <c r="AE165" t="n">
        <v>40.319</v>
      </c>
      <c r="AF165" t="n">
        <v>53.332</v>
      </c>
      <c r="AG165" t="n">
        <v>56.171</v>
      </c>
      <c r="AH165" t="n">
        <v>51.134</v>
      </c>
      <c r="AI165" t="n">
        <v>39.407</v>
      </c>
      <c r="AJ165" t="n">
        <v>56.556</v>
      </c>
      <c r="AK165" t="n">
        <v>38.228</v>
      </c>
      <c r="AL165" t="n">
        <v>41.242</v>
      </c>
      <c r="AM165" t="n">
        <v>32.899</v>
      </c>
      <c r="AN165" t="n">
        <v>36.541</v>
      </c>
      <c r="AO165" t="n">
        <v>35.258</v>
      </c>
      <c r="AP165" t="n">
        <v>83.995</v>
      </c>
      <c r="AQ165" t="n">
        <v>78.48699999999999</v>
      </c>
      <c r="AR165" t="n">
        <v>105.029</v>
      </c>
      <c r="AS165" t="n">
        <v>127.069</v>
      </c>
      <c r="AT165" t="n">
        <v>113.564</v>
      </c>
      <c r="AU165" t="n">
        <v>97.64400000000001</v>
      </c>
      <c r="AV165" t="n">
        <v>107.443</v>
      </c>
      <c r="AW165" t="n">
        <v>118.128</v>
      </c>
      <c r="AX165" t="n">
        <v>108.482</v>
      </c>
      <c r="AY165" t="n">
        <v>96.182</v>
      </c>
      <c r="AZ165" t="n">
        <v>88.598</v>
      </c>
      <c r="BA165" t="n">
        <v>103.419</v>
      </c>
      <c r="BB165" t="n">
        <v>113.887</v>
      </c>
      <c r="BC165" t="n">
        <v>120.221</v>
      </c>
      <c r="BD165" t="n">
        <v>123.121</v>
      </c>
      <c r="BE165" t="n">
        <v>128.107</v>
      </c>
      <c r="BF165" t="n">
        <v>122.903</v>
      </c>
      <c r="BG165" t="n">
        <v>107.991</v>
      </c>
      <c r="BH165" t="n">
        <v>119.046</v>
      </c>
      <c r="BI165" t="n">
        <v>108.949</v>
      </c>
      <c r="BJ165" t="n">
        <v>111.053</v>
      </c>
      <c r="BK165" t="n">
        <v>97.02</v>
      </c>
      <c r="BL165" t="n">
        <v>91.11799999999999</v>
      </c>
      <c r="BM165" t="n">
        <v>98.45</v>
      </c>
      <c r="BN165" t="n">
        <v>96.453</v>
      </c>
      <c r="BO165" t="n">
        <v>108.419</v>
      </c>
      <c r="BP165" t="n">
        <v>112.661</v>
      </c>
      <c r="BQ165" t="n">
        <v>103.619</v>
      </c>
      <c r="BR165" t="n">
        <v>106.592</v>
      </c>
      <c r="BS165" t="n">
        <v>110.527</v>
      </c>
      <c r="BT165" t="n">
        <v>102.765</v>
      </c>
      <c r="BU165" t="n">
        <v>97.45</v>
      </c>
      <c r="BV165" t="n">
        <v>91.31399999999999</v>
      </c>
    </row>
    <row r="166">
      <c r="A166" t="inlineStr">
        <is>
          <t>Pampus chinensis</t>
        </is>
      </c>
      <c r="B166" t="inlineStr">
        <is>
          <t>Chinese silver pomfret</t>
        </is>
      </c>
      <c r="C166" t="inlineStr">
        <is>
          <t>Medium benthopelagics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358.623</v>
      </c>
      <c r="BI166" t="n">
        <v>435.828</v>
      </c>
      <c r="BJ166" t="n">
        <v>412.582</v>
      </c>
      <c r="BK166" t="n">
        <v>463.77</v>
      </c>
      <c r="BL166" t="n">
        <v>236.295</v>
      </c>
      <c r="BM166" t="n">
        <v>229.137</v>
      </c>
      <c r="BN166" t="n">
        <v>222.701</v>
      </c>
      <c r="BO166" t="n">
        <v>250.657</v>
      </c>
      <c r="BP166" t="n">
        <v>260.612</v>
      </c>
      <c r="BQ166" t="n">
        <v>238.823</v>
      </c>
      <c r="BR166" t="n">
        <v>245.938</v>
      </c>
      <c r="BS166" t="n">
        <v>254.676</v>
      </c>
      <c r="BT166" t="n">
        <v>236.143</v>
      </c>
      <c r="BU166" t="n">
        <v>223.717</v>
      </c>
      <c r="BV166" t="n">
        <v>209.659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0.016</v>
      </c>
      <c r="F167" t="n">
        <v>0.014</v>
      </c>
      <c r="G167" t="n">
        <v>1.864</v>
      </c>
      <c r="H167" t="n">
        <v>2.682</v>
      </c>
      <c r="I167" t="n">
        <v>2.859</v>
      </c>
      <c r="J167" t="n">
        <v>2.841</v>
      </c>
      <c r="K167" t="n">
        <v>0</v>
      </c>
      <c r="L167" t="n">
        <v>0</v>
      </c>
      <c r="M167" t="n">
        <v>0</v>
      </c>
      <c r="N167" t="n">
        <v>0.366</v>
      </c>
      <c r="O167" t="n">
        <v>1</v>
      </c>
      <c r="P167" t="n">
        <v>1.5</v>
      </c>
      <c r="Q167" t="n">
        <v>2.481</v>
      </c>
      <c r="R167" t="n">
        <v>3.647</v>
      </c>
      <c r="S167" t="n">
        <v>4.482</v>
      </c>
      <c r="T167" t="n">
        <v>5.124</v>
      </c>
      <c r="U167" t="n">
        <v>52.154</v>
      </c>
      <c r="V167" t="n">
        <v>52.388</v>
      </c>
      <c r="W167" t="n">
        <v>51.368</v>
      </c>
      <c r="X167" t="n">
        <v>56.997</v>
      </c>
      <c r="Y167" t="n">
        <v>103.321</v>
      </c>
      <c r="Z167" t="n">
        <v>7.494</v>
      </c>
      <c r="AA167" t="n">
        <v>95.845</v>
      </c>
      <c r="AB167" t="n">
        <v>7.912</v>
      </c>
      <c r="AC167" t="n">
        <v>10.081</v>
      </c>
      <c r="AD167" t="n">
        <v>14.232</v>
      </c>
      <c r="AE167" t="n">
        <v>11.723</v>
      </c>
      <c r="AF167" t="n">
        <v>13.376</v>
      </c>
      <c r="AG167" t="n">
        <v>33.632</v>
      </c>
      <c r="AH167" t="n">
        <v>25.328</v>
      </c>
      <c r="AI167" t="n">
        <v>66.657</v>
      </c>
      <c r="AJ167" t="n">
        <v>55.814</v>
      </c>
      <c r="AK167" t="n">
        <v>105.865</v>
      </c>
      <c r="AL167" t="n">
        <v>168.548</v>
      </c>
      <c r="AM167" t="n">
        <v>229.872</v>
      </c>
      <c r="AN167" t="n">
        <v>190.445</v>
      </c>
      <c r="AO167" t="n">
        <v>182.012</v>
      </c>
      <c r="AP167" t="n">
        <v>124.157</v>
      </c>
      <c r="AQ167" t="n">
        <v>60.094</v>
      </c>
      <c r="AR167" t="n">
        <v>64.498</v>
      </c>
      <c r="AS167" t="n">
        <v>75.78</v>
      </c>
      <c r="AT167" t="n">
        <v>73.92400000000001</v>
      </c>
      <c r="AU167" t="n">
        <v>85.553</v>
      </c>
      <c r="AV167" t="n">
        <v>106.179</v>
      </c>
      <c r="AW167" t="n">
        <v>133.405</v>
      </c>
      <c r="AX167" t="n">
        <v>69.72199999999999</v>
      </c>
      <c r="AY167" t="n">
        <v>80.036</v>
      </c>
      <c r="AZ167" t="n">
        <v>68.538</v>
      </c>
      <c r="BA167" t="n">
        <v>70.95099999999999</v>
      </c>
      <c r="BB167" t="n">
        <v>70.102</v>
      </c>
      <c r="BC167" t="n">
        <v>65.54300000000001</v>
      </c>
      <c r="BD167" t="n">
        <v>63.643</v>
      </c>
      <c r="BE167" t="n">
        <v>56.686</v>
      </c>
      <c r="BF167" t="n">
        <v>53.796</v>
      </c>
      <c r="BG167" t="n">
        <v>51.505</v>
      </c>
      <c r="BH167" t="n">
        <v>49.986</v>
      </c>
      <c r="BI167" t="n">
        <v>53.576</v>
      </c>
      <c r="BJ167" t="n">
        <v>87.194</v>
      </c>
      <c r="BK167" t="n">
        <v>44.557</v>
      </c>
      <c r="BL167" t="n">
        <v>39.17</v>
      </c>
      <c r="BM167" t="n">
        <v>49.159</v>
      </c>
      <c r="BN167" t="n">
        <v>56.931</v>
      </c>
      <c r="BO167" t="n">
        <v>53.225</v>
      </c>
      <c r="BP167" t="n">
        <v>47.075</v>
      </c>
      <c r="BQ167" t="n">
        <v>44.166</v>
      </c>
      <c r="BR167" t="n">
        <v>42.81</v>
      </c>
      <c r="BS167" t="n">
        <v>45.28</v>
      </c>
      <c r="BT167" t="n">
        <v>42.12</v>
      </c>
      <c r="BU167" t="n">
        <v>52.7</v>
      </c>
      <c r="BV167" t="n">
        <v>47.186</v>
      </c>
    </row>
    <row r="168">
      <c r="A168" t="inlineStr">
        <is>
          <t>Priacanthus tayenus</t>
        </is>
      </c>
      <c r="B168" t="inlineStr">
        <is>
          <t>Purple-spotted bigeye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89.123</v>
      </c>
      <c r="U168" t="n">
        <v>89.123</v>
      </c>
      <c r="V168" t="n">
        <v>99.67700000000001</v>
      </c>
      <c r="W168" t="n">
        <v>99.67700000000001</v>
      </c>
      <c r="X168" t="n">
        <v>103.195</v>
      </c>
      <c r="Y168" t="n">
        <v>236.881</v>
      </c>
      <c r="Z168" t="n">
        <v>257.986</v>
      </c>
      <c r="AA168" t="n">
        <v>246.26</v>
      </c>
      <c r="AB168" t="n">
        <v>126.651</v>
      </c>
      <c r="AC168" t="n">
        <v>126.651</v>
      </c>
      <c r="AD168" t="n">
        <v>126.651</v>
      </c>
      <c r="AE168" t="n">
        <v>126.651</v>
      </c>
      <c r="AF168" t="n">
        <v>126.651</v>
      </c>
      <c r="AG168" t="n">
        <v>126.651</v>
      </c>
      <c r="AH168" t="n">
        <v>93.816</v>
      </c>
      <c r="AI168" t="n">
        <v>14.075</v>
      </c>
      <c r="AJ168" t="n">
        <v>9.081</v>
      </c>
      <c r="AK168" t="n">
        <v>31.895</v>
      </c>
      <c r="AL168" t="n">
        <v>94.477</v>
      </c>
      <c r="AM168" t="n">
        <v>72.804</v>
      </c>
      <c r="AN168" t="n">
        <v>98.98099999999999</v>
      </c>
      <c r="AO168" t="n">
        <v>60.01</v>
      </c>
      <c r="AP168" t="n">
        <v>135.378</v>
      </c>
      <c r="AQ168" t="n">
        <v>150.458</v>
      </c>
      <c r="AR168" t="n">
        <v>171.458</v>
      </c>
      <c r="AS168" t="n">
        <v>164.16</v>
      </c>
      <c r="AT168" t="n">
        <v>135.494</v>
      </c>
      <c r="AU168" t="n">
        <v>112.217</v>
      </c>
      <c r="AV168" t="n">
        <v>6.074</v>
      </c>
      <c r="AW168" t="n">
        <v>5.503</v>
      </c>
      <c r="AX168" t="n">
        <v>5.585</v>
      </c>
      <c r="AY168" t="n">
        <v>5.713</v>
      </c>
      <c r="AZ168" t="n">
        <v>5.457</v>
      </c>
      <c r="BA168" t="n">
        <v>5.896</v>
      </c>
      <c r="BB168" t="n">
        <v>6.987</v>
      </c>
      <c r="BC168" t="n">
        <v>7.099</v>
      </c>
      <c r="BD168" t="n">
        <v>7.91</v>
      </c>
      <c r="BE168" t="n">
        <v>8.401999999999999</v>
      </c>
      <c r="BF168" t="n">
        <v>10.182</v>
      </c>
      <c r="BG168" t="n">
        <v>10.221</v>
      </c>
      <c r="BH168" t="n">
        <v>10.987</v>
      </c>
      <c r="BI168" t="n">
        <v>11.078</v>
      </c>
      <c r="BJ168" t="n">
        <v>11.628</v>
      </c>
      <c r="BK168" t="n">
        <v>12.085</v>
      </c>
      <c r="BL168" t="n">
        <v>13.733</v>
      </c>
      <c r="BM168" t="n">
        <v>15.565</v>
      </c>
      <c r="BN168" t="n">
        <v>21.002</v>
      </c>
      <c r="BO168" t="n">
        <v>21.241</v>
      </c>
      <c r="BP168" t="n">
        <v>20.142</v>
      </c>
      <c r="BQ168" t="n">
        <v>22.019</v>
      </c>
      <c r="BR168" t="n">
        <v>22.026</v>
      </c>
      <c r="BS168" t="n">
        <v>22.083</v>
      </c>
      <c r="BT168" t="n">
        <v>22.161</v>
      </c>
      <c r="BU168" t="n">
        <v>28.126</v>
      </c>
      <c r="BV168" t="n">
        <v>25.128</v>
      </c>
    </row>
    <row r="169">
      <c r="A169" t="inlineStr">
        <is>
          <t>Eubleekeria splendens</t>
        </is>
      </c>
      <c r="B169" t="inlineStr">
        <is>
          <t>Splendid ponyfish</t>
        </is>
      </c>
      <c r="C169" t="inlineStr">
        <is>
          <t>Small pelagics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81.05</v>
      </c>
      <c r="U169" t="n">
        <v>81.05</v>
      </c>
      <c r="V169" t="n">
        <v>90.648</v>
      </c>
      <c r="W169" t="n">
        <v>90.648</v>
      </c>
      <c r="X169" t="n">
        <v>93.84699999999999</v>
      </c>
      <c r="Y169" t="n">
        <v>215.425</v>
      </c>
      <c r="Z169" t="n">
        <v>234.619</v>
      </c>
      <c r="AA169" t="n">
        <v>223.954</v>
      </c>
      <c r="AB169" t="n">
        <v>115.179</v>
      </c>
      <c r="AC169" t="n">
        <v>115.179</v>
      </c>
      <c r="AD169" t="n">
        <v>115.179</v>
      </c>
      <c r="AE169" t="n">
        <v>115.179</v>
      </c>
      <c r="AF169" t="n">
        <v>115.179</v>
      </c>
      <c r="AG169" t="n">
        <v>115.179</v>
      </c>
      <c r="AH169" t="n">
        <v>85.319</v>
      </c>
      <c r="AI169" t="n">
        <v>12.8</v>
      </c>
      <c r="AJ169" t="n">
        <v>8.257999999999999</v>
      </c>
      <c r="AK169" t="n">
        <v>29.006</v>
      </c>
      <c r="AL169" t="n">
        <v>85.92</v>
      </c>
      <c r="AM169" t="n">
        <v>66.20999999999999</v>
      </c>
      <c r="AN169" t="n">
        <v>90.01600000000001</v>
      </c>
      <c r="AO169" t="n">
        <v>54.575</v>
      </c>
      <c r="AP169" t="n">
        <v>123.116</v>
      </c>
      <c r="AQ169" t="n">
        <v>136.83</v>
      </c>
      <c r="AR169" t="n">
        <v>155.928</v>
      </c>
      <c r="AS169" t="n">
        <v>149.291</v>
      </c>
      <c r="AT169" t="n">
        <v>123.221</v>
      </c>
      <c r="AU169" t="n">
        <v>102.053</v>
      </c>
      <c r="AV169" t="n">
        <v>5.524</v>
      </c>
      <c r="AW169" t="n">
        <v>5.005</v>
      </c>
      <c r="AX169" t="n">
        <v>5.079</v>
      </c>
      <c r="AY169" t="n">
        <v>5.196</v>
      </c>
      <c r="AZ169" t="n">
        <v>4.962</v>
      </c>
      <c r="BA169" t="n">
        <v>5.362</v>
      </c>
      <c r="BB169" t="n">
        <v>6.354</v>
      </c>
      <c r="BC169" t="n">
        <v>6.456</v>
      </c>
      <c r="BD169" t="n">
        <v>7.194</v>
      </c>
      <c r="BE169" t="n">
        <v>7.641</v>
      </c>
      <c r="BF169" t="n">
        <v>9.26</v>
      </c>
      <c r="BG169" t="n">
        <v>9.295</v>
      </c>
      <c r="BH169" t="n">
        <v>9.992000000000001</v>
      </c>
      <c r="BI169" t="n">
        <v>10.075</v>
      </c>
      <c r="BJ169" t="n">
        <v>10.574</v>
      </c>
      <c r="BK169" t="n">
        <v>10.991</v>
      </c>
      <c r="BL169" t="n">
        <v>12.489</v>
      </c>
      <c r="BM169" t="n">
        <v>14.155</v>
      </c>
      <c r="BN169" t="n">
        <v>19.1</v>
      </c>
      <c r="BO169" t="n">
        <v>19.317</v>
      </c>
      <c r="BP169" t="n">
        <v>18.318</v>
      </c>
      <c r="BQ169" t="n">
        <v>20.025</v>
      </c>
      <c r="BR169" t="n">
        <v>20.031</v>
      </c>
      <c r="BS169" t="n">
        <v>20.083</v>
      </c>
      <c r="BT169" t="n">
        <v>20.154</v>
      </c>
      <c r="BU169" t="n">
        <v>25.578</v>
      </c>
      <c r="BV169" t="n">
        <v>22.852</v>
      </c>
    </row>
    <row r="170">
      <c r="A170" t="inlineStr">
        <is>
          <t>Scyllaridae</t>
        </is>
      </c>
      <c r="B170" t="inlineStr">
        <is>
          <t>Slipper lobsters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27.666</v>
      </c>
      <c r="V170" t="n">
        <v>27.48</v>
      </c>
      <c r="W170" t="n">
        <v>26.599</v>
      </c>
      <c r="X170" t="n">
        <v>29.686</v>
      </c>
      <c r="Y170" t="n">
        <v>57.262</v>
      </c>
      <c r="Z170" t="n">
        <v>0.138</v>
      </c>
      <c r="AA170" t="n">
        <v>104.989</v>
      </c>
      <c r="AB170" t="n">
        <v>46.573</v>
      </c>
      <c r="AC170" t="n">
        <v>0.116</v>
      </c>
      <c r="AD170" t="n">
        <v>3.645</v>
      </c>
      <c r="AE170" t="n">
        <v>9.686</v>
      </c>
      <c r="AF170" t="n">
        <v>17.818</v>
      </c>
      <c r="AG170" t="n">
        <v>19.741</v>
      </c>
      <c r="AH170" t="n">
        <v>18.263</v>
      </c>
      <c r="AI170" t="n">
        <v>24.727</v>
      </c>
      <c r="AJ170" t="n">
        <v>27.306</v>
      </c>
      <c r="AK170" t="n">
        <v>19.4</v>
      </c>
      <c r="AL170" t="n">
        <v>19.799</v>
      </c>
      <c r="AM170" t="n">
        <v>18.853</v>
      </c>
      <c r="AN170" t="n">
        <v>24.007</v>
      </c>
      <c r="AO170" t="n">
        <v>21.688</v>
      </c>
      <c r="AP170" t="n">
        <v>24.148</v>
      </c>
      <c r="AQ170" t="n">
        <v>24.636</v>
      </c>
      <c r="AR170" t="n">
        <v>19.618</v>
      </c>
      <c r="AS170" t="n">
        <v>23.198</v>
      </c>
      <c r="AT170" t="n">
        <v>9.303000000000001</v>
      </c>
      <c r="AU170" t="n">
        <v>7.452</v>
      </c>
      <c r="AV170" t="n">
        <v>8.468</v>
      </c>
      <c r="AW170" t="n">
        <v>2.628</v>
      </c>
      <c r="AX170" t="n">
        <v>1.971</v>
      </c>
      <c r="AY170" t="n">
        <v>1.779</v>
      </c>
      <c r="AZ170" t="n">
        <v>281.307</v>
      </c>
      <c r="BA170" t="n">
        <v>142.015</v>
      </c>
      <c r="BB170" t="n">
        <v>71.70999999999999</v>
      </c>
      <c r="BC170" t="n">
        <v>80.501</v>
      </c>
      <c r="BD170" t="n">
        <v>131.394</v>
      </c>
      <c r="BE170" t="n">
        <v>139.336</v>
      </c>
      <c r="BF170" t="n">
        <v>143.923</v>
      </c>
      <c r="BG170" t="n">
        <v>129.386</v>
      </c>
      <c r="BH170" t="n">
        <v>136.346</v>
      </c>
      <c r="BI170" t="n">
        <v>126.469</v>
      </c>
      <c r="BJ170" t="n">
        <v>162.522</v>
      </c>
      <c r="BK170" t="n">
        <v>164.203</v>
      </c>
      <c r="BL170" t="n">
        <v>163.399</v>
      </c>
      <c r="BM170" t="n">
        <v>154.207</v>
      </c>
      <c r="BN170" t="n">
        <v>48.955</v>
      </c>
      <c r="BO170" t="n">
        <v>47.196</v>
      </c>
      <c r="BP170" t="n">
        <v>47.175</v>
      </c>
      <c r="BQ170" t="n">
        <v>45.186</v>
      </c>
      <c r="BR170" t="n">
        <v>41.66</v>
      </c>
      <c r="BS170" t="n">
        <v>39.068</v>
      </c>
      <c r="BT170" t="n">
        <v>40.834</v>
      </c>
      <c r="BU170" t="n">
        <v>50.637</v>
      </c>
      <c r="BV170" t="n">
        <v>61.778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55.689</v>
      </c>
      <c r="V171" t="n">
        <v>55.315</v>
      </c>
      <c r="W171" t="n">
        <v>26.771</v>
      </c>
      <c r="X171" t="n">
        <v>29.877</v>
      </c>
      <c r="Y171" t="n">
        <v>115.258</v>
      </c>
      <c r="Z171" t="n">
        <v>55.405</v>
      </c>
      <c r="AA171" t="n">
        <v>52.831</v>
      </c>
      <c r="AB171" t="n">
        <v>46.872</v>
      </c>
      <c r="AC171" t="n">
        <v>0.117</v>
      </c>
      <c r="AD171" t="n">
        <v>0.115</v>
      </c>
      <c r="AE171" t="n">
        <v>112.993</v>
      </c>
      <c r="AF171" t="n">
        <v>134.942</v>
      </c>
      <c r="AG171" t="n">
        <v>182.879</v>
      </c>
      <c r="AH171" t="n">
        <v>169.014</v>
      </c>
      <c r="AI171" t="n">
        <v>174.669</v>
      </c>
      <c r="AJ171" t="n">
        <v>147.004</v>
      </c>
      <c r="AK171" t="n">
        <v>150.995</v>
      </c>
      <c r="AL171" t="n">
        <v>160.683</v>
      </c>
      <c r="AM171" t="n">
        <v>145.807</v>
      </c>
      <c r="AN171" t="n">
        <v>159.162</v>
      </c>
      <c r="AO171" t="n">
        <v>144.137</v>
      </c>
      <c r="AP171" t="n">
        <v>124.452</v>
      </c>
      <c r="AQ171" t="n">
        <v>139.399</v>
      </c>
      <c r="AR171" t="n">
        <v>99.22499999999999</v>
      </c>
      <c r="AS171" t="n">
        <v>115.212</v>
      </c>
      <c r="AT171" t="n">
        <v>46.823</v>
      </c>
      <c r="AU171" t="n">
        <v>31.199</v>
      </c>
      <c r="AV171" t="n">
        <v>26.084</v>
      </c>
      <c r="AW171" t="n">
        <v>38.357</v>
      </c>
      <c r="AX171" t="n">
        <v>35.173</v>
      </c>
      <c r="AY171" t="n">
        <v>33.828</v>
      </c>
      <c r="AZ171" t="n">
        <v>25.81</v>
      </c>
      <c r="BA171" t="n">
        <v>25.907</v>
      </c>
      <c r="BB171" t="n">
        <v>19.087</v>
      </c>
      <c r="BC171" t="n">
        <v>14.025</v>
      </c>
      <c r="BD171" t="n">
        <v>31.482</v>
      </c>
      <c r="BE171" t="n">
        <v>13.236</v>
      </c>
      <c r="BF171" t="n">
        <v>9.298</v>
      </c>
      <c r="BG171" t="n">
        <v>8.188000000000001</v>
      </c>
      <c r="BH171" t="n">
        <v>7.464</v>
      </c>
      <c r="BI171" t="n">
        <v>9.429</v>
      </c>
      <c r="BJ171" t="n">
        <v>22.192</v>
      </c>
      <c r="BK171" t="n">
        <v>1.87</v>
      </c>
      <c r="BL171" t="n">
        <v>0.09</v>
      </c>
      <c r="BM171" t="n">
        <v>7.237</v>
      </c>
      <c r="BN171" t="n">
        <v>8.686</v>
      </c>
      <c r="BO171" t="n">
        <v>6.819</v>
      </c>
      <c r="BP171" t="n">
        <v>6.209</v>
      </c>
      <c r="BQ171" t="n">
        <v>8.91</v>
      </c>
      <c r="BR171" t="n">
        <v>6.431</v>
      </c>
      <c r="BS171" t="n">
        <v>3.349</v>
      </c>
      <c r="BT171" t="n">
        <v>2.527</v>
      </c>
      <c r="BU171" t="n">
        <v>5.193</v>
      </c>
      <c r="BV171" t="n">
        <v>14.227</v>
      </c>
    </row>
    <row r="172">
      <c r="A172" t="inlineStr">
        <is>
          <t>Gerres</t>
        </is>
      </c>
      <c r="B172" t="inlineStr">
        <is>
          <t>Silver biddies</t>
        </is>
      </c>
      <c r="C172" t="inlineStr">
        <is>
          <t>Small benthopelagics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228.126</v>
      </c>
      <c r="BI172" t="n">
        <v>263.608</v>
      </c>
      <c r="BJ172" t="n">
        <v>250.516</v>
      </c>
      <c r="BK172" t="n">
        <v>280.973</v>
      </c>
      <c r="BL172" t="n">
        <v>164.208</v>
      </c>
      <c r="BM172" t="n">
        <v>170.903</v>
      </c>
      <c r="BN172" t="n">
        <v>166.204</v>
      </c>
      <c r="BO172" t="n">
        <v>187.077</v>
      </c>
      <c r="BP172" t="n">
        <v>194.527</v>
      </c>
      <c r="BQ172" t="n">
        <v>178.291</v>
      </c>
      <c r="BR172" t="n">
        <v>183.586</v>
      </c>
      <c r="BS172" t="n">
        <v>190.159</v>
      </c>
      <c r="BT172" t="n">
        <v>176.359</v>
      </c>
      <c r="BU172" t="n">
        <v>166.369</v>
      </c>
      <c r="BV172" t="n">
        <v>155.935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57.291</v>
      </c>
      <c r="BD173" t="n">
        <v>56.624</v>
      </c>
      <c r="BE173" t="n">
        <v>56.875</v>
      </c>
      <c r="BF173" t="n">
        <v>61.027</v>
      </c>
      <c r="BG173" t="n">
        <v>68.85599999999999</v>
      </c>
      <c r="BH173" t="n">
        <v>121.128</v>
      </c>
      <c r="BI173" t="n">
        <v>108.271</v>
      </c>
      <c r="BJ173" t="n">
        <v>136.095</v>
      </c>
      <c r="BK173" t="n">
        <v>50.96</v>
      </c>
      <c r="BL173" t="n">
        <v>40.881</v>
      </c>
      <c r="BM173" t="n">
        <v>91.279</v>
      </c>
      <c r="BN173" t="n">
        <v>78.785</v>
      </c>
      <c r="BO173" t="n">
        <v>241.15</v>
      </c>
      <c r="BP173" t="n">
        <v>338.417</v>
      </c>
      <c r="BQ173" t="n">
        <v>291.506</v>
      </c>
      <c r="BR173" t="n">
        <v>259.628</v>
      </c>
      <c r="BS173" t="n">
        <v>307.193</v>
      </c>
      <c r="BT173" t="n">
        <v>160.54</v>
      </c>
      <c r="BU173" t="n">
        <v>149.453</v>
      </c>
      <c r="BV173" t="n">
        <v>125.199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27.946</v>
      </c>
      <c r="V174" t="n">
        <v>27.758</v>
      </c>
      <c r="W174" t="n">
        <v>0.067</v>
      </c>
      <c r="X174" t="n">
        <v>0</v>
      </c>
      <c r="Y174" t="n">
        <v>61.888</v>
      </c>
      <c r="Z174" t="n">
        <v>5.569</v>
      </c>
      <c r="AA174" t="n">
        <v>7.244</v>
      </c>
      <c r="AB174" t="n">
        <v>7.597</v>
      </c>
      <c r="AC174" t="n">
        <v>9.17</v>
      </c>
      <c r="AD174" t="n">
        <v>8.678000000000001</v>
      </c>
      <c r="AE174" t="n">
        <v>17.236</v>
      </c>
      <c r="AF174" t="n">
        <v>20.051</v>
      </c>
      <c r="AG174" t="n">
        <v>33.008</v>
      </c>
      <c r="AH174" t="n">
        <v>37.606</v>
      </c>
      <c r="AI174" t="n">
        <v>32.686</v>
      </c>
      <c r="AJ174" t="n">
        <v>49.015</v>
      </c>
      <c r="AK174" t="n">
        <v>36.944</v>
      </c>
      <c r="AL174" t="n">
        <v>46.415</v>
      </c>
      <c r="AM174" t="n">
        <v>49.922</v>
      </c>
      <c r="AN174" t="n">
        <v>51.716</v>
      </c>
      <c r="AO174" t="n">
        <v>47.75</v>
      </c>
      <c r="AP174" t="n">
        <v>48.481</v>
      </c>
      <c r="AQ174" t="n">
        <v>60.061</v>
      </c>
      <c r="AR174" t="n">
        <v>51.101</v>
      </c>
      <c r="AS174" t="n">
        <v>59.598</v>
      </c>
      <c r="AT174" t="n">
        <v>44.689</v>
      </c>
      <c r="AU174" t="n">
        <v>39.776</v>
      </c>
      <c r="AV174" t="n">
        <v>49.506</v>
      </c>
      <c r="AW174" t="n">
        <v>45.42</v>
      </c>
      <c r="AX174" t="n">
        <v>41.87</v>
      </c>
      <c r="AY174" t="n">
        <v>50.071</v>
      </c>
      <c r="AZ174" t="n">
        <v>54.361</v>
      </c>
      <c r="BA174" t="n">
        <v>49.017</v>
      </c>
      <c r="BB174" t="n">
        <v>57.179</v>
      </c>
      <c r="BC174" t="n">
        <v>58.215</v>
      </c>
      <c r="BD174" t="n">
        <v>64.262</v>
      </c>
      <c r="BE174" t="n">
        <v>62.281</v>
      </c>
      <c r="BF174" t="n">
        <v>60.126</v>
      </c>
      <c r="BG174" t="n">
        <v>58.921</v>
      </c>
      <c r="BH174" t="n">
        <v>61.196</v>
      </c>
      <c r="BI174" t="n">
        <v>71.393</v>
      </c>
      <c r="BJ174" t="n">
        <v>78.76000000000001</v>
      </c>
      <c r="BK174" t="n">
        <v>69.98699999999999</v>
      </c>
      <c r="BL174" t="n">
        <v>62.808</v>
      </c>
      <c r="BM174" t="n">
        <v>72.70099999999999</v>
      </c>
      <c r="BN174" t="n">
        <v>70.996</v>
      </c>
      <c r="BO174" t="n">
        <v>81.086</v>
      </c>
      <c r="BP174" t="n">
        <v>83.366</v>
      </c>
      <c r="BQ174" t="n">
        <v>76.125</v>
      </c>
      <c r="BR174" t="n">
        <v>76.93000000000001</v>
      </c>
      <c r="BS174" t="n">
        <v>81.051</v>
      </c>
      <c r="BT174" t="n">
        <v>75.727</v>
      </c>
      <c r="BU174" t="n">
        <v>78.605</v>
      </c>
      <c r="BV174" t="n">
        <v>79.477</v>
      </c>
    </row>
    <row r="175">
      <c r="A175" t="inlineStr">
        <is>
          <t>Thryssa</t>
        </is>
      </c>
      <c r="B175" t="inlineStr">
        <is>
          <t>Thryssas</t>
        </is>
      </c>
      <c r="C175" t="inlineStr">
        <is>
          <t>Small pelagics (&lt;30 cm)</t>
        </is>
      </c>
      <c r="D175" t="inlineStr">
        <is>
          <t>Anchovies</t>
        </is>
      </c>
      <c r="E175" t="n">
        <v>6.494</v>
      </c>
      <c r="F175" t="n">
        <v>6.494</v>
      </c>
      <c r="G175" t="n">
        <v>8.929</v>
      </c>
      <c r="H175" t="n">
        <v>7.305</v>
      </c>
      <c r="I175" t="n">
        <v>6.494</v>
      </c>
      <c r="J175" t="n">
        <v>6.494</v>
      </c>
      <c r="K175" t="n">
        <v>6.494</v>
      </c>
      <c r="L175" t="n">
        <v>6.494</v>
      </c>
      <c r="M175" t="n">
        <v>6.494</v>
      </c>
      <c r="N175" t="n">
        <v>6.494</v>
      </c>
      <c r="O175" t="n">
        <v>8.929</v>
      </c>
      <c r="P175" t="n">
        <v>10.552</v>
      </c>
      <c r="Q175" t="n">
        <v>11.364</v>
      </c>
      <c r="R175" t="n">
        <v>17.858</v>
      </c>
      <c r="S175" t="n">
        <v>16.234</v>
      </c>
      <c r="T175" t="n">
        <v>16.049</v>
      </c>
      <c r="U175" t="n">
        <v>17.672</v>
      </c>
      <c r="V175" t="n">
        <v>15.956</v>
      </c>
      <c r="W175" t="n">
        <v>17.487</v>
      </c>
      <c r="X175" t="n">
        <v>13.429</v>
      </c>
      <c r="Y175" t="n">
        <v>14.148</v>
      </c>
      <c r="Z175" t="n">
        <v>16.398</v>
      </c>
      <c r="AA175" t="n">
        <v>16.212</v>
      </c>
      <c r="AB175" t="n">
        <v>16.839</v>
      </c>
      <c r="AC175" t="n">
        <v>21.965</v>
      </c>
      <c r="AD175" t="n">
        <v>19.53</v>
      </c>
      <c r="AE175" t="n">
        <v>17.28</v>
      </c>
      <c r="AF175" t="n">
        <v>23.88</v>
      </c>
      <c r="AG175" t="n">
        <v>25.56</v>
      </c>
      <c r="AH175" t="n">
        <v>23.937</v>
      </c>
      <c r="AI175" t="n">
        <v>21.153</v>
      </c>
      <c r="AJ175" t="n">
        <v>30.245</v>
      </c>
      <c r="AK175" t="n">
        <v>18.811</v>
      </c>
      <c r="AL175" t="n">
        <v>18.811</v>
      </c>
      <c r="AM175" t="n">
        <v>14.937</v>
      </c>
      <c r="AN175" t="n">
        <v>16.468</v>
      </c>
      <c r="AO175" t="n">
        <v>17.187</v>
      </c>
      <c r="AP175" t="n">
        <v>39.13</v>
      </c>
      <c r="AQ175" t="n">
        <v>36.161</v>
      </c>
      <c r="AR175" t="n">
        <v>51.817</v>
      </c>
      <c r="AS175" t="n">
        <v>67.73</v>
      </c>
      <c r="AT175" t="n">
        <v>61.073</v>
      </c>
      <c r="AU175" t="n">
        <v>51.632</v>
      </c>
      <c r="AV175" t="n">
        <v>63.601</v>
      </c>
      <c r="AW175" t="n">
        <v>68.819</v>
      </c>
      <c r="AX175" t="n">
        <v>63.786</v>
      </c>
      <c r="AY175" t="n">
        <v>56.317</v>
      </c>
      <c r="AZ175" t="n">
        <v>51.91</v>
      </c>
      <c r="BA175" t="n">
        <v>60.539</v>
      </c>
      <c r="BB175" t="n">
        <v>67.10299999999999</v>
      </c>
      <c r="BC175" t="n">
        <v>70.884</v>
      </c>
      <c r="BD175" t="n">
        <v>74.66500000000001</v>
      </c>
      <c r="BE175" t="n">
        <v>78.70099999999999</v>
      </c>
      <c r="BF175" t="n">
        <v>75.917</v>
      </c>
      <c r="BG175" t="n">
        <v>66.477</v>
      </c>
      <c r="BH175" t="n">
        <v>72.85599999999999</v>
      </c>
      <c r="BI175" t="n">
        <v>66.91800000000001</v>
      </c>
      <c r="BJ175" t="n">
        <v>67.637</v>
      </c>
      <c r="BK175" t="n">
        <v>58.916</v>
      </c>
      <c r="BL175" t="n">
        <v>55.413</v>
      </c>
      <c r="BM175" t="n">
        <v>59.82</v>
      </c>
      <c r="BN175" t="n">
        <v>58.34</v>
      </c>
      <c r="BO175" t="n">
        <v>65.688</v>
      </c>
      <c r="BP175" t="n">
        <v>68.34699999999999</v>
      </c>
      <c r="BQ175" t="n">
        <v>62.7</v>
      </c>
      <c r="BR175" t="n">
        <v>64.52800000000001</v>
      </c>
      <c r="BS175" t="n">
        <v>66.94499999999999</v>
      </c>
      <c r="BT175" t="n">
        <v>62.169</v>
      </c>
      <c r="BU175" t="n">
        <v>58.63</v>
      </c>
      <c r="BV175" t="n">
        <v>54.995</v>
      </c>
    </row>
    <row r="176">
      <c r="A176" t="inlineStr">
        <is>
          <t>Hilsa kelee</t>
        </is>
      </c>
      <c r="B176" t="inlineStr">
        <is>
          <t>Kelee shad</t>
        </is>
      </c>
      <c r="C176" t="inlineStr">
        <is>
          <t>Small pelagics (&lt;30 cm)</t>
        </is>
      </c>
      <c r="D176" t="inlineStr">
        <is>
          <t>Herring-likes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4.596</v>
      </c>
      <c r="X176" t="n">
        <v>9.449</v>
      </c>
      <c r="Y176" t="n">
        <v>21.976</v>
      </c>
      <c r="Z176" t="n">
        <v>14.496</v>
      </c>
      <c r="AA176" t="n">
        <v>26.033</v>
      </c>
      <c r="AB176" t="n">
        <v>22.188</v>
      </c>
      <c r="AC176" t="n">
        <v>24.87</v>
      </c>
      <c r="AD176" t="n">
        <v>22.642</v>
      </c>
      <c r="AE176" t="n">
        <v>26.252</v>
      </c>
      <c r="AF176" t="n">
        <v>8.141999999999999</v>
      </c>
      <c r="AG176" t="n">
        <v>5.968</v>
      </c>
      <c r="AH176" t="n">
        <v>14.292</v>
      </c>
      <c r="AI176" t="n">
        <v>63.162</v>
      </c>
      <c r="AJ176" t="n">
        <v>0.001</v>
      </c>
      <c r="AK176" t="n">
        <v>0.002</v>
      </c>
      <c r="AL176" t="n">
        <v>0.001</v>
      </c>
      <c r="AM176" t="n">
        <v>0.001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0.001</v>
      </c>
      <c r="AX176" t="n">
        <v>0</v>
      </c>
      <c r="AY176" t="n">
        <v>0.001</v>
      </c>
      <c r="AZ176" t="n">
        <v>0</v>
      </c>
      <c r="BA176" t="n">
        <v>0</v>
      </c>
      <c r="BB176" t="n">
        <v>0</v>
      </c>
      <c r="BC176" t="n">
        <v>0</v>
      </c>
      <c r="BD176" t="n">
        <v>0.001</v>
      </c>
      <c r="BE176" t="n">
        <v>0</v>
      </c>
      <c r="BF176" t="n">
        <v>0</v>
      </c>
      <c r="BG176" t="n">
        <v>0.001</v>
      </c>
      <c r="BH176" t="n">
        <v>0.001</v>
      </c>
      <c r="BI176" t="n">
        <v>0.001</v>
      </c>
      <c r="BJ176" t="n">
        <v>0.001</v>
      </c>
      <c r="BK176" t="n">
        <v>0</v>
      </c>
      <c r="BL176" t="n">
        <v>200.945</v>
      </c>
      <c r="BM176" t="n">
        <v>186.942</v>
      </c>
      <c r="BN176" t="n">
        <v>181.475</v>
      </c>
      <c r="BO176" t="n">
        <v>204.234</v>
      </c>
      <c r="BP176" t="n">
        <v>212.303</v>
      </c>
      <c r="BQ176" t="n">
        <v>194.496</v>
      </c>
      <c r="BR176" t="n">
        <v>200.324</v>
      </c>
      <c r="BS176" t="n">
        <v>207.335</v>
      </c>
      <c r="BT176" t="n">
        <v>192.166</v>
      </c>
      <c r="BU176" t="n">
        <v>182.546</v>
      </c>
      <c r="BV176" t="n">
        <v>171.032</v>
      </c>
    </row>
    <row r="177">
      <c r="A177" t="inlineStr">
        <is>
          <t>Octopus</t>
        </is>
      </c>
      <c r="B177" t="inlineStr">
        <is>
          <t>Octopuses, pikas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4.939</v>
      </c>
      <c r="F177" t="n">
        <v>4.939</v>
      </c>
      <c r="G177" t="n">
        <v>6.586</v>
      </c>
      <c r="H177" t="n">
        <v>5.762</v>
      </c>
      <c r="I177" t="n">
        <v>4.939</v>
      </c>
      <c r="J177" t="n">
        <v>4.939</v>
      </c>
      <c r="K177" t="n">
        <v>4.939</v>
      </c>
      <c r="L177" t="n">
        <v>4.939</v>
      </c>
      <c r="M177" t="n">
        <v>5.762</v>
      </c>
      <c r="N177" t="n">
        <v>4.939</v>
      </c>
      <c r="O177" t="n">
        <v>7.409</v>
      </c>
      <c r="P177" t="n">
        <v>9.055</v>
      </c>
      <c r="Q177" t="n">
        <v>9.055</v>
      </c>
      <c r="R177" t="n">
        <v>13.994</v>
      </c>
      <c r="S177" t="n">
        <v>13.171</v>
      </c>
      <c r="T177" t="n">
        <v>15.538</v>
      </c>
      <c r="U177" t="n">
        <v>18.802</v>
      </c>
      <c r="V177" t="n">
        <v>16.713</v>
      </c>
      <c r="W177" t="n">
        <v>18.302</v>
      </c>
      <c r="X177" t="n">
        <v>15.96</v>
      </c>
      <c r="Y177" t="n">
        <v>20.79</v>
      </c>
      <c r="Z177" t="n">
        <v>23.141</v>
      </c>
      <c r="AA177" t="n">
        <v>22.66</v>
      </c>
      <c r="AB177" t="n">
        <v>19.134</v>
      </c>
      <c r="AC177" t="n">
        <v>23.93</v>
      </c>
      <c r="AD177" t="n">
        <v>21.46</v>
      </c>
      <c r="AE177" t="n">
        <v>19.048</v>
      </c>
      <c r="AF177" t="n">
        <v>25.347</v>
      </c>
      <c r="AG177" t="n">
        <v>26.313</v>
      </c>
      <c r="AH177" t="n">
        <v>23.481</v>
      </c>
      <c r="AI177" t="n">
        <v>18.246</v>
      </c>
      <c r="AJ177" t="n">
        <v>25.302</v>
      </c>
      <c r="AK177" t="n">
        <v>17.272</v>
      </c>
      <c r="AL177" t="n">
        <v>19.504</v>
      </c>
      <c r="AM177" t="n">
        <v>16.28</v>
      </c>
      <c r="AN177" t="n">
        <v>18.049</v>
      </c>
      <c r="AO177" t="n">
        <v>14.995</v>
      </c>
      <c r="AP177" t="n">
        <v>39.312</v>
      </c>
      <c r="AQ177" t="n">
        <v>36.65</v>
      </c>
      <c r="AR177" t="n">
        <v>49.451</v>
      </c>
      <c r="AS177" t="n">
        <v>59.615</v>
      </c>
      <c r="AT177" t="n">
        <v>53.458</v>
      </c>
      <c r="AU177" t="n">
        <v>45.347</v>
      </c>
      <c r="AV177" t="n">
        <v>50.536</v>
      </c>
      <c r="AW177" t="n">
        <v>55.744</v>
      </c>
      <c r="AX177" t="n">
        <v>51.342</v>
      </c>
      <c r="AY177" t="n">
        <v>45.402</v>
      </c>
      <c r="AZ177" t="n">
        <v>42.527</v>
      </c>
      <c r="BA177" t="n">
        <v>48.167</v>
      </c>
      <c r="BB177" t="n">
        <v>53.328</v>
      </c>
      <c r="BC177" t="n">
        <v>56.411</v>
      </c>
      <c r="BD177" t="n">
        <v>58.499</v>
      </c>
      <c r="BE177" t="n">
        <v>59.937</v>
      </c>
      <c r="BF177" t="n">
        <v>58.123</v>
      </c>
      <c r="BG177" t="n">
        <v>50.398</v>
      </c>
      <c r="BH177" t="n">
        <v>55.83</v>
      </c>
      <c r="BI177" t="n">
        <v>50.134</v>
      </c>
      <c r="BJ177" t="n">
        <v>52.328</v>
      </c>
      <c r="BK177" t="n">
        <v>46.117</v>
      </c>
      <c r="BL177" t="n">
        <v>42.123</v>
      </c>
      <c r="BM177" t="n">
        <v>46.39</v>
      </c>
      <c r="BN177" t="n">
        <v>45.453</v>
      </c>
      <c r="BO177" t="n">
        <v>51.09</v>
      </c>
      <c r="BP177" t="n">
        <v>53.086</v>
      </c>
      <c r="BQ177" t="n">
        <v>48.826</v>
      </c>
      <c r="BR177" t="n">
        <v>50.227</v>
      </c>
      <c r="BS177" t="n">
        <v>52.077</v>
      </c>
      <c r="BT177" t="n">
        <v>48.418</v>
      </c>
      <c r="BU177" t="n">
        <v>45.911</v>
      </c>
      <c r="BV177" t="n">
        <v>43.018</v>
      </c>
    </row>
    <row r="178">
      <c r="A178" t="inlineStr">
        <is>
          <t>Lethrinidae</t>
        </is>
      </c>
      <c r="B178" t="inlineStr">
        <is>
          <t>Emperors, scavengers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4.054</v>
      </c>
      <c r="Z178" t="n">
        <v>5.436</v>
      </c>
      <c r="AA178" t="n">
        <v>7.118</v>
      </c>
      <c r="AB178" t="n">
        <v>7.486</v>
      </c>
      <c r="AC178" t="n">
        <v>9.061</v>
      </c>
      <c r="AD178" t="n">
        <v>8.571999999999999</v>
      </c>
      <c r="AE178" t="n">
        <v>9.686</v>
      </c>
      <c r="AF178" t="n">
        <v>9.712</v>
      </c>
      <c r="AG178" t="n">
        <v>11.719</v>
      </c>
      <c r="AH178" t="n">
        <v>10.62</v>
      </c>
      <c r="AI178" t="n">
        <v>10.548</v>
      </c>
      <c r="AJ178" t="n">
        <v>17.949</v>
      </c>
      <c r="AK178" t="n">
        <v>13.442</v>
      </c>
      <c r="AL178" t="n">
        <v>16.646</v>
      </c>
      <c r="AM178" t="n">
        <v>18.199</v>
      </c>
      <c r="AN178" t="n">
        <v>17.09</v>
      </c>
      <c r="AO178" t="n">
        <v>17.929</v>
      </c>
      <c r="AP178" t="n">
        <v>22.428</v>
      </c>
      <c r="AQ178" t="n">
        <v>28.569</v>
      </c>
      <c r="AR178" t="n">
        <v>28.265</v>
      </c>
      <c r="AS178" t="n">
        <v>29.064</v>
      </c>
      <c r="AT178" t="n">
        <v>33.026</v>
      </c>
      <c r="AU178" t="n">
        <v>30.566</v>
      </c>
      <c r="AV178" t="n">
        <v>38.593</v>
      </c>
      <c r="AW178" t="n">
        <v>38.987</v>
      </c>
      <c r="AX178" t="n">
        <v>35.932</v>
      </c>
      <c r="AY178" t="n">
        <v>39.526</v>
      </c>
      <c r="AZ178" t="n">
        <v>45.707</v>
      </c>
      <c r="BA178" t="n">
        <v>44.349</v>
      </c>
      <c r="BB178" t="n">
        <v>52.671</v>
      </c>
      <c r="BC178" t="n">
        <v>55.063</v>
      </c>
      <c r="BD178" t="n">
        <v>57.706</v>
      </c>
      <c r="BE178" t="n">
        <v>59.07</v>
      </c>
      <c r="BF178" t="n">
        <v>58.286</v>
      </c>
      <c r="BG178" t="n">
        <v>56.736</v>
      </c>
      <c r="BH178" t="n">
        <v>58.949</v>
      </c>
      <c r="BI178" t="n">
        <v>66.31</v>
      </c>
      <c r="BJ178" t="n">
        <v>61.364</v>
      </c>
      <c r="BK178" t="n">
        <v>68.539</v>
      </c>
      <c r="BL178" t="n">
        <v>62.803</v>
      </c>
      <c r="BM178" t="n">
        <v>67.58</v>
      </c>
      <c r="BN178" t="n">
        <v>65.88800000000001</v>
      </c>
      <c r="BO178" t="n">
        <v>74.331</v>
      </c>
      <c r="BP178" t="n">
        <v>77.643</v>
      </c>
      <c r="BQ178" t="n">
        <v>71.639</v>
      </c>
      <c r="BR178" t="n">
        <v>73.48399999999999</v>
      </c>
      <c r="BS178" t="n">
        <v>76.988</v>
      </c>
      <c r="BT178" t="n">
        <v>72.06999999999999</v>
      </c>
      <c r="BU178" t="n">
        <v>72.072</v>
      </c>
      <c r="BV178" t="n">
        <v>72.07299999999999</v>
      </c>
    </row>
    <row r="179">
      <c r="A179" t="inlineStr">
        <is>
          <t>Pampus</t>
        </is>
      </c>
      <c r="B179" t="inlineStr">
        <is>
          <t>Silver pomfrets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366.412</v>
      </c>
      <c r="BI179" t="n">
        <v>426.54</v>
      </c>
      <c r="BJ179" t="n">
        <v>403.376</v>
      </c>
      <c r="BK179" t="n">
        <v>441.347</v>
      </c>
      <c r="BL179" t="n">
        <v>32.2</v>
      </c>
      <c r="BM179" t="n">
        <v>30.964</v>
      </c>
      <c r="BN179" t="n">
        <v>30.095</v>
      </c>
      <c r="BO179" t="n">
        <v>33.873</v>
      </c>
      <c r="BP179" t="n">
        <v>35.218</v>
      </c>
      <c r="BQ179" t="n">
        <v>32.274</v>
      </c>
      <c r="BR179" t="n">
        <v>33.235</v>
      </c>
      <c r="BS179" t="n">
        <v>34.417</v>
      </c>
      <c r="BT179" t="n">
        <v>31.912</v>
      </c>
      <c r="BU179" t="n">
        <v>30.241</v>
      </c>
      <c r="BV179" t="n">
        <v>28.34</v>
      </c>
    </row>
    <row r="180">
      <c r="A180" t="inlineStr">
        <is>
          <t>Platycaranx malabaricus</t>
        </is>
      </c>
      <c r="B180" t="inlineStr">
        <is>
          <t>Malabar trevally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4.183</v>
      </c>
      <c r="F180" t="n">
        <v>4.183</v>
      </c>
      <c r="G180" t="n">
        <v>5.856</v>
      </c>
      <c r="H180" t="n">
        <v>5.019</v>
      </c>
      <c r="I180" t="n">
        <v>4.183</v>
      </c>
      <c r="J180" t="n">
        <v>4.183</v>
      </c>
      <c r="K180" t="n">
        <v>4.183</v>
      </c>
      <c r="L180" t="n">
        <v>4.183</v>
      </c>
      <c r="M180" t="n">
        <v>4.183</v>
      </c>
      <c r="N180" t="n">
        <v>4.183</v>
      </c>
      <c r="O180" t="n">
        <v>5.856</v>
      </c>
      <c r="P180" t="n">
        <v>7.529</v>
      </c>
      <c r="Q180" t="n">
        <v>7.529</v>
      </c>
      <c r="R180" t="n">
        <v>11.711</v>
      </c>
      <c r="S180" t="n">
        <v>10.875</v>
      </c>
      <c r="T180" t="n">
        <v>12.723</v>
      </c>
      <c r="U180" t="n">
        <v>15.992</v>
      </c>
      <c r="V180" t="n">
        <v>14.637</v>
      </c>
      <c r="W180" t="n">
        <v>14.637</v>
      </c>
      <c r="X180" t="n">
        <v>13.031</v>
      </c>
      <c r="Y180" t="n">
        <v>16.222</v>
      </c>
      <c r="Z180" t="n">
        <v>20.088</v>
      </c>
      <c r="AA180" t="n">
        <v>19.697</v>
      </c>
      <c r="AB180" t="n">
        <v>15.219</v>
      </c>
      <c r="AC180" t="n">
        <v>20.085</v>
      </c>
      <c r="AD180" t="n">
        <v>17.575</v>
      </c>
      <c r="AE180" t="n">
        <v>15.979</v>
      </c>
      <c r="AF180" t="n">
        <v>21.55</v>
      </c>
      <c r="AG180" t="n">
        <v>21.681</v>
      </c>
      <c r="AH180" t="n">
        <v>19.856</v>
      </c>
      <c r="AI180" t="n">
        <v>15.059</v>
      </c>
      <c r="AJ180" t="n">
        <v>22.208</v>
      </c>
      <c r="AK180" t="n">
        <v>14.798</v>
      </c>
      <c r="AL180" t="n">
        <v>16.645</v>
      </c>
      <c r="AM180" t="n">
        <v>12.722</v>
      </c>
      <c r="AN180" t="n">
        <v>14.309</v>
      </c>
      <c r="AO180" t="n">
        <v>13.933</v>
      </c>
      <c r="AP180" t="n">
        <v>33.08</v>
      </c>
      <c r="AQ180" t="n">
        <v>30.303</v>
      </c>
      <c r="AR180" t="n">
        <v>40.867</v>
      </c>
      <c r="AS180" t="n">
        <v>49.853</v>
      </c>
      <c r="AT180" t="n">
        <v>44.583</v>
      </c>
      <c r="AU180" t="n">
        <v>38.046</v>
      </c>
      <c r="AV180" t="n">
        <v>42.358</v>
      </c>
      <c r="AW180" t="n">
        <v>46.87</v>
      </c>
      <c r="AX180" t="n">
        <v>41.751</v>
      </c>
      <c r="AY180" t="n">
        <v>37.225</v>
      </c>
      <c r="AZ180" t="n">
        <v>33.524</v>
      </c>
      <c r="BA180" t="n">
        <v>40.802</v>
      </c>
      <c r="BB180" t="n">
        <v>44.405</v>
      </c>
      <c r="BC180" t="n">
        <v>47.51</v>
      </c>
      <c r="BD180" t="n">
        <v>48.269</v>
      </c>
      <c r="BE180" t="n">
        <v>49.902</v>
      </c>
      <c r="BF180" t="n">
        <v>48.107</v>
      </c>
      <c r="BG180" t="n">
        <v>42.572</v>
      </c>
      <c r="BH180" t="n">
        <v>46.623</v>
      </c>
      <c r="BI180" t="n">
        <v>42.267</v>
      </c>
      <c r="BJ180" t="n">
        <v>42.955</v>
      </c>
      <c r="BK180" t="n">
        <v>38.27</v>
      </c>
      <c r="BL180" t="n">
        <v>34.962</v>
      </c>
      <c r="BM180" t="n">
        <v>38.539</v>
      </c>
      <c r="BN180" t="n">
        <v>37.761</v>
      </c>
      <c r="BO180" t="n">
        <v>42.445</v>
      </c>
      <c r="BP180" t="n">
        <v>44.103</v>
      </c>
      <c r="BQ180" t="n">
        <v>40.566</v>
      </c>
      <c r="BR180" t="n">
        <v>41.729</v>
      </c>
      <c r="BS180" t="n">
        <v>43.269</v>
      </c>
      <c r="BT180" t="n">
        <v>40.231</v>
      </c>
      <c r="BU180" t="n">
        <v>38.149</v>
      </c>
      <c r="BV180" t="n">
        <v>35.746</v>
      </c>
    </row>
    <row r="181">
      <c r="A181" t="inlineStr">
        <is>
          <t>Crassostrea</t>
        </is>
      </c>
      <c r="B181" t="inlineStr">
        <is>
          <t>Cupped oysters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304.375</v>
      </c>
      <c r="AK181" t="n">
        <v>153.559</v>
      </c>
      <c r="AL181" t="n">
        <v>195.071</v>
      </c>
      <c r="AM181" t="n">
        <v>132.248</v>
      </c>
      <c r="AN181" t="n">
        <v>110.214</v>
      </c>
      <c r="AO181" t="n">
        <v>237.612</v>
      </c>
      <c r="AP181" t="n">
        <v>176.314</v>
      </c>
      <c r="AQ181" t="n">
        <v>123.421</v>
      </c>
      <c r="AR181" t="n">
        <v>242.613</v>
      </c>
      <c r="AS181" t="n">
        <v>1.084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Gnathanodon speciosus</t>
        </is>
      </c>
      <c r="B182" t="inlineStr">
        <is>
          <t>Golden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1.555</v>
      </c>
      <c r="F182" t="n">
        <v>1.555</v>
      </c>
      <c r="G182" t="n">
        <v>1.555</v>
      </c>
      <c r="H182" t="n">
        <v>1.555</v>
      </c>
      <c r="I182" t="n">
        <v>1.555</v>
      </c>
      <c r="J182" t="n">
        <v>2.332</v>
      </c>
      <c r="K182" t="n">
        <v>2.332</v>
      </c>
      <c r="L182" t="n">
        <v>2.332</v>
      </c>
      <c r="M182" t="n">
        <v>3.109</v>
      </c>
      <c r="N182" t="n">
        <v>3.109</v>
      </c>
      <c r="O182" t="n">
        <v>3.109</v>
      </c>
      <c r="P182" t="n">
        <v>3.109</v>
      </c>
      <c r="Q182" t="n">
        <v>3.109</v>
      </c>
      <c r="R182" t="n">
        <v>3.109</v>
      </c>
      <c r="S182" t="n">
        <v>3.886</v>
      </c>
      <c r="T182" t="n">
        <v>3.109</v>
      </c>
      <c r="U182" t="n">
        <v>3.109</v>
      </c>
      <c r="V182" t="n">
        <v>3.109</v>
      </c>
      <c r="W182" t="n">
        <v>3.109</v>
      </c>
      <c r="X182" t="n">
        <v>3.109</v>
      </c>
      <c r="Y182" t="n">
        <v>3.109</v>
      </c>
      <c r="Z182" t="n">
        <v>3.109</v>
      </c>
      <c r="AA182" t="n">
        <v>3.782</v>
      </c>
      <c r="AB182" t="n">
        <v>3.005</v>
      </c>
      <c r="AC182" t="n">
        <v>3.005</v>
      </c>
      <c r="AD182" t="n">
        <v>3.005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62.386</v>
      </c>
      <c r="BI182" t="n">
        <v>69.173</v>
      </c>
      <c r="BJ182" t="n">
        <v>66.946</v>
      </c>
      <c r="BK182" t="n">
        <v>77.62</v>
      </c>
      <c r="BL182" t="n">
        <v>111.596</v>
      </c>
      <c r="BM182" t="n">
        <v>109.626</v>
      </c>
      <c r="BN182" t="n">
        <v>106.554</v>
      </c>
      <c r="BO182" t="n">
        <v>119.93</v>
      </c>
      <c r="BP182" t="n">
        <v>124.695</v>
      </c>
      <c r="BQ182" t="n">
        <v>114.272</v>
      </c>
      <c r="BR182" t="n">
        <v>117.675</v>
      </c>
      <c r="BS182" t="n">
        <v>121.859</v>
      </c>
      <c r="BT182" t="n">
        <v>112.994</v>
      </c>
      <c r="BU182" t="n">
        <v>106.991</v>
      </c>
      <c r="BV182" t="n">
        <v>100.269</v>
      </c>
    </row>
    <row r="183">
      <c r="A183" t="inlineStr">
        <is>
          <t>Aluterus</t>
        </is>
      </c>
      <c r="B183" t="inlineStr">
        <is>
          <t>Aluterid filefishes</t>
        </is>
      </c>
      <c r="C183" t="inlineStr">
        <is>
          <t>Large reef assoc. fish (&gt;=90 cm)</t>
        </is>
      </c>
      <c r="D183" t="inlineStr">
        <is>
          <t>Other fishes &amp; inverts</t>
        </is>
      </c>
      <c r="E183" t="n">
        <v>3.326</v>
      </c>
      <c r="F183" t="n">
        <v>3.326</v>
      </c>
      <c r="G183" t="n">
        <v>4.989</v>
      </c>
      <c r="H183" t="n">
        <v>4.158</v>
      </c>
      <c r="I183" t="n">
        <v>3.326</v>
      </c>
      <c r="J183" t="n">
        <v>3.326</v>
      </c>
      <c r="K183" t="n">
        <v>3.326</v>
      </c>
      <c r="L183" t="n">
        <v>3.326</v>
      </c>
      <c r="M183" t="n">
        <v>3.326</v>
      </c>
      <c r="N183" t="n">
        <v>3.326</v>
      </c>
      <c r="O183" t="n">
        <v>4.989</v>
      </c>
      <c r="P183" t="n">
        <v>5.821</v>
      </c>
      <c r="Q183" t="n">
        <v>5.821</v>
      </c>
      <c r="R183" t="n">
        <v>9.147</v>
      </c>
      <c r="S183" t="n">
        <v>9.147</v>
      </c>
      <c r="T183" t="n">
        <v>7.484</v>
      </c>
      <c r="U183" t="n">
        <v>9.925000000000001</v>
      </c>
      <c r="V183" t="n">
        <v>9.093999999999999</v>
      </c>
      <c r="W183" t="n">
        <v>9.925000000000001</v>
      </c>
      <c r="X183" t="n">
        <v>7.431</v>
      </c>
      <c r="Y183" t="n">
        <v>7.404</v>
      </c>
      <c r="Z183" t="n">
        <v>9.041</v>
      </c>
      <c r="AA183" t="n">
        <v>9.846</v>
      </c>
      <c r="AB183" t="n">
        <v>8.987</v>
      </c>
      <c r="AC183" t="n">
        <v>13.039</v>
      </c>
      <c r="AD183" t="n">
        <v>10.571</v>
      </c>
      <c r="AE183" t="n">
        <v>9.766</v>
      </c>
      <c r="AF183" t="n">
        <v>13.729</v>
      </c>
      <c r="AG183" t="n">
        <v>15.48</v>
      </c>
      <c r="AH183" t="n">
        <v>13.817</v>
      </c>
      <c r="AI183" t="n">
        <v>12.234</v>
      </c>
      <c r="AJ183" t="n">
        <v>17.948</v>
      </c>
      <c r="AK183" t="n">
        <v>11.402</v>
      </c>
      <c r="AL183" t="n">
        <v>10.571</v>
      </c>
      <c r="AM183" t="n">
        <v>7.298</v>
      </c>
      <c r="AN183" t="n">
        <v>8.933999999999999</v>
      </c>
      <c r="AO183" t="n">
        <v>9.739000000000001</v>
      </c>
      <c r="AP183" t="n">
        <v>22.698</v>
      </c>
      <c r="AQ183" t="n">
        <v>20.257</v>
      </c>
      <c r="AR183" t="n">
        <v>28.33</v>
      </c>
      <c r="AS183" t="n">
        <v>35.63</v>
      </c>
      <c r="AT183" t="n">
        <v>32.732</v>
      </c>
      <c r="AU183" t="n">
        <v>27.554</v>
      </c>
      <c r="AV183" t="n">
        <v>32.839</v>
      </c>
      <c r="AW183" t="n">
        <v>36.676</v>
      </c>
      <c r="AX183" t="n">
        <v>34.502</v>
      </c>
      <c r="AY183" t="n">
        <v>29.941</v>
      </c>
      <c r="AZ183" t="n">
        <v>26.937</v>
      </c>
      <c r="BA183" t="n">
        <v>31.283</v>
      </c>
      <c r="BB183" t="n">
        <v>35.737</v>
      </c>
      <c r="BC183" t="n">
        <v>37.293</v>
      </c>
      <c r="BD183" t="n">
        <v>38.459</v>
      </c>
      <c r="BE183" t="n">
        <v>40.515</v>
      </c>
      <c r="BF183" t="n">
        <v>37.774</v>
      </c>
      <c r="BG183" t="n">
        <v>33.517</v>
      </c>
      <c r="BH183" t="n">
        <v>36.943</v>
      </c>
      <c r="BI183" t="n">
        <v>33.371</v>
      </c>
      <c r="BJ183" t="n">
        <v>34.056</v>
      </c>
      <c r="BK183" t="n">
        <v>30.63</v>
      </c>
      <c r="BL183" t="n">
        <v>27.89</v>
      </c>
      <c r="BM183" t="n">
        <v>30.777</v>
      </c>
      <c r="BN183" t="n">
        <v>30.016</v>
      </c>
      <c r="BO183" t="n">
        <v>33.795</v>
      </c>
      <c r="BP183" t="n">
        <v>35.161</v>
      </c>
      <c r="BQ183" t="n">
        <v>32.253</v>
      </c>
      <c r="BR183" t="n">
        <v>33.195</v>
      </c>
      <c r="BS183" t="n">
        <v>34.433</v>
      </c>
      <c r="BT183" t="n">
        <v>31.972</v>
      </c>
      <c r="BU183" t="n">
        <v>30.144</v>
      </c>
      <c r="BV183" t="n">
        <v>28.273</v>
      </c>
    </row>
    <row r="184">
      <c r="A184" t="inlineStr">
        <is>
          <t>Scatophagus</t>
        </is>
      </c>
      <c r="B184" t="inlineStr">
        <is>
          <t>Scats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109.057</v>
      </c>
      <c r="BM184" t="n">
        <v>114.544</v>
      </c>
      <c r="BN184" t="n">
        <v>111.412</v>
      </c>
      <c r="BO184" t="n">
        <v>125.406</v>
      </c>
      <c r="BP184" t="n">
        <v>130.403</v>
      </c>
      <c r="BQ184" t="n">
        <v>119.523</v>
      </c>
      <c r="BR184" t="n">
        <v>123.07</v>
      </c>
      <c r="BS184" t="n">
        <v>127.485</v>
      </c>
      <c r="BT184" t="n">
        <v>118.239</v>
      </c>
      <c r="BU184" t="n">
        <v>111.447</v>
      </c>
      <c r="BV184" t="n">
        <v>104.461</v>
      </c>
    </row>
    <row r="185">
      <c r="A185" t="inlineStr">
        <is>
          <t>Panulirus polyphagus</t>
        </is>
      </c>
      <c r="B185" t="inlineStr">
        <is>
          <t>Mud spiny lobster</t>
        </is>
      </c>
      <c r="C185" t="inlineStr">
        <is>
          <t>Lobsters, crabs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6.954</v>
      </c>
      <c r="AJ185" t="n">
        <v>10.431</v>
      </c>
      <c r="AK185" t="n">
        <v>6.085</v>
      </c>
      <c r="AL185" t="n">
        <v>7.823</v>
      </c>
      <c r="AM185" t="n">
        <v>6.954</v>
      </c>
      <c r="AN185" t="n">
        <v>6.954</v>
      </c>
      <c r="AO185" t="n">
        <v>6.085</v>
      </c>
      <c r="AP185" t="n">
        <v>5.215</v>
      </c>
      <c r="AQ185" t="n">
        <v>6.085</v>
      </c>
      <c r="AR185" t="n">
        <v>5.215</v>
      </c>
      <c r="AS185" t="n">
        <v>16.516</v>
      </c>
      <c r="AT185" t="n">
        <v>19.993</v>
      </c>
      <c r="AU185" t="n">
        <v>19.993</v>
      </c>
      <c r="AV185" t="n">
        <v>20.862</v>
      </c>
      <c r="AW185" t="n">
        <v>19.993</v>
      </c>
      <c r="AX185" t="n">
        <v>38.247</v>
      </c>
      <c r="AY185" t="n">
        <v>39.116</v>
      </c>
      <c r="AZ185" t="n">
        <v>49.547</v>
      </c>
      <c r="BA185" t="n">
        <v>37.378</v>
      </c>
      <c r="BB185" t="n">
        <v>49.547</v>
      </c>
      <c r="BC185" t="n">
        <v>64.324</v>
      </c>
      <c r="BD185" t="n">
        <v>67.801</v>
      </c>
      <c r="BE185" t="n">
        <v>56.501</v>
      </c>
      <c r="BF185" t="n">
        <v>63.455</v>
      </c>
      <c r="BG185" t="n">
        <v>63.455</v>
      </c>
      <c r="BH185" t="n">
        <v>30.424</v>
      </c>
      <c r="BI185" t="n">
        <v>33.031</v>
      </c>
      <c r="BJ185" t="n">
        <v>32.162</v>
      </c>
      <c r="BK185" t="n">
        <v>37.378</v>
      </c>
      <c r="BL185" t="n">
        <v>44.332</v>
      </c>
      <c r="BM185" t="n">
        <v>40.855</v>
      </c>
      <c r="BN185" t="n">
        <v>39.691</v>
      </c>
      <c r="BO185" t="n">
        <v>44.671</v>
      </c>
      <c r="BP185" t="n">
        <v>46.442</v>
      </c>
      <c r="BQ185" t="n">
        <v>42.555</v>
      </c>
      <c r="BR185" t="n">
        <v>43.825</v>
      </c>
      <c r="BS185" t="n">
        <v>45.375</v>
      </c>
      <c r="BT185" t="n">
        <v>42.066</v>
      </c>
      <c r="BU185" t="n">
        <v>39.959</v>
      </c>
      <c r="BV185" t="n">
        <v>37.445</v>
      </c>
    </row>
    <row r="186">
      <c r="A186" t="inlineStr">
        <is>
          <t>Makaira mazara</t>
        </is>
      </c>
      <c r="B186" t="inlineStr">
        <is>
          <t>Indo-Pacific 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73.911</v>
      </c>
      <c r="BD186" t="n">
        <v>73.137</v>
      </c>
      <c r="BE186" t="n">
        <v>71.70399999999999</v>
      </c>
      <c r="BF186" t="n">
        <v>66.726</v>
      </c>
      <c r="BG186" t="n">
        <v>83.60899999999999</v>
      </c>
      <c r="BH186" t="n">
        <v>81.84</v>
      </c>
      <c r="BI186" t="n">
        <v>78.417</v>
      </c>
      <c r="BJ186" t="n">
        <v>76.429</v>
      </c>
      <c r="BK186" t="n">
        <v>65.84</v>
      </c>
      <c r="BL186" t="n">
        <v>52.773</v>
      </c>
      <c r="BM186" t="n">
        <v>25.872</v>
      </c>
      <c r="BN186" t="n">
        <v>42.886</v>
      </c>
      <c r="BO186" t="n">
        <v>40.253</v>
      </c>
      <c r="BP186" t="n">
        <v>70.321</v>
      </c>
      <c r="BQ186" t="n">
        <v>63.491</v>
      </c>
      <c r="BR186" t="n">
        <v>55.799</v>
      </c>
      <c r="BS186" t="n">
        <v>153.82</v>
      </c>
      <c r="BT186" t="n">
        <v>41.376</v>
      </c>
      <c r="BU186" t="n">
        <v>35.44</v>
      </c>
      <c r="BV186" t="n">
        <v>29.503</v>
      </c>
    </row>
    <row r="187">
      <c r="A187" t="inlineStr">
        <is>
          <t>Miscellaneous marine crustaceans</t>
        </is>
      </c>
      <c r="B187" t="inlineStr">
        <is>
          <t>Marine crabs, shrimps, lobsters nei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0.001</v>
      </c>
      <c r="N187" t="n">
        <v>0.001</v>
      </c>
      <c r="O187" t="n">
        <v>0.001</v>
      </c>
      <c r="P187" t="n">
        <v>0.001</v>
      </c>
      <c r="Q187" t="n">
        <v>0.001</v>
      </c>
      <c r="R187" t="n">
        <v>0.001</v>
      </c>
      <c r="S187" t="n">
        <v>0.002</v>
      </c>
      <c r="T187" t="n">
        <v>0.002</v>
      </c>
      <c r="U187" t="n">
        <v>0.002</v>
      </c>
      <c r="V187" t="n">
        <v>0.002</v>
      </c>
      <c r="W187" t="n">
        <v>0.002</v>
      </c>
      <c r="X187" t="n">
        <v>0.003</v>
      </c>
      <c r="Y187" t="n">
        <v>0.003</v>
      </c>
      <c r="Z187" t="n">
        <v>0.003</v>
      </c>
      <c r="AA187" t="n">
        <v>0.003</v>
      </c>
      <c r="AB187" t="n">
        <v>0.003</v>
      </c>
      <c r="AC187" t="n">
        <v>0.003</v>
      </c>
      <c r="AD187" t="n">
        <v>0.004</v>
      </c>
      <c r="AE187" t="n">
        <v>0.007</v>
      </c>
      <c r="AF187" t="n">
        <v>160.461</v>
      </c>
      <c r="AG187" t="n">
        <v>161.622</v>
      </c>
      <c r="AH187" t="n">
        <v>129.361</v>
      </c>
      <c r="AI187" t="n">
        <v>122.269</v>
      </c>
      <c r="AJ187" t="n">
        <v>130.257</v>
      </c>
      <c r="AK187" t="n">
        <v>126.949</v>
      </c>
      <c r="AL187" t="n">
        <v>152.177</v>
      </c>
      <c r="AM187" t="n">
        <v>152.612</v>
      </c>
      <c r="AN187" t="n">
        <v>0.01</v>
      </c>
      <c r="AO187" t="n">
        <v>0.01</v>
      </c>
      <c r="AP187" t="n">
        <v>0.01</v>
      </c>
      <c r="AQ187" t="n">
        <v>0.013</v>
      </c>
      <c r="AR187" t="n">
        <v>0.013</v>
      </c>
      <c r="AS187" t="n">
        <v>0.014</v>
      </c>
      <c r="AT187" t="n">
        <v>0.013</v>
      </c>
      <c r="AU187" t="n">
        <v>0.017</v>
      </c>
      <c r="AV187" t="n">
        <v>0.017</v>
      </c>
      <c r="AW187" t="n">
        <v>0.016</v>
      </c>
      <c r="AX187" t="n">
        <v>0.022</v>
      </c>
      <c r="AY187" t="n">
        <v>0.021</v>
      </c>
      <c r="AZ187" t="n">
        <v>0.03</v>
      </c>
      <c r="BA187" t="n">
        <v>0.02</v>
      </c>
      <c r="BB187" t="n">
        <v>0.025</v>
      </c>
      <c r="BC187" t="n">
        <v>0.024</v>
      </c>
      <c r="BD187" t="n">
        <v>0.037</v>
      </c>
      <c r="BE187" t="n">
        <v>0.035</v>
      </c>
      <c r="BF187" t="n">
        <v>0.064</v>
      </c>
      <c r="BG187" t="n">
        <v>0.056</v>
      </c>
      <c r="BH187" t="n">
        <v>0.056</v>
      </c>
      <c r="BI187" t="n">
        <v>0.068</v>
      </c>
      <c r="BJ187" t="n">
        <v>0.07199999999999999</v>
      </c>
      <c r="BK187" t="n">
        <v>0.09</v>
      </c>
      <c r="BL187" t="n">
        <v>0.078</v>
      </c>
      <c r="BM187" t="n">
        <v>0.095</v>
      </c>
      <c r="BN187" t="n">
        <v>0.098</v>
      </c>
      <c r="BO187" t="n">
        <v>0.099</v>
      </c>
      <c r="BP187" t="n">
        <v>0.1</v>
      </c>
      <c r="BQ187" t="n">
        <v>0.108</v>
      </c>
      <c r="BR187" t="n">
        <v>0.119</v>
      </c>
      <c r="BS187" t="n">
        <v>0.113</v>
      </c>
      <c r="BT187" t="n">
        <v>0.101</v>
      </c>
      <c r="BU187" t="n">
        <v>0.114</v>
      </c>
      <c r="BV187" t="n">
        <v>0.123</v>
      </c>
    </row>
    <row r="188">
      <c r="A188" t="inlineStr">
        <is>
          <t>Platycephalus indicus</t>
        </is>
      </c>
      <c r="B188" t="inlineStr">
        <is>
          <t>Bartail flathead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24.16</v>
      </c>
      <c r="U188" t="n">
        <v>24.16</v>
      </c>
      <c r="V188" t="n">
        <v>27.021</v>
      </c>
      <c r="W188" t="n">
        <v>27.021</v>
      </c>
      <c r="X188" t="n">
        <v>27.974</v>
      </c>
      <c r="Y188" t="n">
        <v>64.215</v>
      </c>
      <c r="Z188" t="n">
        <v>69.93600000000001</v>
      </c>
      <c r="AA188" t="n">
        <v>66.75700000000001</v>
      </c>
      <c r="AB188" t="n">
        <v>34.333</v>
      </c>
      <c r="AC188" t="n">
        <v>34.333</v>
      </c>
      <c r="AD188" t="n">
        <v>34.333</v>
      </c>
      <c r="AE188" t="n">
        <v>34.333</v>
      </c>
      <c r="AF188" t="n">
        <v>34.333</v>
      </c>
      <c r="AG188" t="n">
        <v>34.333</v>
      </c>
      <c r="AH188" t="n">
        <v>25.432</v>
      </c>
      <c r="AI188" t="n">
        <v>3.815</v>
      </c>
      <c r="AJ188" t="n">
        <v>2.462</v>
      </c>
      <c r="AK188" t="n">
        <v>8.646000000000001</v>
      </c>
      <c r="AL188" t="n">
        <v>25.611</v>
      </c>
      <c r="AM188" t="n">
        <v>19.736</v>
      </c>
      <c r="AN188" t="n">
        <v>26.832</v>
      </c>
      <c r="AO188" t="n">
        <v>16.268</v>
      </c>
      <c r="AP188" t="n">
        <v>36.699</v>
      </c>
      <c r="AQ188" t="n">
        <v>40.787</v>
      </c>
      <c r="AR188" t="n">
        <v>46.48</v>
      </c>
      <c r="AS188" t="n">
        <v>44.501</v>
      </c>
      <c r="AT188" t="n">
        <v>36.73</v>
      </c>
      <c r="AU188" t="n">
        <v>30.42</v>
      </c>
      <c r="AV188" t="n">
        <v>1.646</v>
      </c>
      <c r="AW188" t="n">
        <v>1.492</v>
      </c>
      <c r="AX188" t="n">
        <v>1.514</v>
      </c>
      <c r="AY188" t="n">
        <v>1.549</v>
      </c>
      <c r="AZ188" t="n">
        <v>1.479</v>
      </c>
      <c r="BA188" t="n">
        <v>1.598</v>
      </c>
      <c r="BB188" t="n">
        <v>1.894</v>
      </c>
      <c r="BC188" t="n">
        <v>1.924</v>
      </c>
      <c r="BD188" t="n">
        <v>2.144</v>
      </c>
      <c r="BE188" t="n">
        <v>2.278</v>
      </c>
      <c r="BF188" t="n">
        <v>2.76</v>
      </c>
      <c r="BG188" t="n">
        <v>2.771</v>
      </c>
      <c r="BH188" t="n">
        <v>2.978</v>
      </c>
      <c r="BI188" t="n">
        <v>3.003</v>
      </c>
      <c r="BJ188" t="n">
        <v>3.152</v>
      </c>
      <c r="BK188" t="n">
        <v>3.276</v>
      </c>
      <c r="BL188" t="n">
        <v>3.723</v>
      </c>
      <c r="BM188" t="n">
        <v>4.219</v>
      </c>
      <c r="BN188" t="n">
        <v>5.693</v>
      </c>
      <c r="BO188" t="n">
        <v>5.758</v>
      </c>
      <c r="BP188" t="n">
        <v>5.46</v>
      </c>
      <c r="BQ188" t="n">
        <v>5.969</v>
      </c>
      <c r="BR188" t="n">
        <v>5.971</v>
      </c>
      <c r="BS188" t="n">
        <v>5.986</v>
      </c>
      <c r="BT188" t="n">
        <v>6.008</v>
      </c>
      <c r="BU188" t="n">
        <v>7.625</v>
      </c>
      <c r="BV188" t="n">
        <v>6.812</v>
      </c>
    </row>
    <row r="189">
      <c r="A189" t="inlineStr">
        <is>
          <t>Holothuriidae</t>
        </is>
      </c>
      <c r="B189" t="inlineStr">
        <is>
          <t>Fleshy sea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149.884</v>
      </c>
      <c r="AQ189" t="n">
        <v>95.926</v>
      </c>
      <c r="AR189" t="n">
        <v>95.926</v>
      </c>
      <c r="AS189" t="n">
        <v>31.567</v>
      </c>
      <c r="AT189" t="n">
        <v>63.134</v>
      </c>
      <c r="AU189" t="n">
        <v>91.194</v>
      </c>
      <c r="AV189" t="n">
        <v>80.67100000000001</v>
      </c>
      <c r="AW189" t="n">
        <v>63.134</v>
      </c>
      <c r="AX189" t="n">
        <v>52.612</v>
      </c>
      <c r="AY189" t="n">
        <v>49.104</v>
      </c>
      <c r="AZ189" t="n">
        <v>49.104</v>
      </c>
      <c r="BA189" t="n">
        <v>45.597</v>
      </c>
      <c r="BB189" t="n">
        <v>35.075</v>
      </c>
      <c r="BC189" t="n">
        <v>24.552</v>
      </c>
      <c r="BD189" t="n">
        <v>0</v>
      </c>
      <c r="BE189" t="n">
        <v>0</v>
      </c>
      <c r="BF189" t="n">
        <v>3.507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0.445</v>
      </c>
      <c r="J190" t="n">
        <v>2.055</v>
      </c>
      <c r="K190" t="n">
        <v>2.904</v>
      </c>
      <c r="L190" t="n">
        <v>8.247</v>
      </c>
      <c r="M190" t="n">
        <v>5.745</v>
      </c>
      <c r="N190" t="n">
        <v>4.503</v>
      </c>
      <c r="O190" t="n">
        <v>3.629</v>
      </c>
      <c r="P190" t="n">
        <v>5.181</v>
      </c>
      <c r="Q190" t="n">
        <v>13.669</v>
      </c>
      <c r="R190" t="n">
        <v>4.35</v>
      </c>
      <c r="S190" t="n">
        <v>5.634</v>
      </c>
      <c r="T190" t="n">
        <v>10.171</v>
      </c>
      <c r="U190" t="n">
        <v>6.621</v>
      </c>
      <c r="V190" t="n">
        <v>15.795</v>
      </c>
      <c r="W190" t="n">
        <v>4.255</v>
      </c>
      <c r="X190" t="n">
        <v>5.572</v>
      </c>
      <c r="Y190" t="n">
        <v>3.042</v>
      </c>
      <c r="Z190" t="n">
        <v>1.449</v>
      </c>
      <c r="AA190" t="n">
        <v>0.803</v>
      </c>
      <c r="AB190" t="n">
        <v>0</v>
      </c>
      <c r="AC190" t="n">
        <v>2.646</v>
      </c>
      <c r="AD190" t="n">
        <v>0.041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4.868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49.077</v>
      </c>
      <c r="BD190" t="n">
        <v>48.902</v>
      </c>
      <c r="BE190" t="n">
        <v>47.54</v>
      </c>
      <c r="BF190" t="n">
        <v>44.198</v>
      </c>
      <c r="BG190" t="n">
        <v>55.436</v>
      </c>
      <c r="BH190" t="n">
        <v>55.33</v>
      </c>
      <c r="BI190" t="n">
        <v>55.417</v>
      </c>
      <c r="BJ190" t="n">
        <v>52.02</v>
      </c>
      <c r="BK190" t="n">
        <v>44.405</v>
      </c>
      <c r="BL190" t="n">
        <v>35.773</v>
      </c>
      <c r="BM190" t="n">
        <v>29.085</v>
      </c>
      <c r="BN190" t="n">
        <v>31.578</v>
      </c>
      <c r="BO190" t="n">
        <v>21.667</v>
      </c>
      <c r="BP190" t="n">
        <v>42.036</v>
      </c>
      <c r="BQ190" t="n">
        <v>37.946</v>
      </c>
      <c r="BR190" t="n">
        <v>32.533</v>
      </c>
      <c r="BS190" t="n">
        <v>13.366</v>
      </c>
      <c r="BT190" t="n">
        <v>18.199</v>
      </c>
      <c r="BU190" t="n">
        <v>13.612</v>
      </c>
      <c r="BV190" t="n">
        <v>11.351</v>
      </c>
    </row>
    <row r="191">
      <c r="A191" t="inlineStr">
        <is>
          <t>Menidae</t>
        </is>
      </c>
      <c r="B191" t="inlineStr">
        <is>
          <t>Moonfishes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21.738</v>
      </c>
      <c r="V191" t="n">
        <v>21.591</v>
      </c>
      <c r="W191" t="n">
        <v>20.897</v>
      </c>
      <c r="X191" t="n">
        <v>23.33</v>
      </c>
      <c r="Y191" t="n">
        <v>45.022</v>
      </c>
      <c r="Z191" t="n">
        <v>0.108</v>
      </c>
      <c r="AA191" t="n">
        <v>0.103</v>
      </c>
      <c r="AB191" t="n">
        <v>0.092</v>
      </c>
      <c r="AC191" t="n">
        <v>12.451</v>
      </c>
      <c r="AD191" t="n">
        <v>13.25</v>
      </c>
      <c r="AE191" t="n">
        <v>0.346</v>
      </c>
      <c r="AF191" t="n">
        <v>0.08799999999999999</v>
      </c>
      <c r="AG191" t="n">
        <v>29.62</v>
      </c>
      <c r="AH191" t="n">
        <v>48.661</v>
      </c>
      <c r="AI191" t="n">
        <v>52.803</v>
      </c>
      <c r="AJ191" t="n">
        <v>41.214</v>
      </c>
      <c r="AK191" t="n">
        <v>42.689</v>
      </c>
      <c r="AL191" t="n">
        <v>34.427</v>
      </c>
      <c r="AM191" t="n">
        <v>36.107</v>
      </c>
      <c r="AN191" t="n">
        <v>34.13</v>
      </c>
      <c r="AO191" t="n">
        <v>31.138</v>
      </c>
      <c r="AP191" t="n">
        <v>24.537</v>
      </c>
      <c r="AQ191" t="n">
        <v>18.077</v>
      </c>
      <c r="AR191" t="n">
        <v>13.839</v>
      </c>
      <c r="AS191" t="n">
        <v>17.838</v>
      </c>
      <c r="AT191" t="n">
        <v>5.997</v>
      </c>
      <c r="AU191" t="n">
        <v>5.57</v>
      </c>
      <c r="AV191" t="n">
        <v>6.233</v>
      </c>
      <c r="AW191" t="n">
        <v>1.929</v>
      </c>
      <c r="AX191" t="n">
        <v>0.842</v>
      </c>
      <c r="AY191" t="n">
        <v>0.775</v>
      </c>
      <c r="AZ191" t="n">
        <v>1.049</v>
      </c>
      <c r="BA191" t="n">
        <v>1.758</v>
      </c>
      <c r="BB191" t="n">
        <v>1.838</v>
      </c>
      <c r="BC191" t="n">
        <v>2.07</v>
      </c>
      <c r="BD191" t="n">
        <v>1.999</v>
      </c>
      <c r="BE191" t="n">
        <v>0.791</v>
      </c>
      <c r="BF191" t="n">
        <v>0.977</v>
      </c>
      <c r="BG191" t="n">
        <v>1.268</v>
      </c>
      <c r="BH191" t="n">
        <v>1.221</v>
      </c>
      <c r="BI191" t="n">
        <v>2.362</v>
      </c>
      <c r="BJ191" t="n">
        <v>12.853</v>
      </c>
      <c r="BK191" t="n">
        <v>1.309</v>
      </c>
      <c r="BL191" t="n">
        <v>0</v>
      </c>
      <c r="BM191" t="n">
        <v>3.844</v>
      </c>
      <c r="BN191" t="n">
        <v>3.364</v>
      </c>
      <c r="BO191" t="n">
        <v>4.966</v>
      </c>
      <c r="BP191" t="n">
        <v>3.524</v>
      </c>
      <c r="BQ191" t="n">
        <v>2.723</v>
      </c>
      <c r="BR191" t="n">
        <v>1.601</v>
      </c>
      <c r="BS191" t="n">
        <v>1.601</v>
      </c>
      <c r="BT191" t="n">
        <v>2.242</v>
      </c>
      <c r="BU191" t="n">
        <v>3.683</v>
      </c>
      <c r="BV191" t="n">
        <v>3.334</v>
      </c>
    </row>
    <row r="192">
      <c r="A192" t="inlineStr">
        <is>
          <t>Hyporhamphus</t>
        </is>
      </c>
      <c r="B192" t="inlineStr">
        <is>
          <t>Sea garfishes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27.515</v>
      </c>
      <c r="BI192" t="n">
        <v>29.943</v>
      </c>
      <c r="BJ192" t="n">
        <v>29.133</v>
      </c>
      <c r="BK192" t="n">
        <v>33.18</v>
      </c>
      <c r="BL192" t="n">
        <v>41.541</v>
      </c>
      <c r="BM192" t="n">
        <v>42.883</v>
      </c>
      <c r="BN192" t="n">
        <v>41.697</v>
      </c>
      <c r="BO192" t="n">
        <v>46.933</v>
      </c>
      <c r="BP192" t="n">
        <v>48.801</v>
      </c>
      <c r="BQ192" t="n">
        <v>44.726</v>
      </c>
      <c r="BR192" t="n">
        <v>46.056</v>
      </c>
      <c r="BS192" t="n">
        <v>47.701</v>
      </c>
      <c r="BT192" t="n">
        <v>44.237</v>
      </c>
      <c r="BU192" t="n">
        <v>41.777</v>
      </c>
      <c r="BV192" t="n">
        <v>39.156</v>
      </c>
    </row>
    <row r="193">
      <c r="A193" t="inlineStr">
        <is>
          <t>Caranx sexfasciatus</t>
        </is>
      </c>
      <c r="B193" t="inlineStr">
        <is>
          <t>Bigeye trevally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1.663</v>
      </c>
      <c r="F193" t="n">
        <v>1.663</v>
      </c>
      <c r="G193" t="n">
        <v>1.663</v>
      </c>
      <c r="H193" t="n">
        <v>1.663</v>
      </c>
      <c r="I193" t="n">
        <v>2.495</v>
      </c>
      <c r="J193" t="n">
        <v>3.327</v>
      </c>
      <c r="K193" t="n">
        <v>3.327</v>
      </c>
      <c r="L193" t="n">
        <v>3.327</v>
      </c>
      <c r="M193" t="n">
        <v>3.327</v>
      </c>
      <c r="N193" t="n">
        <v>3.327</v>
      </c>
      <c r="O193" t="n">
        <v>3.327</v>
      </c>
      <c r="P193" t="n">
        <v>3.327</v>
      </c>
      <c r="Q193" t="n">
        <v>4.159</v>
      </c>
      <c r="R193" t="n">
        <v>4.159</v>
      </c>
      <c r="S193" t="n">
        <v>4.99</v>
      </c>
      <c r="T193" t="n">
        <v>4.159</v>
      </c>
      <c r="U193" t="n">
        <v>4.159</v>
      </c>
      <c r="V193" t="n">
        <v>4.159</v>
      </c>
      <c r="W193" t="n">
        <v>4.159</v>
      </c>
      <c r="X193" t="n">
        <v>3.327</v>
      </c>
      <c r="Y193" t="n">
        <v>3.327</v>
      </c>
      <c r="Z193" t="n">
        <v>3.327</v>
      </c>
      <c r="AA193" t="n">
        <v>3.327</v>
      </c>
      <c r="AB193" t="n">
        <v>4.159</v>
      </c>
      <c r="AC193" t="n">
        <v>3.327</v>
      </c>
      <c r="AD193" t="n">
        <v>2.495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90.657</v>
      </c>
      <c r="BI193" t="n">
        <v>100.637</v>
      </c>
      <c r="BJ193" t="n">
        <v>96.479</v>
      </c>
      <c r="BK193" t="n">
        <v>112.281</v>
      </c>
      <c r="BL193" t="n">
        <v>5.501</v>
      </c>
      <c r="BM193" t="n">
        <v>4.669</v>
      </c>
      <c r="BN193" t="n">
        <v>4.541</v>
      </c>
      <c r="BO193" t="n">
        <v>5.024</v>
      </c>
      <c r="BP193" t="n">
        <v>5.18</v>
      </c>
      <c r="BQ193" t="n">
        <v>4.748</v>
      </c>
      <c r="BR193" t="n">
        <v>4.889</v>
      </c>
      <c r="BS193" t="n">
        <v>5.064</v>
      </c>
      <c r="BT193" t="n">
        <v>4.696</v>
      </c>
      <c r="BU193" t="n">
        <v>4.44</v>
      </c>
      <c r="BV193" t="n">
        <v>4.161</v>
      </c>
    </row>
    <row r="194">
      <c r="A194" t="inlineStr">
        <is>
          <t>Megalops cyprinoides</t>
        </is>
      </c>
      <c r="B194" t="inlineStr">
        <is>
          <t>Indo-Pacific tarpon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60.282</v>
      </c>
      <c r="AJ194" t="n">
        <v>68.24299999999999</v>
      </c>
      <c r="AK194" t="n">
        <v>68.622</v>
      </c>
      <c r="AL194" t="n">
        <v>63.694</v>
      </c>
      <c r="AM194" t="n">
        <v>48.149</v>
      </c>
      <c r="AN194" t="n">
        <v>1.896</v>
      </c>
      <c r="AO194" t="n">
        <v>1.517</v>
      </c>
      <c r="AP194" t="n">
        <v>1.517</v>
      </c>
      <c r="AQ194" t="n">
        <v>1.896</v>
      </c>
      <c r="AR194" t="n">
        <v>1.896</v>
      </c>
      <c r="AS194" t="n">
        <v>7.583</v>
      </c>
      <c r="AT194" t="n">
        <v>8.340999999999999</v>
      </c>
      <c r="AU194" t="n">
        <v>8.340999999999999</v>
      </c>
      <c r="AV194" t="n">
        <v>8.720000000000001</v>
      </c>
      <c r="AW194" t="n">
        <v>7.962</v>
      </c>
      <c r="AX194" t="n">
        <v>4.17</v>
      </c>
      <c r="AY194" t="n">
        <v>4.55</v>
      </c>
      <c r="AZ194" t="n">
        <v>4.55</v>
      </c>
      <c r="BA194" t="n">
        <v>4.929</v>
      </c>
      <c r="BB194" t="n">
        <v>5.308</v>
      </c>
      <c r="BC194" t="n">
        <v>0.379</v>
      </c>
      <c r="BD194" t="n">
        <v>0.379</v>
      </c>
      <c r="BE194" t="n">
        <v>0.379</v>
      </c>
      <c r="BF194" t="n">
        <v>0.379</v>
      </c>
      <c r="BG194" t="n">
        <v>0.379</v>
      </c>
      <c r="BH194" t="n">
        <v>0</v>
      </c>
      <c r="BI194" t="n">
        <v>0</v>
      </c>
      <c r="BJ194" t="n">
        <v>0</v>
      </c>
      <c r="BK194" t="n">
        <v>0</v>
      </c>
      <c r="BL194" t="n">
        <v>3.033</v>
      </c>
      <c r="BM194" t="n">
        <v>3.412</v>
      </c>
      <c r="BN194" t="n">
        <v>3.318</v>
      </c>
      <c r="BO194" t="n">
        <v>3.735</v>
      </c>
      <c r="BP194" t="n">
        <v>3.884</v>
      </c>
      <c r="BQ194" t="n">
        <v>3.559</v>
      </c>
      <c r="BR194" t="n">
        <v>3.665</v>
      </c>
      <c r="BS194" t="n">
        <v>3.796</v>
      </c>
      <c r="BT194" t="n">
        <v>3.521</v>
      </c>
      <c r="BU194" t="n">
        <v>3.319</v>
      </c>
      <c r="BV194" t="n">
        <v>3.11</v>
      </c>
    </row>
    <row r="195">
      <c r="A195" t="inlineStr">
        <is>
          <t>Spratelloides</t>
        </is>
      </c>
      <c r="B195" t="inlineStr">
        <is>
          <t>Round herrings</t>
        </is>
      </c>
      <c r="C195" t="inlineStr">
        <is>
          <t>Small reef assoc. fish (&lt;30 cm)</t>
        </is>
      </c>
      <c r="D195" t="inlineStr">
        <is>
          <t>Herring-likes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39.641</v>
      </c>
      <c r="AW195" t="n">
        <v>51.203</v>
      </c>
      <c r="AX195" t="n">
        <v>37.997</v>
      </c>
      <c r="AY195" t="n">
        <v>66.23</v>
      </c>
      <c r="AZ195" t="n">
        <v>59.358</v>
      </c>
      <c r="BA195" t="n">
        <v>50.182</v>
      </c>
      <c r="BB195" t="n">
        <v>32.854</v>
      </c>
      <c r="BC195" t="n">
        <v>12.144</v>
      </c>
      <c r="BD195" t="n">
        <v>23.516</v>
      </c>
      <c r="BE195" t="n">
        <v>11.248</v>
      </c>
      <c r="BF195" t="n">
        <v>3.443</v>
      </c>
      <c r="BG195" t="n">
        <v>1.82</v>
      </c>
      <c r="BH195" t="n">
        <v>0.876</v>
      </c>
      <c r="BI195" t="n">
        <v>1.575</v>
      </c>
      <c r="BJ195" t="n">
        <v>0.527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0.589</v>
      </c>
      <c r="J196" t="n">
        <v>3.408</v>
      </c>
      <c r="K196" t="n">
        <v>4.36</v>
      </c>
      <c r="L196" t="n">
        <v>4.195</v>
      </c>
      <c r="M196" t="n">
        <v>3.236</v>
      </c>
      <c r="N196" t="n">
        <v>9.254</v>
      </c>
      <c r="O196" t="n">
        <v>5.865</v>
      </c>
      <c r="P196" t="n">
        <v>6.123</v>
      </c>
      <c r="Q196" t="n">
        <v>5.374</v>
      </c>
      <c r="R196" t="n">
        <v>1.486</v>
      </c>
      <c r="S196" t="n">
        <v>7.674</v>
      </c>
      <c r="T196" t="n">
        <v>6.144</v>
      </c>
      <c r="U196" t="n">
        <v>3.529</v>
      </c>
      <c r="V196" t="n">
        <v>7.345</v>
      </c>
      <c r="W196" t="n">
        <v>0.442</v>
      </c>
      <c r="X196" t="n">
        <v>23.387</v>
      </c>
      <c r="Y196" t="n">
        <v>1.655</v>
      </c>
      <c r="Z196" t="n">
        <v>38.998</v>
      </c>
      <c r="AA196" t="n">
        <v>0.151</v>
      </c>
      <c r="AB196" t="n">
        <v>0</v>
      </c>
      <c r="AC196" t="n">
        <v>0.764</v>
      </c>
      <c r="AD196" t="n">
        <v>0.008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18.665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0.9340000000000001</v>
      </c>
      <c r="BD196" t="n">
        <v>0.076</v>
      </c>
      <c r="BE196" t="n">
        <v>0.001</v>
      </c>
      <c r="BF196" t="n">
        <v>0.618</v>
      </c>
      <c r="BG196" t="n">
        <v>0.253</v>
      </c>
      <c r="BH196" t="n">
        <v>2.208</v>
      </c>
      <c r="BI196" t="n">
        <v>0.043</v>
      </c>
      <c r="BJ196" t="n">
        <v>3.88</v>
      </c>
      <c r="BK196" t="n">
        <v>2.04</v>
      </c>
      <c r="BL196" t="n">
        <v>6.155</v>
      </c>
      <c r="BM196" t="n">
        <v>1.254</v>
      </c>
      <c r="BN196" t="n">
        <v>7.047</v>
      </c>
      <c r="BO196" t="n">
        <v>0.124</v>
      </c>
      <c r="BP196" t="n">
        <v>8.74</v>
      </c>
      <c r="BQ196" t="n">
        <v>58.11</v>
      </c>
      <c r="BR196" t="n">
        <v>3.505</v>
      </c>
      <c r="BS196" t="n">
        <v>38.749</v>
      </c>
      <c r="BT196" t="n">
        <v>44.077</v>
      </c>
      <c r="BU196" t="n">
        <v>0.862</v>
      </c>
      <c r="BV196" t="n">
        <v>0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9.462</v>
      </c>
      <c r="BF197" t="n">
        <v>22.898</v>
      </c>
      <c r="BG197" t="n">
        <v>11.507</v>
      </c>
      <c r="BH197" t="n">
        <v>54.562</v>
      </c>
      <c r="BI197" t="n">
        <v>40.927</v>
      </c>
      <c r="BJ197" t="n">
        <v>59.534</v>
      </c>
      <c r="BK197" t="n">
        <v>0</v>
      </c>
      <c r="BL197" t="n">
        <v>5.683</v>
      </c>
      <c r="BM197" t="n">
        <v>5.683</v>
      </c>
      <c r="BN197" t="n">
        <v>5.522</v>
      </c>
      <c r="BO197" t="n">
        <v>6.215</v>
      </c>
      <c r="BP197" t="n">
        <v>6.462</v>
      </c>
      <c r="BQ197" t="n">
        <v>5.921</v>
      </c>
      <c r="BR197" t="n">
        <v>6.098</v>
      </c>
      <c r="BS197" t="n">
        <v>6.314</v>
      </c>
      <c r="BT197" t="n">
        <v>5.854</v>
      </c>
      <c r="BU197" t="n">
        <v>5.561</v>
      </c>
      <c r="BV197" t="n">
        <v>5.212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1.247</v>
      </c>
      <c r="BD198" t="n">
        <v>1.289</v>
      </c>
      <c r="BE198" t="n">
        <v>1.187</v>
      </c>
      <c r="BF198" t="n">
        <v>1.121</v>
      </c>
      <c r="BG198" t="n">
        <v>1.511</v>
      </c>
      <c r="BH198" t="n">
        <v>5.399</v>
      </c>
      <c r="BI198" t="n">
        <v>88.19</v>
      </c>
      <c r="BJ198" t="n">
        <v>136.691</v>
      </c>
      <c r="BK198" t="n">
        <v>1.121</v>
      </c>
      <c r="BL198" t="n">
        <v>0.875</v>
      </c>
      <c r="BM198" t="n">
        <v>0.245</v>
      </c>
      <c r="BN198" t="n">
        <v>0.671</v>
      </c>
      <c r="BO198" t="n">
        <v>0.613</v>
      </c>
      <c r="BP198" t="n">
        <v>8.694000000000001</v>
      </c>
      <c r="BQ198" t="n">
        <v>0.035</v>
      </c>
      <c r="BR198" t="n">
        <v>0.019</v>
      </c>
      <c r="BS198" t="n">
        <v>0.006</v>
      </c>
      <c r="BT198" t="n">
        <v>0.023</v>
      </c>
      <c r="BU198" t="n">
        <v>0.021</v>
      </c>
      <c r="BV198" t="n">
        <v>0.018</v>
      </c>
    </row>
    <row r="199">
      <c r="A199" t="inlineStr">
        <is>
          <t>Scatophagus argus</t>
        </is>
      </c>
      <c r="B199" t="inlineStr">
        <is>
          <t>Spotted scat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3.105</v>
      </c>
      <c r="BI199" t="n">
        <v>3.881</v>
      </c>
      <c r="BJ199" t="n">
        <v>3.105</v>
      </c>
      <c r="BK199" t="n">
        <v>4.657</v>
      </c>
      <c r="BL199" t="n">
        <v>14.748</v>
      </c>
      <c r="BM199" t="n">
        <v>13.972</v>
      </c>
      <c r="BN199" t="n">
        <v>13.574</v>
      </c>
      <c r="BO199" t="n">
        <v>15.278</v>
      </c>
      <c r="BP199" t="n">
        <v>15.884</v>
      </c>
      <c r="BQ199" t="n">
        <v>14.554</v>
      </c>
      <c r="BR199" t="n">
        <v>14.989</v>
      </c>
      <c r="BS199" t="n">
        <v>15.519</v>
      </c>
      <c r="BT199" t="n">
        <v>14.387</v>
      </c>
      <c r="BU199" t="n">
        <v>13.669</v>
      </c>
      <c r="BV199" t="n">
        <v>12.809</v>
      </c>
    </row>
    <row r="200">
      <c r="A200" t="inlineStr">
        <is>
          <t>Panulirus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31.597</v>
      </c>
      <c r="AI200" t="n">
        <v>138.286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Istiophorus platypterus</t>
        </is>
      </c>
      <c r="B201" t="inlineStr">
        <is>
          <t>Indo-Pacific sailfish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1.958</v>
      </c>
      <c r="R201" t="n">
        <v>1.043</v>
      </c>
      <c r="S201" t="n">
        <v>1.041</v>
      </c>
      <c r="T201" t="n">
        <v>1.555</v>
      </c>
      <c r="U201" t="n">
        <v>1.317</v>
      </c>
      <c r="V201" t="n">
        <v>2.355</v>
      </c>
      <c r="W201" t="n">
        <v>0.753</v>
      </c>
      <c r="X201" t="n">
        <v>1.016</v>
      </c>
      <c r="Y201" t="n">
        <v>0.2</v>
      </c>
      <c r="Z201" t="n">
        <v>0.523</v>
      </c>
      <c r="AA201" t="n">
        <v>0.08699999999999999</v>
      </c>
      <c r="AB201" t="n">
        <v>0</v>
      </c>
      <c r="AC201" t="n">
        <v>0.375</v>
      </c>
      <c r="AD201" t="n">
        <v>0.001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0.012</v>
      </c>
      <c r="BE201" t="n">
        <v>0.001</v>
      </c>
      <c r="BF201" t="n">
        <v>0.002</v>
      </c>
      <c r="BG201" t="n">
        <v>0.059</v>
      </c>
      <c r="BH201" t="n">
        <v>67.593</v>
      </c>
      <c r="BI201" t="n">
        <v>44.205</v>
      </c>
      <c r="BJ201" t="n">
        <v>32.822</v>
      </c>
      <c r="BK201" t="n">
        <v>5.047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1.013</v>
      </c>
      <c r="BR201" t="n">
        <v>0.092</v>
      </c>
      <c r="BS201" t="n">
        <v>0.734</v>
      </c>
      <c r="BT201" t="n">
        <v>0.37</v>
      </c>
      <c r="BU201" t="n">
        <v>0</v>
      </c>
      <c r="BV201" t="n">
        <v>0</v>
      </c>
    </row>
    <row r="202">
      <c r="A202" t="inlineStr">
        <is>
          <t>Ostreidae</t>
        </is>
      </c>
      <c r="B202" t="inlineStr">
        <is>
          <t>True oysters</t>
        </is>
      </c>
      <c r="C202" t="inlineStr">
        <is>
          <t>Other demersal invertebrates</t>
        </is>
      </c>
      <c r="D202" t="inlineStr">
        <is>
          <t>Molluscs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15.018</v>
      </c>
      <c r="BM202" t="n">
        <v>13.35</v>
      </c>
      <c r="BN202" t="n">
        <v>12.97</v>
      </c>
      <c r="BO202" t="n">
        <v>14.598</v>
      </c>
      <c r="BP202" t="n">
        <v>15.177</v>
      </c>
      <c r="BQ202" t="n">
        <v>13.907</v>
      </c>
      <c r="BR202" t="n">
        <v>14.322</v>
      </c>
      <c r="BS202" t="n">
        <v>14.829</v>
      </c>
      <c r="BT202" t="n">
        <v>13.748</v>
      </c>
      <c r="BU202" t="n">
        <v>13.055</v>
      </c>
      <c r="BV202" t="n">
        <v>12.234</v>
      </c>
    </row>
    <row r="203">
      <c r="A203" t="inlineStr">
        <is>
          <t>Stromateidae</t>
        </is>
      </c>
      <c r="B203" t="inlineStr">
        <is>
          <t>Butterfishes</t>
        </is>
      </c>
      <c r="C203" t="inlineStr">
        <is>
          <t>Small benthopelagics (&lt;30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2.37</v>
      </c>
      <c r="X203" t="n">
        <v>4.127</v>
      </c>
      <c r="Y203" t="n">
        <v>3.688</v>
      </c>
      <c r="Z203" t="n">
        <v>0.823</v>
      </c>
      <c r="AA203" t="n">
        <v>0.433</v>
      </c>
      <c r="AB203" t="n">
        <v>0</v>
      </c>
      <c r="AC203" t="n">
        <v>0</v>
      </c>
      <c r="AD203" t="n">
        <v>8.507999999999999</v>
      </c>
      <c r="AE203" t="n">
        <v>0</v>
      </c>
      <c r="AF203" t="n">
        <v>0</v>
      </c>
      <c r="AG203" t="n">
        <v>0</v>
      </c>
      <c r="AH203" t="n">
        <v>67.821</v>
      </c>
      <c r="AI203" t="n">
        <v>43.808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Aluterus monoceros</t>
        </is>
      </c>
      <c r="B204" t="inlineStr">
        <is>
          <t>Unicorn leatherjacket filefish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2.144</v>
      </c>
      <c r="U204" t="n">
        <v>2.144</v>
      </c>
      <c r="V204" t="n">
        <v>2.398</v>
      </c>
      <c r="W204" t="n">
        <v>2.398</v>
      </c>
      <c r="X204" t="n">
        <v>2.483</v>
      </c>
      <c r="Y204" t="n">
        <v>5.701</v>
      </c>
      <c r="Z204" t="n">
        <v>6.209</v>
      </c>
      <c r="AA204" t="n">
        <v>5.927</v>
      </c>
      <c r="AB204" t="n">
        <v>3.048</v>
      </c>
      <c r="AC204" t="n">
        <v>3.048</v>
      </c>
      <c r="AD204" t="n">
        <v>3.048</v>
      </c>
      <c r="AE204" t="n">
        <v>3.048</v>
      </c>
      <c r="AF204" t="n">
        <v>3.048</v>
      </c>
      <c r="AG204" t="n">
        <v>3.048</v>
      </c>
      <c r="AH204" t="n">
        <v>2.258</v>
      </c>
      <c r="AI204" t="n">
        <v>0.339</v>
      </c>
      <c r="AJ204" t="n">
        <v>0.219</v>
      </c>
      <c r="AK204" t="n">
        <v>0.768</v>
      </c>
      <c r="AL204" t="n">
        <v>2.274</v>
      </c>
      <c r="AM204" t="n">
        <v>1.752</v>
      </c>
      <c r="AN204" t="n">
        <v>2.382</v>
      </c>
      <c r="AO204" t="n">
        <v>1.444</v>
      </c>
      <c r="AP204" t="n">
        <v>3.258</v>
      </c>
      <c r="AQ204" t="n">
        <v>3.621</v>
      </c>
      <c r="AR204" t="n">
        <v>4.127</v>
      </c>
      <c r="AS204" t="n">
        <v>3.951</v>
      </c>
      <c r="AT204" t="n">
        <v>3.261</v>
      </c>
      <c r="AU204" t="n">
        <v>2.701</v>
      </c>
      <c r="AV204" t="n">
        <v>0.146</v>
      </c>
      <c r="AW204" t="n">
        <v>0.132</v>
      </c>
      <c r="AX204" t="n">
        <v>0.134</v>
      </c>
      <c r="AY204" t="n">
        <v>0.138</v>
      </c>
      <c r="AZ204" t="n">
        <v>0.131</v>
      </c>
      <c r="BA204" t="n">
        <v>0.142</v>
      </c>
      <c r="BB204" t="n">
        <v>0.168</v>
      </c>
      <c r="BC204" t="n">
        <v>0.171</v>
      </c>
      <c r="BD204" t="n">
        <v>0.19</v>
      </c>
      <c r="BE204" t="n">
        <v>0.202</v>
      </c>
      <c r="BF204" t="n">
        <v>0.245</v>
      </c>
      <c r="BG204" t="n">
        <v>0.246</v>
      </c>
      <c r="BH204" t="n">
        <v>0.264</v>
      </c>
      <c r="BI204" t="n">
        <v>0.267</v>
      </c>
      <c r="BJ204" t="n">
        <v>0.28</v>
      </c>
      <c r="BK204" t="n">
        <v>0.291</v>
      </c>
      <c r="BL204" t="n">
        <v>0.331</v>
      </c>
      <c r="BM204" t="n">
        <v>0.375</v>
      </c>
      <c r="BN204" t="n">
        <v>0.505</v>
      </c>
      <c r="BO204" t="n">
        <v>0.511</v>
      </c>
      <c r="BP204" t="n">
        <v>0.485</v>
      </c>
      <c r="BQ204" t="n">
        <v>0.53</v>
      </c>
      <c r="BR204" t="n">
        <v>0.53</v>
      </c>
      <c r="BS204" t="n">
        <v>0.532</v>
      </c>
      <c r="BT204" t="n">
        <v>0.533</v>
      </c>
      <c r="BU204" t="n">
        <v>0.677</v>
      </c>
      <c r="BV204" t="n">
        <v>0.605</v>
      </c>
    </row>
    <row r="205">
      <c r="A205" t="inlineStr">
        <is>
          <t>Chondrichthyes</t>
        </is>
      </c>
      <c r="B205" t="inlineStr">
        <is>
          <t>Sharks, rays, chimaeras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0.078</v>
      </c>
      <c r="F205" t="n">
        <v>0.08799999999999999</v>
      </c>
      <c r="G205" t="n">
        <v>0.098</v>
      </c>
      <c r="H205" t="n">
        <v>0.108</v>
      </c>
      <c r="I205" t="n">
        <v>0.276</v>
      </c>
      <c r="J205" t="n">
        <v>0.464</v>
      </c>
      <c r="K205" t="n">
        <v>0.548</v>
      </c>
      <c r="L205" t="n">
        <v>0.634</v>
      </c>
      <c r="M205" t="n">
        <v>0.746</v>
      </c>
      <c r="N205" t="n">
        <v>0.9330000000000001</v>
      </c>
      <c r="O205" t="n">
        <v>1.322</v>
      </c>
      <c r="P205" t="n">
        <v>1.367</v>
      </c>
      <c r="Q205" t="n">
        <v>1.749</v>
      </c>
      <c r="R205" t="n">
        <v>2.116</v>
      </c>
      <c r="S205" t="n">
        <v>2.226</v>
      </c>
      <c r="T205" t="n">
        <v>2.239</v>
      </c>
      <c r="U205" t="n">
        <v>2.242</v>
      </c>
      <c r="V205" t="n">
        <v>2.233</v>
      </c>
      <c r="W205" t="n">
        <v>2.205</v>
      </c>
      <c r="X205" t="n">
        <v>2.173</v>
      </c>
      <c r="Y205" t="n">
        <v>2.025</v>
      </c>
      <c r="Z205" t="n">
        <v>1.976</v>
      </c>
      <c r="AA205" t="n">
        <v>1.475</v>
      </c>
      <c r="AB205" t="n">
        <v>1.948</v>
      </c>
      <c r="AC205" t="n">
        <v>1.64</v>
      </c>
      <c r="AD205" t="n">
        <v>1.465</v>
      </c>
      <c r="AE205" t="n">
        <v>1.796</v>
      </c>
      <c r="AF205" t="n">
        <v>1.672</v>
      </c>
      <c r="AG205" t="n">
        <v>1.324</v>
      </c>
      <c r="AH205" t="n">
        <v>1.608</v>
      </c>
      <c r="AI205" t="n">
        <v>1.509</v>
      </c>
      <c r="AJ205" t="n">
        <v>1.482</v>
      </c>
      <c r="AK205" t="n">
        <v>1.637</v>
      </c>
      <c r="AL205" t="n">
        <v>1.904</v>
      </c>
      <c r="AM205" t="n">
        <v>1.949</v>
      </c>
      <c r="AN205" t="n">
        <v>2.153</v>
      </c>
      <c r="AO205" t="n">
        <v>2.382</v>
      </c>
      <c r="AP205" t="n">
        <v>2.917</v>
      </c>
      <c r="AQ205" t="n">
        <v>3.022</v>
      </c>
      <c r="AR205" t="n">
        <v>2.093</v>
      </c>
      <c r="AS205" t="n">
        <v>1.957</v>
      </c>
      <c r="AT205" t="n">
        <v>1.531</v>
      </c>
      <c r="AU205" t="n">
        <v>0.925</v>
      </c>
      <c r="AV205" t="n">
        <v>0.89</v>
      </c>
      <c r="AW205" t="n">
        <v>1.299</v>
      </c>
      <c r="AX205" t="n">
        <v>0.906</v>
      </c>
      <c r="AY205" t="n">
        <v>0.898</v>
      </c>
      <c r="AZ205" t="n">
        <v>0.858</v>
      </c>
      <c r="BA205" t="n">
        <v>0.903</v>
      </c>
      <c r="BB205" t="n">
        <v>1.061</v>
      </c>
      <c r="BC205" t="n">
        <v>0.906</v>
      </c>
      <c r="BD205" t="n">
        <v>0.8100000000000001</v>
      </c>
      <c r="BE205" t="n">
        <v>0.889</v>
      </c>
      <c r="BF205" t="n">
        <v>0.897</v>
      </c>
      <c r="BG205" t="n">
        <v>0.658</v>
      </c>
      <c r="BH205" t="n">
        <v>0.341</v>
      </c>
      <c r="BI205" t="n">
        <v>0.363</v>
      </c>
      <c r="BJ205" t="n">
        <v>0.33</v>
      </c>
      <c r="BK205" t="n">
        <v>0.5639999999999999</v>
      </c>
      <c r="BL205" t="n">
        <v>0.551</v>
      </c>
      <c r="BM205" t="n">
        <v>0.5580000000000001</v>
      </c>
      <c r="BN205" t="n">
        <v>0.537</v>
      </c>
      <c r="BO205" t="n">
        <v>0.547</v>
      </c>
      <c r="BP205" t="n">
        <v>0.509</v>
      </c>
      <c r="BQ205" t="n">
        <v>0.513</v>
      </c>
      <c r="BR205" t="n">
        <v>0.482</v>
      </c>
      <c r="BS205" t="n">
        <v>0.433</v>
      </c>
      <c r="BT205" t="n">
        <v>0.439</v>
      </c>
      <c r="BU205" t="n">
        <v>0.526</v>
      </c>
      <c r="BV205" t="n">
        <v>0.498</v>
      </c>
    </row>
    <row r="206">
      <c r="A206" t="inlineStr">
        <is>
          <t>Echinodermata</t>
        </is>
      </c>
      <c r="B206" t="inlineStr">
        <is>
          <t>Sea urchins, stars, cucumbers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0.002</v>
      </c>
      <c r="AI206" t="n">
        <v>0.011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4.114</v>
      </c>
      <c r="BM206" t="n">
        <v>4.114</v>
      </c>
      <c r="BN206" t="n">
        <v>4.002</v>
      </c>
      <c r="BO206" t="n">
        <v>4.355</v>
      </c>
      <c r="BP206" t="n">
        <v>4.483</v>
      </c>
      <c r="BQ206" t="n">
        <v>4.109</v>
      </c>
      <c r="BR206" t="n">
        <v>4.231</v>
      </c>
      <c r="BS206" t="n">
        <v>4.383</v>
      </c>
      <c r="BT206" t="n">
        <v>4.065</v>
      </c>
      <c r="BU206" t="n">
        <v>3.832</v>
      </c>
      <c r="BV206" t="n">
        <v>3.592</v>
      </c>
    </row>
    <row r="207">
      <c r="A207" t="inlineStr">
        <is>
          <t>Caranx</t>
        </is>
      </c>
      <c r="B207" t="inlineStr">
        <is>
          <t>Jacks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12.716</v>
      </c>
      <c r="I207" t="n">
        <v>13.56</v>
      </c>
      <c r="J207" t="n">
        <v>13.473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Pellona ditchela</t>
        </is>
      </c>
      <c r="B208" t="inlineStr">
        <is>
          <t>Indian pellona</t>
        </is>
      </c>
      <c r="C208" t="inlineStr">
        <is>
          <t>Small pelagics (&lt;30 cm)</t>
        </is>
      </c>
      <c r="D208" t="inlineStr">
        <is>
          <t>Herring-likes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1.426</v>
      </c>
      <c r="Z208" t="n">
        <v>1.181</v>
      </c>
      <c r="AA208" t="n">
        <v>1.927</v>
      </c>
      <c r="AB208" t="n">
        <v>2.162</v>
      </c>
      <c r="AC208" t="n">
        <v>1.691</v>
      </c>
      <c r="AD208" t="n">
        <v>2.342</v>
      </c>
      <c r="AE208" t="n">
        <v>1.447</v>
      </c>
      <c r="AF208" t="n">
        <v>0.657</v>
      </c>
      <c r="AG208" t="n">
        <v>0.622</v>
      </c>
      <c r="AH208" t="n">
        <v>3.602</v>
      </c>
      <c r="AI208" t="n">
        <v>13.307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Carcharhinus falciformis</t>
        </is>
      </c>
      <c r="B209" t="inlineStr">
        <is>
          <t>Silky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0.258</v>
      </c>
      <c r="J209" t="n">
        <v>1.418</v>
      </c>
      <c r="K209" t="n">
        <v>1.818</v>
      </c>
      <c r="L209" t="n">
        <v>0.475</v>
      </c>
      <c r="M209" t="n">
        <v>0.317</v>
      </c>
      <c r="N209" t="n">
        <v>1.107</v>
      </c>
      <c r="O209" t="n">
        <v>1.16</v>
      </c>
      <c r="P209" t="n">
        <v>1.87</v>
      </c>
      <c r="Q209" t="n">
        <v>0.89</v>
      </c>
      <c r="R209" t="n">
        <v>0.342</v>
      </c>
      <c r="S209" t="n">
        <v>1.357</v>
      </c>
      <c r="T209" t="n">
        <v>0.8129999999999999</v>
      </c>
      <c r="U209" t="n">
        <v>0.627</v>
      </c>
      <c r="V209" t="n">
        <v>1.276</v>
      </c>
      <c r="W209" t="n">
        <v>0.305</v>
      </c>
      <c r="X209" t="n">
        <v>2.96</v>
      </c>
      <c r="Y209" t="n">
        <v>0.357</v>
      </c>
      <c r="Z209" t="n">
        <v>3.791</v>
      </c>
      <c r="AA209" t="n">
        <v>0.064</v>
      </c>
      <c r="AB209" t="n">
        <v>0</v>
      </c>
      <c r="AC209" t="n">
        <v>0.241</v>
      </c>
      <c r="AD209" t="n">
        <v>0.015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0.187</v>
      </c>
      <c r="BG209" t="n">
        <v>0</v>
      </c>
      <c r="BH209" t="n">
        <v>0.078</v>
      </c>
      <c r="BI209" t="n">
        <v>0.415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Scyphozoa</t>
        </is>
      </c>
      <c r="B210" t="inlineStr">
        <is>
          <t>True jellyfishes</t>
        </is>
      </c>
      <c r="C210" t="inlineStr">
        <is>
          <t>Jellyfish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0.338</v>
      </c>
      <c r="AY210" t="n">
        <v>0.789</v>
      </c>
      <c r="AZ210" t="n">
        <v>0.451</v>
      </c>
      <c r="BA210" t="n">
        <v>0.5629999999999999</v>
      </c>
      <c r="BB210" t="n">
        <v>1.352</v>
      </c>
      <c r="BC210" t="n">
        <v>0.338</v>
      </c>
      <c r="BD210" t="n">
        <v>0.5629999999999999</v>
      </c>
      <c r="BE210" t="n">
        <v>0</v>
      </c>
      <c r="BF210" t="n">
        <v>1.071</v>
      </c>
      <c r="BG210" t="n">
        <v>1.24</v>
      </c>
      <c r="BH210" t="n">
        <v>0.338</v>
      </c>
      <c r="BI210" t="n">
        <v>1.5</v>
      </c>
      <c r="BJ210" t="n">
        <v>1.62</v>
      </c>
      <c r="BK210" t="n">
        <v>1.74</v>
      </c>
      <c r="BL210" t="n">
        <v>1.86</v>
      </c>
      <c r="BM210" t="n">
        <v>1.98</v>
      </c>
      <c r="BN210" t="n">
        <v>2.099</v>
      </c>
      <c r="BO210" t="n">
        <v>2.219</v>
      </c>
      <c r="BP210" t="n">
        <v>2.339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Coryphaena hippurus</t>
        </is>
      </c>
      <c r="B211" t="inlineStr">
        <is>
          <t>Common dolphinfish</t>
        </is>
      </c>
      <c r="C211" t="inlineStr">
        <is>
          <t>Large pelagics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0.044</v>
      </c>
      <c r="J211" t="n">
        <v>0.274</v>
      </c>
      <c r="K211" t="n">
        <v>0.29</v>
      </c>
      <c r="L211" t="n">
        <v>0.059</v>
      </c>
      <c r="M211" t="n">
        <v>0.043</v>
      </c>
      <c r="N211" t="n">
        <v>0.17</v>
      </c>
      <c r="O211" t="n">
        <v>0.207</v>
      </c>
      <c r="P211" t="n">
        <v>0.336</v>
      </c>
      <c r="Q211" t="n">
        <v>0.151</v>
      </c>
      <c r="R211" t="n">
        <v>0.052</v>
      </c>
      <c r="S211" t="n">
        <v>0.22</v>
      </c>
      <c r="T211" t="n">
        <v>0.135</v>
      </c>
      <c r="U211" t="n">
        <v>0.116</v>
      </c>
      <c r="V211" t="n">
        <v>0.203</v>
      </c>
      <c r="W211" t="n">
        <v>0.052</v>
      </c>
      <c r="X211" t="n">
        <v>0.525</v>
      </c>
      <c r="Y211" t="n">
        <v>0.07000000000000001</v>
      </c>
      <c r="Z211" t="n">
        <v>0.661</v>
      </c>
      <c r="AA211" t="n">
        <v>0.012</v>
      </c>
      <c r="AB211" t="n">
        <v>0</v>
      </c>
      <c r="AC211" t="n">
        <v>0.043</v>
      </c>
      <c r="AD211" t="n">
        <v>0.003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0.134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0.059</v>
      </c>
      <c r="BB211" t="n">
        <v>0.03</v>
      </c>
      <c r="BC211" t="n">
        <v>0.028</v>
      </c>
      <c r="BD211" t="n">
        <v>0.062</v>
      </c>
      <c r="BE211" t="n">
        <v>0.058</v>
      </c>
      <c r="BF211" t="n">
        <v>0.059</v>
      </c>
      <c r="BG211" t="n">
        <v>0.065</v>
      </c>
      <c r="BH211" t="n">
        <v>0.048</v>
      </c>
      <c r="BI211" t="n">
        <v>0.08699999999999999</v>
      </c>
      <c r="BJ211" t="n">
        <v>0.08799999999999999</v>
      </c>
      <c r="BK211" t="n">
        <v>17.759</v>
      </c>
      <c r="BL211" t="n">
        <v>0.001</v>
      </c>
      <c r="BM211" t="n">
        <v>0.001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Labridae</t>
        </is>
      </c>
      <c r="B212" t="inlineStr">
        <is>
          <t>Wrasses, gropers, tuskfishes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0.328</v>
      </c>
      <c r="Z212" t="n">
        <v>0</v>
      </c>
      <c r="AA212" t="n">
        <v>0</v>
      </c>
      <c r="AB212" t="n">
        <v>0</v>
      </c>
      <c r="AC212" t="n">
        <v>0.889</v>
      </c>
      <c r="AD212" t="n">
        <v>0</v>
      </c>
      <c r="AE212" t="n">
        <v>0</v>
      </c>
      <c r="AF212" t="n">
        <v>0</v>
      </c>
      <c r="AG212" t="n">
        <v>0</v>
      </c>
      <c r="AH212" t="n">
        <v>0.424</v>
      </c>
      <c r="AI212" t="n">
        <v>3.327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n">
        <v>0.007</v>
      </c>
      <c r="F213" t="n">
        <v>0.008</v>
      </c>
      <c r="G213" t="n">
        <v>0.01</v>
      </c>
      <c r="H213" t="n">
        <v>0.01</v>
      </c>
      <c r="I213" t="n">
        <v>0.011</v>
      </c>
      <c r="J213" t="n">
        <v>0.011</v>
      </c>
      <c r="K213" t="n">
        <v>0.011</v>
      </c>
      <c r="L213" t="n">
        <v>0.011</v>
      </c>
      <c r="M213" t="n">
        <v>0.011</v>
      </c>
      <c r="N213" t="n">
        <v>0.01</v>
      </c>
      <c r="O213" t="n">
        <v>0.011</v>
      </c>
      <c r="P213" t="n">
        <v>0.013</v>
      </c>
      <c r="Q213" t="n">
        <v>0.013</v>
      </c>
      <c r="R213" t="n">
        <v>0.013</v>
      </c>
      <c r="S213" t="n">
        <v>0.012</v>
      </c>
      <c r="T213" t="n">
        <v>0.013</v>
      </c>
      <c r="U213" t="n">
        <v>0.014</v>
      </c>
      <c r="V213" t="n">
        <v>0.013</v>
      </c>
      <c r="W213" t="n">
        <v>0.014</v>
      </c>
      <c r="X213" t="n">
        <v>0.015</v>
      </c>
      <c r="Y213" t="n">
        <v>0.016</v>
      </c>
      <c r="Z213" t="n">
        <v>0.016</v>
      </c>
      <c r="AA213" t="n">
        <v>0.02</v>
      </c>
      <c r="AB213" t="n">
        <v>0.021</v>
      </c>
      <c r="AC213" t="n">
        <v>0.011</v>
      </c>
      <c r="AD213" t="n">
        <v>0.015</v>
      </c>
      <c r="AE213" t="n">
        <v>0.08</v>
      </c>
      <c r="AF213" t="n">
        <v>0.099</v>
      </c>
      <c r="AG213" t="n">
        <v>0.095</v>
      </c>
      <c r="AH213" t="n">
        <v>0.094</v>
      </c>
      <c r="AI213" t="n">
        <v>0.061</v>
      </c>
      <c r="AJ213" t="n">
        <v>0.052</v>
      </c>
      <c r="AK213" t="n">
        <v>0.043</v>
      </c>
      <c r="AL213" t="n">
        <v>0.045</v>
      </c>
      <c r="AM213" t="n">
        <v>0.048</v>
      </c>
      <c r="AN213" t="n">
        <v>0.057</v>
      </c>
      <c r="AO213" t="n">
        <v>0.058</v>
      </c>
      <c r="AP213" t="n">
        <v>0.074</v>
      </c>
      <c r="AQ213" t="n">
        <v>0.092</v>
      </c>
      <c r="AR213" t="n">
        <v>0.079</v>
      </c>
      <c r="AS213" t="n">
        <v>0.152</v>
      </c>
      <c r="AT213" t="n">
        <v>0.081</v>
      </c>
      <c r="AU213" t="n">
        <v>0.08799999999999999</v>
      </c>
      <c r="AV213" t="n">
        <v>0.08400000000000001</v>
      </c>
      <c r="AW213" t="n">
        <v>0.096</v>
      </c>
      <c r="AX213" t="n">
        <v>0.079</v>
      </c>
      <c r="AY213" t="n">
        <v>0.094</v>
      </c>
      <c r="AZ213" t="n">
        <v>0.095</v>
      </c>
      <c r="BA213" t="n">
        <v>0.08</v>
      </c>
      <c r="BB213" t="n">
        <v>0.093</v>
      </c>
      <c r="BC213" t="n">
        <v>0.093</v>
      </c>
      <c r="BD213" t="n">
        <v>0.113</v>
      </c>
      <c r="BE213" t="n">
        <v>0.09</v>
      </c>
      <c r="BF213" t="n">
        <v>0.092</v>
      </c>
      <c r="BG213" t="n">
        <v>0.104</v>
      </c>
      <c r="BH213" t="n">
        <v>0.08400000000000001</v>
      </c>
      <c r="BI213" t="n">
        <v>0.103</v>
      </c>
      <c r="BJ213" t="n">
        <v>0.1</v>
      </c>
      <c r="BK213" t="n">
        <v>0.093</v>
      </c>
      <c r="BL213" t="n">
        <v>0.091</v>
      </c>
      <c r="BM213" t="n">
        <v>0.082</v>
      </c>
      <c r="BN213" t="n">
        <v>0.08500000000000001</v>
      </c>
      <c r="BO213" t="n">
        <v>0.08599999999999999</v>
      </c>
      <c r="BP213" t="n">
        <v>0.08799999999999999</v>
      </c>
      <c r="BQ213" t="n">
        <v>0.094</v>
      </c>
      <c r="BR213" t="n">
        <v>0.105</v>
      </c>
      <c r="BS213" t="n">
        <v>0.1</v>
      </c>
      <c r="BT213" t="n">
        <v>0.089</v>
      </c>
      <c r="BU213" t="n">
        <v>0.101</v>
      </c>
      <c r="BV213" t="n">
        <v>0.11</v>
      </c>
    </row>
    <row r="214">
      <c r="A214" t="inlineStr">
        <is>
          <t>Netuma thalassina</t>
        </is>
      </c>
      <c r="B214" t="inlineStr">
        <is>
          <t>Giant catfish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n">
        <v>0.007</v>
      </c>
      <c r="F214" t="n">
        <v>0.008</v>
      </c>
      <c r="G214" t="n">
        <v>0.008</v>
      </c>
      <c r="H214" t="n">
        <v>0.008999999999999999</v>
      </c>
      <c r="I214" t="n">
        <v>0.008999999999999999</v>
      </c>
      <c r="J214" t="n">
        <v>0.01</v>
      </c>
      <c r="K214" t="n">
        <v>0.01</v>
      </c>
      <c r="L214" t="n">
        <v>0.008999999999999999</v>
      </c>
      <c r="M214" t="n">
        <v>0.01</v>
      </c>
      <c r="N214" t="n">
        <v>0.008999999999999999</v>
      </c>
      <c r="O214" t="n">
        <v>0.01</v>
      </c>
      <c r="P214" t="n">
        <v>0.013</v>
      </c>
      <c r="Q214" t="n">
        <v>0.014</v>
      </c>
      <c r="R214" t="n">
        <v>0.015</v>
      </c>
      <c r="S214" t="n">
        <v>0.016</v>
      </c>
      <c r="T214" t="n">
        <v>0.019</v>
      </c>
      <c r="U214" t="n">
        <v>0.022</v>
      </c>
      <c r="V214" t="n">
        <v>0.021</v>
      </c>
      <c r="W214" t="n">
        <v>0.022</v>
      </c>
      <c r="X214" t="n">
        <v>0.024</v>
      </c>
      <c r="Y214" t="n">
        <v>0.028</v>
      </c>
      <c r="Z214" t="n">
        <v>0.028</v>
      </c>
      <c r="AA214" t="n">
        <v>0.026</v>
      </c>
      <c r="AB214" t="n">
        <v>0.03</v>
      </c>
      <c r="AC214" t="n">
        <v>0.024</v>
      </c>
      <c r="AD214" t="n">
        <v>0.025</v>
      </c>
      <c r="AE214" t="n">
        <v>0.045</v>
      </c>
      <c r="AF214" t="n">
        <v>0.047</v>
      </c>
      <c r="AG214" t="n">
        <v>0.049</v>
      </c>
      <c r="AH214" t="n">
        <v>0.049</v>
      </c>
      <c r="AI214" t="n">
        <v>0.051</v>
      </c>
      <c r="AJ214" t="n">
        <v>0.06</v>
      </c>
      <c r="AK214" t="n">
        <v>0.06900000000000001</v>
      </c>
      <c r="AL214" t="n">
        <v>0.06900000000000001</v>
      </c>
      <c r="AM214" t="n">
        <v>0.07199999999999999</v>
      </c>
      <c r="AN214" t="n">
        <v>0.06900000000000001</v>
      </c>
      <c r="AO214" t="n">
        <v>0.077</v>
      </c>
      <c r="AP214" t="n">
        <v>0.079</v>
      </c>
      <c r="AQ214" t="n">
        <v>0.083</v>
      </c>
      <c r="AR214" t="n">
        <v>0.08500000000000001</v>
      </c>
      <c r="AS214" t="n">
        <v>0.08400000000000001</v>
      </c>
      <c r="AT214" t="n">
        <v>0.08500000000000001</v>
      </c>
      <c r="AU214" t="n">
        <v>0.081</v>
      </c>
      <c r="AV214" t="n">
        <v>0.08400000000000001</v>
      </c>
      <c r="AW214" t="n">
        <v>0.09</v>
      </c>
      <c r="AX214" t="n">
        <v>0.083</v>
      </c>
      <c r="AY214" t="n">
        <v>0.08400000000000001</v>
      </c>
      <c r="AZ214" t="n">
        <v>0.097</v>
      </c>
      <c r="BA214" t="n">
        <v>0.08</v>
      </c>
      <c r="BB214" t="n">
        <v>0.079</v>
      </c>
      <c r="BC214" t="n">
        <v>0.074</v>
      </c>
      <c r="BD214" t="n">
        <v>0.08</v>
      </c>
      <c r="BE214" t="n">
        <v>0.083</v>
      </c>
      <c r="BF214" t="n">
        <v>0.07099999999999999</v>
      </c>
      <c r="BG214" t="n">
        <v>0.07099999999999999</v>
      </c>
      <c r="BH214" t="n">
        <v>0.056</v>
      </c>
      <c r="BI214" t="n">
        <v>0.062</v>
      </c>
      <c r="BJ214" t="n">
        <v>0.062</v>
      </c>
      <c r="BK214" t="n">
        <v>0.094</v>
      </c>
      <c r="BL214" t="n">
        <v>0.08</v>
      </c>
      <c r="BM214" t="n">
        <v>0.082</v>
      </c>
      <c r="BN214" t="n">
        <v>0.08500000000000001</v>
      </c>
      <c r="BO214" t="n">
        <v>0.08500000000000001</v>
      </c>
      <c r="BP214" t="n">
        <v>0.08699999999999999</v>
      </c>
      <c r="BQ214" t="n">
        <v>0.094</v>
      </c>
      <c r="BR214" t="n">
        <v>0.101</v>
      </c>
      <c r="BS214" t="n">
        <v>0.095</v>
      </c>
      <c r="BT214" t="n">
        <v>0.08500000000000001</v>
      </c>
      <c r="BU214" t="n">
        <v>0.097</v>
      </c>
      <c r="BV214" t="n">
        <v>0.104</v>
      </c>
    </row>
    <row r="215">
      <c r="A215" t="inlineStr">
        <is>
          <t>Sardinella lemuru</t>
        </is>
      </c>
      <c r="B215" t="inlineStr">
        <is>
          <t>Bali sardinella</t>
        </is>
      </c>
      <c r="C215" t="inlineStr">
        <is>
          <t>Small pelagics (&lt;30 cm)</t>
        </is>
      </c>
      <c r="D215" t="inlineStr">
        <is>
          <t>Herring-likes</t>
        </is>
      </c>
      <c r="E215" t="n">
        <v>0.007</v>
      </c>
      <c r="F215" t="n">
        <v>0.008</v>
      </c>
      <c r="G215" t="n">
        <v>0.008999999999999999</v>
      </c>
      <c r="H215" t="n">
        <v>0.008999999999999999</v>
      </c>
      <c r="I215" t="n">
        <v>0.01</v>
      </c>
      <c r="J215" t="n">
        <v>0.01</v>
      </c>
      <c r="K215" t="n">
        <v>0.01</v>
      </c>
      <c r="L215" t="n">
        <v>0.01</v>
      </c>
      <c r="M215" t="n">
        <v>0.01</v>
      </c>
      <c r="N215" t="n">
        <v>0.01</v>
      </c>
      <c r="O215" t="n">
        <v>0.01</v>
      </c>
      <c r="P215" t="n">
        <v>0.012</v>
      </c>
      <c r="Q215" t="n">
        <v>0.011</v>
      </c>
      <c r="R215" t="n">
        <v>0.011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0.011</v>
      </c>
      <c r="Y215" t="n">
        <v>0.013</v>
      </c>
      <c r="Z215" t="n">
        <v>0.014</v>
      </c>
      <c r="AA215" t="n">
        <v>0.013</v>
      </c>
      <c r="AB215" t="n">
        <v>0.01</v>
      </c>
      <c r="AC215" t="n">
        <v>0.013</v>
      </c>
      <c r="AD215" t="n">
        <v>0.032</v>
      </c>
      <c r="AE215" t="n">
        <v>0.02</v>
      </c>
      <c r="AF215" t="n">
        <v>0.036</v>
      </c>
      <c r="AG215" t="n">
        <v>0.03</v>
      </c>
      <c r="AH215" t="n">
        <v>0.026</v>
      </c>
      <c r="AI215" t="n">
        <v>0.032</v>
      </c>
      <c r="AJ215" t="n">
        <v>0.03</v>
      </c>
      <c r="AK215" t="n">
        <v>0.028</v>
      </c>
      <c r="AL215" t="n">
        <v>0.038</v>
      </c>
      <c r="AM215" t="n">
        <v>0.034</v>
      </c>
      <c r="AN215" t="n">
        <v>0.03</v>
      </c>
      <c r="AO215" t="n">
        <v>0.038</v>
      </c>
      <c r="AP215" t="n">
        <v>0.037</v>
      </c>
      <c r="AQ215" t="n">
        <v>0.055</v>
      </c>
      <c r="AR215" t="n">
        <v>0.06</v>
      </c>
      <c r="AS215" t="n">
        <v>0.064</v>
      </c>
      <c r="AT215" t="n">
        <v>0.079</v>
      </c>
      <c r="AU215" t="n">
        <v>0.079</v>
      </c>
      <c r="AV215" t="n">
        <v>0.082</v>
      </c>
      <c r="AW215" t="n">
        <v>0.08599999999999999</v>
      </c>
      <c r="AX215" t="n">
        <v>0.063</v>
      </c>
      <c r="AY215" t="n">
        <v>0.06</v>
      </c>
      <c r="AZ215" t="n">
        <v>0.083</v>
      </c>
      <c r="BA215" t="n">
        <v>0.106</v>
      </c>
      <c r="BB215" t="n">
        <v>0.06</v>
      </c>
      <c r="BC215" t="n">
        <v>0.06</v>
      </c>
      <c r="BD215" t="n">
        <v>0.06900000000000001</v>
      </c>
      <c r="BE215" t="n">
        <v>0.074</v>
      </c>
      <c r="BF215" t="n">
        <v>0.08</v>
      </c>
      <c r="BG215" t="n">
        <v>0.068</v>
      </c>
      <c r="BH215" t="n">
        <v>0.063</v>
      </c>
      <c r="BI215" t="n">
        <v>0.11</v>
      </c>
      <c r="BJ215" t="n">
        <v>0.107</v>
      </c>
      <c r="BK215" t="n">
        <v>0.081</v>
      </c>
      <c r="BL215" t="n">
        <v>0.093</v>
      </c>
      <c r="BM215" t="n">
        <v>0.066</v>
      </c>
      <c r="BN215" t="n">
        <v>0.068</v>
      </c>
      <c r="BO215" t="n">
        <v>0.06900000000000001</v>
      </c>
      <c r="BP215" t="n">
        <v>0.07000000000000001</v>
      </c>
      <c r="BQ215" t="n">
        <v>0.076</v>
      </c>
      <c r="BR215" t="n">
        <v>0.08500000000000001</v>
      </c>
      <c r="BS215" t="n">
        <v>0.08</v>
      </c>
      <c r="BT215" t="n">
        <v>0.07199999999999999</v>
      </c>
      <c r="BU215" t="n">
        <v>0.081</v>
      </c>
      <c r="BV215" t="n">
        <v>0.08599999999999999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2.025</v>
      </c>
      <c r="AI216" t="n">
        <v>0</v>
      </c>
      <c r="AJ216" t="n">
        <v>1.002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0.001</v>
      </c>
      <c r="AS216" t="n">
        <v>0.001</v>
      </c>
      <c r="AT216" t="n">
        <v>0.001</v>
      </c>
      <c r="AU216" t="n">
        <v>0.001</v>
      </c>
      <c r="AV216" t="n">
        <v>0</v>
      </c>
      <c r="AW216" t="n">
        <v>0.001</v>
      </c>
      <c r="AX216" t="n">
        <v>0.001</v>
      </c>
      <c r="AY216" t="n">
        <v>0</v>
      </c>
      <c r="AZ216" t="n">
        <v>0</v>
      </c>
      <c r="BA216" t="n">
        <v>0.001</v>
      </c>
      <c r="BB216" t="n">
        <v>0.001</v>
      </c>
      <c r="BC216" t="n">
        <v>0</v>
      </c>
      <c r="BD216" t="n">
        <v>0.001</v>
      </c>
      <c r="BE216" t="n">
        <v>0.001</v>
      </c>
      <c r="BF216" t="n">
        <v>0.001</v>
      </c>
      <c r="BG216" t="n">
        <v>0.001</v>
      </c>
      <c r="BH216" t="n">
        <v>0.002</v>
      </c>
      <c r="BI216" t="n">
        <v>0.001</v>
      </c>
      <c r="BJ216" t="n">
        <v>0.002</v>
      </c>
      <c r="BK216" t="n">
        <v>0</v>
      </c>
      <c r="BL216" t="n">
        <v>0</v>
      </c>
      <c r="BM216" t="n">
        <v>0</v>
      </c>
      <c r="BN216" t="n">
        <v>0.002</v>
      </c>
      <c r="BO216" t="n">
        <v>0.002</v>
      </c>
      <c r="BP216" t="n">
        <v>0.002</v>
      </c>
      <c r="BQ216" t="n">
        <v>0.002</v>
      </c>
      <c r="BR216" t="n">
        <v>0.002</v>
      </c>
      <c r="BS216" t="n">
        <v>0.002</v>
      </c>
      <c r="BT216" t="n">
        <v>0.002</v>
      </c>
      <c r="BU216" t="n">
        <v>0.002</v>
      </c>
      <c r="BV216" t="n">
        <v>0.002</v>
      </c>
    </row>
    <row r="217">
      <c r="A217" t="inlineStr">
        <is>
          <t>Acetes japonicus</t>
        </is>
      </c>
      <c r="B217" t="inlineStr">
        <is>
          <t>Akiami paste shrimp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0.004</v>
      </c>
      <c r="G217" t="n">
        <v>0.005</v>
      </c>
      <c r="H217" t="n">
        <v>0.005</v>
      </c>
      <c r="I217" t="n">
        <v>0.005</v>
      </c>
      <c r="J217" t="n">
        <v>0.006</v>
      </c>
      <c r="K217" t="n">
        <v>0.007</v>
      </c>
      <c r="L217" t="n">
        <v>0.007</v>
      </c>
      <c r="M217" t="n">
        <v>0.006</v>
      </c>
      <c r="N217" t="n">
        <v>0.007</v>
      </c>
      <c r="O217" t="n">
        <v>0.007</v>
      </c>
      <c r="P217" t="n">
        <v>0.008</v>
      </c>
      <c r="Q217" t="n">
        <v>0.008999999999999999</v>
      </c>
      <c r="R217" t="n">
        <v>0.008</v>
      </c>
      <c r="S217" t="n">
        <v>0.008</v>
      </c>
      <c r="T217" t="n">
        <v>0.008</v>
      </c>
      <c r="U217" t="n">
        <v>0.01</v>
      </c>
      <c r="V217" t="n">
        <v>0.01</v>
      </c>
      <c r="W217" t="n">
        <v>0.008999999999999999</v>
      </c>
      <c r="X217" t="n">
        <v>0.008999999999999999</v>
      </c>
      <c r="Y217" t="n">
        <v>0.008999999999999999</v>
      </c>
      <c r="Z217" t="n">
        <v>0.008999999999999999</v>
      </c>
      <c r="AA217" t="n">
        <v>0.008999999999999999</v>
      </c>
      <c r="AB217" t="n">
        <v>0.008</v>
      </c>
      <c r="AC217" t="n">
        <v>0.007</v>
      </c>
      <c r="AD217" t="n">
        <v>0.011</v>
      </c>
      <c r="AE217" t="n">
        <v>0.057</v>
      </c>
      <c r="AF217" t="n">
        <v>0.07099999999999999</v>
      </c>
      <c r="AG217" t="n">
        <v>0.068</v>
      </c>
      <c r="AH217" t="n">
        <v>0.067</v>
      </c>
      <c r="AI217" t="n">
        <v>0.04</v>
      </c>
      <c r="AJ217" t="n">
        <v>0.035</v>
      </c>
      <c r="AK217" t="n">
        <v>0.03</v>
      </c>
      <c r="AL217" t="n">
        <v>0.031</v>
      </c>
      <c r="AM217" t="n">
        <v>0.034</v>
      </c>
      <c r="AN217" t="n">
        <v>0.04</v>
      </c>
      <c r="AO217" t="n">
        <v>0.041</v>
      </c>
      <c r="AP217" t="n">
        <v>0.052</v>
      </c>
      <c r="AQ217" t="n">
        <v>0.065</v>
      </c>
      <c r="AR217" t="n">
        <v>0.056</v>
      </c>
      <c r="AS217" t="n">
        <v>0.12</v>
      </c>
      <c r="AT217" t="n">
        <v>0.064</v>
      </c>
      <c r="AU217" t="n">
        <v>0.06900000000000001</v>
      </c>
      <c r="AV217" t="n">
        <v>0.067</v>
      </c>
      <c r="AW217" t="n">
        <v>0.077</v>
      </c>
      <c r="AX217" t="n">
        <v>0.063</v>
      </c>
      <c r="AY217" t="n">
        <v>0.075</v>
      </c>
      <c r="AZ217" t="n">
        <v>0.077</v>
      </c>
      <c r="BA217" t="n">
        <v>0.065</v>
      </c>
      <c r="BB217" t="n">
        <v>0.076</v>
      </c>
      <c r="BC217" t="n">
        <v>0.077</v>
      </c>
      <c r="BD217" t="n">
        <v>0.094</v>
      </c>
      <c r="BE217" t="n">
        <v>0.075</v>
      </c>
      <c r="BF217" t="n">
        <v>0.078</v>
      </c>
      <c r="BG217" t="n">
        <v>0.065</v>
      </c>
      <c r="BH217" t="n">
        <v>0.048</v>
      </c>
      <c r="BI217" t="n">
        <v>0.064</v>
      </c>
      <c r="BJ217" t="n">
        <v>0.059</v>
      </c>
      <c r="BK217" t="n">
        <v>0.054</v>
      </c>
      <c r="BL217" t="n">
        <v>0.055</v>
      </c>
      <c r="BM217" t="n">
        <v>0.045</v>
      </c>
      <c r="BN217" t="n">
        <v>0.047</v>
      </c>
      <c r="BO217" t="n">
        <v>0.047</v>
      </c>
      <c r="BP217" t="n">
        <v>0.048</v>
      </c>
      <c r="BQ217" t="n">
        <v>0.052</v>
      </c>
      <c r="BR217" t="n">
        <v>0.058</v>
      </c>
      <c r="BS217" t="n">
        <v>0.055</v>
      </c>
      <c r="BT217" t="n">
        <v>0.049</v>
      </c>
      <c r="BU217" t="n">
        <v>0.056</v>
      </c>
      <c r="BV217" t="n">
        <v>0.061</v>
      </c>
    </row>
    <row r="218">
      <c r="A218" t="inlineStr">
        <is>
          <t>Lutjanus argentimaculatus</t>
        </is>
      </c>
      <c r="B218" t="inlineStr">
        <is>
          <t>Mangrove red snapper</t>
        </is>
      </c>
      <c r="C218" t="inlineStr">
        <is>
          <t>Large reef assoc. fish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0.611</v>
      </c>
      <c r="Y218" t="n">
        <v>0.357</v>
      </c>
      <c r="Z218" t="n">
        <v>0.247</v>
      </c>
      <c r="AA218" t="n">
        <v>0.52</v>
      </c>
      <c r="AB218" t="n">
        <v>0.581</v>
      </c>
      <c r="AC218" t="n">
        <v>0</v>
      </c>
      <c r="AD218" t="n">
        <v>0.394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Penaeus indicus</t>
        </is>
      </c>
      <c r="B219" t="inlineStr">
        <is>
          <t>Indian white prawn</t>
        </is>
      </c>
      <c r="C219" t="inlineStr">
        <is>
          <t>Shrimps</t>
        </is>
      </c>
      <c r="D219" t="inlineStr">
        <is>
          <t>Crustaceans</t>
        </is>
      </c>
      <c r="E219" t="n">
        <v>0.008999999999999999</v>
      </c>
      <c r="F219" t="n">
        <v>0.01</v>
      </c>
      <c r="G219" t="n">
        <v>0.011</v>
      </c>
      <c r="H219" t="n">
        <v>0.012</v>
      </c>
      <c r="I219" t="n">
        <v>0.012</v>
      </c>
      <c r="J219" t="n">
        <v>0.013</v>
      </c>
      <c r="K219" t="n">
        <v>0.013</v>
      </c>
      <c r="L219" t="n">
        <v>0.013</v>
      </c>
      <c r="M219" t="n">
        <v>0.013</v>
      </c>
      <c r="N219" t="n">
        <v>0.013</v>
      </c>
      <c r="O219" t="n">
        <v>0.014</v>
      </c>
      <c r="P219" t="n">
        <v>0.016</v>
      </c>
      <c r="Q219" t="n">
        <v>0.016</v>
      </c>
      <c r="R219" t="n">
        <v>0.015</v>
      </c>
      <c r="S219" t="n">
        <v>0.015</v>
      </c>
      <c r="T219" t="n">
        <v>0.016</v>
      </c>
      <c r="U219" t="n">
        <v>0.017</v>
      </c>
      <c r="V219" t="n">
        <v>0.016</v>
      </c>
      <c r="W219" t="n">
        <v>0.016</v>
      </c>
      <c r="X219" t="n">
        <v>0.018</v>
      </c>
      <c r="Y219" t="n">
        <v>0.016</v>
      </c>
      <c r="Z219" t="n">
        <v>0.016</v>
      </c>
      <c r="AA219" t="n">
        <v>0.019</v>
      </c>
      <c r="AB219" t="n">
        <v>0.018</v>
      </c>
      <c r="AC219" t="n">
        <v>0.018</v>
      </c>
      <c r="AD219" t="n">
        <v>0.019</v>
      </c>
      <c r="AE219" t="n">
        <v>0.015</v>
      </c>
      <c r="AF219" t="n">
        <v>0.013</v>
      </c>
      <c r="AG219" t="n">
        <v>0.047</v>
      </c>
      <c r="AH219" t="n">
        <v>0.035</v>
      </c>
      <c r="AI219" t="n">
        <v>0.048</v>
      </c>
      <c r="AJ219" t="n">
        <v>0.038</v>
      </c>
      <c r="AK219" t="n">
        <v>0.029</v>
      </c>
      <c r="AL219" t="n">
        <v>0.039</v>
      </c>
      <c r="AM219" t="n">
        <v>0.023</v>
      </c>
      <c r="AN219" t="n">
        <v>0.026</v>
      </c>
      <c r="AO219" t="n">
        <v>0.032</v>
      </c>
      <c r="AP219" t="n">
        <v>0.034</v>
      </c>
      <c r="AQ219" t="n">
        <v>0.038</v>
      </c>
      <c r="AR219" t="n">
        <v>0.036</v>
      </c>
      <c r="AS219" t="n">
        <v>0.034</v>
      </c>
      <c r="AT219" t="n">
        <v>0.034</v>
      </c>
      <c r="AU219" t="n">
        <v>0.043</v>
      </c>
      <c r="AV219" t="n">
        <v>0.04</v>
      </c>
      <c r="AW219" t="n">
        <v>0.042</v>
      </c>
      <c r="AX219" t="n">
        <v>0.044</v>
      </c>
      <c r="AY219" t="n">
        <v>0.045</v>
      </c>
      <c r="AZ219" t="n">
        <v>0.042</v>
      </c>
      <c r="BA219" t="n">
        <v>0.052</v>
      </c>
      <c r="BB219" t="n">
        <v>0.057</v>
      </c>
      <c r="BC219" t="n">
        <v>0.064</v>
      </c>
      <c r="BD219" t="n">
        <v>0.054</v>
      </c>
      <c r="BE219" t="n">
        <v>0.059</v>
      </c>
      <c r="BF219" t="n">
        <v>0.063</v>
      </c>
      <c r="BG219" t="n">
        <v>0.064</v>
      </c>
      <c r="BH219" t="n">
        <v>0.057</v>
      </c>
      <c r="BI219" t="n">
        <v>0.045</v>
      </c>
      <c r="BJ219" t="n">
        <v>0.056</v>
      </c>
      <c r="BK219" t="n">
        <v>0.06900000000000001</v>
      </c>
      <c r="BL219" t="n">
        <v>0.065</v>
      </c>
      <c r="BM219" t="n">
        <v>0.062</v>
      </c>
      <c r="BN219" t="n">
        <v>0.065</v>
      </c>
      <c r="BO219" t="n">
        <v>0.065</v>
      </c>
      <c r="BP219" t="n">
        <v>0.066</v>
      </c>
      <c r="BQ219" t="n">
        <v>0.07099999999999999</v>
      </c>
      <c r="BR219" t="n">
        <v>0.08</v>
      </c>
      <c r="BS219" t="n">
        <v>0.076</v>
      </c>
      <c r="BT219" t="n">
        <v>0.068</v>
      </c>
      <c r="BU219" t="n">
        <v>0.077</v>
      </c>
      <c r="BV219" t="n">
        <v>0.083</v>
      </c>
    </row>
    <row r="220">
      <c r="A220" t="inlineStr">
        <is>
          <t>Nemipterus hexodon</t>
        </is>
      </c>
      <c r="B220" t="inlineStr">
        <is>
          <t>Ornate threadfin bream</t>
        </is>
      </c>
      <c r="C220" t="inlineStr">
        <is>
          <t>Small demersals (&lt;30 cm)</t>
        </is>
      </c>
      <c r="D220" t="inlineStr">
        <is>
          <t>Perch-likes</t>
        </is>
      </c>
      <c r="E220" t="n">
        <v>0.002</v>
      </c>
      <c r="F220" t="n">
        <v>0.002</v>
      </c>
      <c r="G220" t="n">
        <v>0.003</v>
      </c>
      <c r="H220" t="n">
        <v>0.003</v>
      </c>
      <c r="I220" t="n">
        <v>0.003</v>
      </c>
      <c r="J220" t="n">
        <v>0.003</v>
      </c>
      <c r="K220" t="n">
        <v>0.003</v>
      </c>
      <c r="L220" t="n">
        <v>0.003</v>
      </c>
      <c r="M220" t="n">
        <v>0.003</v>
      </c>
      <c r="N220" t="n">
        <v>0.003</v>
      </c>
      <c r="O220" t="n">
        <v>0.004</v>
      </c>
      <c r="P220" t="n">
        <v>0.004</v>
      </c>
      <c r="Q220" t="n">
        <v>0.004</v>
      </c>
      <c r="R220" t="n">
        <v>0.004</v>
      </c>
      <c r="S220" t="n">
        <v>0.005</v>
      </c>
      <c r="T220" t="n">
        <v>0.006</v>
      </c>
      <c r="U220" t="n">
        <v>0.006</v>
      </c>
      <c r="V220" t="n">
        <v>0.006</v>
      </c>
      <c r="W220" t="n">
        <v>0.006</v>
      </c>
      <c r="X220" t="n">
        <v>0.007</v>
      </c>
      <c r="Y220" t="n">
        <v>0.008</v>
      </c>
      <c r="Z220" t="n">
        <v>0.008</v>
      </c>
      <c r="AA220" t="n">
        <v>0.007</v>
      </c>
      <c r="AB220" t="n">
        <v>0.008999999999999999</v>
      </c>
      <c r="AC220" t="n">
        <v>0.007</v>
      </c>
      <c r="AD220" t="n">
        <v>0.008</v>
      </c>
      <c r="AE220" t="n">
        <v>0.01</v>
      </c>
      <c r="AF220" t="n">
        <v>0.008999999999999999</v>
      </c>
      <c r="AG220" t="n">
        <v>0.011</v>
      </c>
      <c r="AH220" t="n">
        <v>0.013</v>
      </c>
      <c r="AI220" t="n">
        <v>0.016</v>
      </c>
      <c r="AJ220" t="n">
        <v>0.015</v>
      </c>
      <c r="AK220" t="n">
        <v>0.014</v>
      </c>
      <c r="AL220" t="n">
        <v>0.018</v>
      </c>
      <c r="AM220" t="n">
        <v>0.015</v>
      </c>
      <c r="AN220" t="n">
        <v>0.016</v>
      </c>
      <c r="AO220" t="n">
        <v>0.028</v>
      </c>
      <c r="AP220" t="n">
        <v>0.014</v>
      </c>
      <c r="AQ220" t="n">
        <v>0.027</v>
      </c>
      <c r="AR220" t="n">
        <v>0.025</v>
      </c>
      <c r="AS220" t="n">
        <v>0.025</v>
      </c>
      <c r="AT220" t="n">
        <v>0.025</v>
      </c>
      <c r="AU220" t="n">
        <v>0.025</v>
      </c>
      <c r="AV220" t="n">
        <v>0.026</v>
      </c>
      <c r="AW220" t="n">
        <v>0.027</v>
      </c>
      <c r="AX220" t="n">
        <v>0.031</v>
      </c>
      <c r="AY220" t="n">
        <v>0.035</v>
      </c>
      <c r="AZ220" t="n">
        <v>0.032</v>
      </c>
      <c r="BA220" t="n">
        <v>0.028</v>
      </c>
      <c r="BB220" t="n">
        <v>0.036</v>
      </c>
      <c r="BC220" t="n">
        <v>0.029</v>
      </c>
      <c r="BD220" t="n">
        <v>0.043</v>
      </c>
      <c r="BE220" t="n">
        <v>0.049</v>
      </c>
      <c r="BF220" t="n">
        <v>0.054</v>
      </c>
      <c r="BG220" t="n">
        <v>0.053</v>
      </c>
      <c r="BH220" t="n">
        <v>0.054</v>
      </c>
      <c r="BI220" t="n">
        <v>0.043</v>
      </c>
      <c r="BJ220" t="n">
        <v>0.052</v>
      </c>
      <c r="BK220" t="n">
        <v>0.05</v>
      </c>
      <c r="BL220" t="n">
        <v>0.053</v>
      </c>
      <c r="BM220" t="n">
        <v>0.052</v>
      </c>
      <c r="BN220" t="n">
        <v>0.058</v>
      </c>
      <c r="BO220" t="n">
        <v>0.058</v>
      </c>
      <c r="BP220" t="n">
        <v>0.053</v>
      </c>
      <c r="BQ220" t="n">
        <v>0.057</v>
      </c>
      <c r="BR220" t="n">
        <v>0.063</v>
      </c>
      <c r="BS220" t="n">
        <v>0.059</v>
      </c>
      <c r="BT220" t="n">
        <v>0.053</v>
      </c>
      <c r="BU220" t="n">
        <v>0.06</v>
      </c>
      <c r="BV220" t="n">
        <v>0.064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0.001</v>
      </c>
      <c r="R221" t="n">
        <v>0.001</v>
      </c>
      <c r="S221" t="n">
        <v>0.002</v>
      </c>
      <c r="T221" t="n">
        <v>0.002</v>
      </c>
      <c r="U221" t="n">
        <v>0.003</v>
      </c>
      <c r="V221" t="n">
        <v>0.003</v>
      </c>
      <c r="W221" t="n">
        <v>0.003</v>
      </c>
      <c r="X221" t="n">
        <v>0.004</v>
      </c>
      <c r="Y221" t="n">
        <v>0.004</v>
      </c>
      <c r="Z221" t="n">
        <v>0.004</v>
      </c>
      <c r="AA221" t="n">
        <v>0.004</v>
      </c>
      <c r="AB221" t="n">
        <v>0.005</v>
      </c>
      <c r="AC221" t="n">
        <v>0.005</v>
      </c>
      <c r="AD221" t="n">
        <v>0.004</v>
      </c>
      <c r="AE221" t="n">
        <v>0.006</v>
      </c>
      <c r="AF221" t="n">
        <v>0.006</v>
      </c>
      <c r="AG221" t="n">
        <v>0.007</v>
      </c>
      <c r="AH221" t="n">
        <v>0.006</v>
      </c>
      <c r="AI221" t="n">
        <v>0.006</v>
      </c>
      <c r="AJ221" t="n">
        <v>0.006</v>
      </c>
      <c r="AK221" t="n">
        <v>0.007</v>
      </c>
      <c r="AL221" t="n">
        <v>0.008999999999999999</v>
      </c>
      <c r="AM221" t="n">
        <v>0.008999999999999999</v>
      </c>
      <c r="AN221" t="n">
        <v>0.008</v>
      </c>
      <c r="AO221" t="n">
        <v>0.008999999999999999</v>
      </c>
      <c r="AP221" t="n">
        <v>0.008</v>
      </c>
      <c r="AQ221" t="n">
        <v>0.008999999999999999</v>
      </c>
      <c r="AR221" t="n">
        <v>0.01</v>
      </c>
      <c r="AS221" t="n">
        <v>0.01</v>
      </c>
      <c r="AT221" t="n">
        <v>0.011</v>
      </c>
      <c r="AU221" t="n">
        <v>0.013</v>
      </c>
      <c r="AV221" t="n">
        <v>0.018</v>
      </c>
      <c r="AW221" t="n">
        <v>0.033</v>
      </c>
      <c r="AX221" t="n">
        <v>0.019</v>
      </c>
      <c r="AY221" t="n">
        <v>0.017</v>
      </c>
      <c r="AZ221" t="n">
        <v>0.021</v>
      </c>
      <c r="BA221" t="n">
        <v>0.018</v>
      </c>
      <c r="BB221" t="n">
        <v>0.017</v>
      </c>
      <c r="BC221" t="n">
        <v>0.023</v>
      </c>
      <c r="BD221" t="n">
        <v>0.027</v>
      </c>
      <c r="BE221" t="n">
        <v>0.024</v>
      </c>
      <c r="BF221" t="n">
        <v>0.027</v>
      </c>
      <c r="BG221" t="n">
        <v>0.005</v>
      </c>
      <c r="BH221" t="n">
        <v>0.015</v>
      </c>
      <c r="BI221" t="n">
        <v>0.036</v>
      </c>
      <c r="BJ221" t="n">
        <v>0.038</v>
      </c>
      <c r="BK221" t="n">
        <v>0.021</v>
      </c>
      <c r="BL221" t="n">
        <v>0.023</v>
      </c>
      <c r="BM221" t="n">
        <v>0.039</v>
      </c>
      <c r="BN221" t="n">
        <v>0.04</v>
      </c>
      <c r="BO221" t="n">
        <v>0.04</v>
      </c>
      <c r="BP221" t="n">
        <v>0.041</v>
      </c>
      <c r="BQ221" t="n">
        <v>0.041</v>
      </c>
      <c r="BR221" t="n">
        <v>0.046</v>
      </c>
      <c r="BS221" t="n">
        <v>0.043</v>
      </c>
      <c r="BT221" t="n">
        <v>0.039</v>
      </c>
      <c r="BU221" t="n">
        <v>0.044</v>
      </c>
      <c r="BV221" t="n">
        <v>0.046</v>
      </c>
    </row>
    <row r="222">
      <c r="A222" t="inlineStr">
        <is>
          <t>Dussumieria acuta</t>
        </is>
      </c>
      <c r="B222" t="inlineStr">
        <is>
          <t>Rainbow sardine</t>
        </is>
      </c>
      <c r="C222" t="inlineStr">
        <is>
          <t>Small pelagics (&lt;30 cm)</t>
        </is>
      </c>
      <c r="D222" t="inlineStr">
        <is>
          <t>Herring-likes</t>
        </is>
      </c>
      <c r="E222" t="n">
        <v>0.001</v>
      </c>
      <c r="F222" t="n">
        <v>0.001</v>
      </c>
      <c r="G222" t="n">
        <v>0.001</v>
      </c>
      <c r="H222" t="n">
        <v>0.001</v>
      </c>
      <c r="I222" t="n">
        <v>0.001</v>
      </c>
      <c r="J222" t="n">
        <v>0.001</v>
      </c>
      <c r="K222" t="n">
        <v>0.001</v>
      </c>
      <c r="L222" t="n">
        <v>0.001</v>
      </c>
      <c r="M222" t="n">
        <v>0.001</v>
      </c>
      <c r="N222" t="n">
        <v>0.001</v>
      </c>
      <c r="O222" t="n">
        <v>0.001</v>
      </c>
      <c r="P222" t="n">
        <v>0.002</v>
      </c>
      <c r="Q222" t="n">
        <v>0.002</v>
      </c>
      <c r="R222" t="n">
        <v>0.002</v>
      </c>
      <c r="S222" t="n">
        <v>0.002</v>
      </c>
      <c r="T222" t="n">
        <v>0.003</v>
      </c>
      <c r="U222" t="n">
        <v>0.003</v>
      </c>
      <c r="V222" t="n">
        <v>0.003</v>
      </c>
      <c r="W222" t="n">
        <v>0.003</v>
      </c>
      <c r="X222" t="n">
        <v>0.004</v>
      </c>
      <c r="Y222" t="n">
        <v>0.004</v>
      </c>
      <c r="Z222" t="n">
        <v>0.004</v>
      </c>
      <c r="AA222" t="n">
        <v>0.004</v>
      </c>
      <c r="AB222" t="n">
        <v>0.004</v>
      </c>
      <c r="AC222" t="n">
        <v>0.004</v>
      </c>
      <c r="AD222" t="n">
        <v>0.005</v>
      </c>
      <c r="AE222" t="n">
        <v>0.008999999999999999</v>
      </c>
      <c r="AF222" t="n">
        <v>0.007</v>
      </c>
      <c r="AG222" t="n">
        <v>0.007</v>
      </c>
      <c r="AH222" t="n">
        <v>0.01</v>
      </c>
      <c r="AI222" t="n">
        <v>0.011</v>
      </c>
      <c r="AJ222" t="n">
        <v>0.013</v>
      </c>
      <c r="AK222" t="n">
        <v>0.014</v>
      </c>
      <c r="AL222" t="n">
        <v>0.013</v>
      </c>
      <c r="AM222" t="n">
        <v>0.012</v>
      </c>
      <c r="AN222" t="n">
        <v>0.012</v>
      </c>
      <c r="AO222" t="n">
        <v>0.013</v>
      </c>
      <c r="AP222" t="n">
        <v>0.013</v>
      </c>
      <c r="AQ222" t="n">
        <v>0.016</v>
      </c>
      <c r="AR222" t="n">
        <v>0.015</v>
      </c>
      <c r="AS222" t="n">
        <v>0.015</v>
      </c>
      <c r="AT222" t="n">
        <v>0.015</v>
      </c>
      <c r="AU222" t="n">
        <v>0.014</v>
      </c>
      <c r="AV222" t="n">
        <v>0.02</v>
      </c>
      <c r="AW222" t="n">
        <v>0.02</v>
      </c>
      <c r="AX222" t="n">
        <v>0.021</v>
      </c>
      <c r="AY222" t="n">
        <v>0.023</v>
      </c>
      <c r="AZ222" t="n">
        <v>0.015</v>
      </c>
      <c r="BA222" t="n">
        <v>0.022</v>
      </c>
      <c r="BB222" t="n">
        <v>0.021</v>
      </c>
      <c r="BC222" t="n">
        <v>0.023</v>
      </c>
      <c r="BD222" t="n">
        <v>0.014</v>
      </c>
      <c r="BE222" t="n">
        <v>0.015</v>
      </c>
      <c r="BF222" t="n">
        <v>0.012</v>
      </c>
      <c r="BG222" t="n">
        <v>0.018</v>
      </c>
      <c r="BH222" t="n">
        <v>0.028</v>
      </c>
      <c r="BI222" t="n">
        <v>0.023</v>
      </c>
      <c r="BJ222" t="n">
        <v>0.022</v>
      </c>
      <c r="BK222" t="n">
        <v>0.017</v>
      </c>
      <c r="BL222" t="n">
        <v>0.016</v>
      </c>
      <c r="BM222" t="n">
        <v>0.018</v>
      </c>
      <c r="BN222" t="n">
        <v>0.019</v>
      </c>
      <c r="BO222" t="n">
        <v>0.019</v>
      </c>
      <c r="BP222" t="n">
        <v>0.02</v>
      </c>
      <c r="BQ222" t="n">
        <v>0.021</v>
      </c>
      <c r="BR222" t="n">
        <v>0.024</v>
      </c>
      <c r="BS222" t="n">
        <v>0.022</v>
      </c>
      <c r="BT222" t="n">
        <v>0.02</v>
      </c>
      <c r="BU222" t="n">
        <v>0.023</v>
      </c>
      <c r="BV222" t="n">
        <v>0.025</v>
      </c>
    </row>
    <row r="223">
      <c r="A223" t="inlineStr">
        <is>
          <t>Sphyrna lewini</t>
        </is>
      </c>
      <c r="B223" t="inlineStr">
        <is>
          <t>Scalloped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0.117</v>
      </c>
      <c r="BJ223" t="n">
        <v>0</v>
      </c>
      <c r="BK223" t="n">
        <v>0</v>
      </c>
      <c r="BL223" t="n">
        <v>0</v>
      </c>
      <c r="BM223" t="n">
        <v>0.541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Trichiuridae</t>
        </is>
      </c>
      <c r="B224" t="inlineStr">
        <is>
          <t>Cutlassfishes</t>
        </is>
      </c>
      <c r="C224" t="inlineStr">
        <is>
          <t>Large benthopelagics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</v>
      </c>
      <c r="R224" t="n">
        <v>0.001</v>
      </c>
      <c r="S224" t="n">
        <v>0.001</v>
      </c>
      <c r="T224" t="n">
        <v>0.001</v>
      </c>
      <c r="U224" t="n">
        <v>0.002</v>
      </c>
      <c r="V224" t="n">
        <v>0.002</v>
      </c>
      <c r="W224" t="n">
        <v>0.002</v>
      </c>
      <c r="X224" t="n">
        <v>0.002</v>
      </c>
      <c r="Y224" t="n">
        <v>0.002</v>
      </c>
      <c r="Z224" t="n">
        <v>0.002</v>
      </c>
      <c r="AA224" t="n">
        <v>0.002</v>
      </c>
      <c r="AB224" t="n">
        <v>0.002</v>
      </c>
      <c r="AC224" t="n">
        <v>0.002</v>
      </c>
      <c r="AD224" t="n">
        <v>0.003</v>
      </c>
      <c r="AE224" t="n">
        <v>0.003</v>
      </c>
      <c r="AF224" t="n">
        <v>0.003</v>
      </c>
      <c r="AG224" t="n">
        <v>0.004</v>
      </c>
      <c r="AH224" t="n">
        <v>0.004</v>
      </c>
      <c r="AI224" t="n">
        <v>0.003</v>
      </c>
      <c r="AJ224" t="n">
        <v>0.004</v>
      </c>
      <c r="AK224" t="n">
        <v>0.004</v>
      </c>
      <c r="AL224" t="n">
        <v>0.006</v>
      </c>
      <c r="AM224" t="n">
        <v>0.005</v>
      </c>
      <c r="AN224" t="n">
        <v>0.005</v>
      </c>
      <c r="AO224" t="n">
        <v>0.005</v>
      </c>
      <c r="AP224" t="n">
        <v>0.006</v>
      </c>
      <c r="AQ224" t="n">
        <v>0.01</v>
      </c>
      <c r="AR224" t="n">
        <v>0.007</v>
      </c>
      <c r="AS224" t="n">
        <v>0.006</v>
      </c>
      <c r="AT224" t="n">
        <v>0.007</v>
      </c>
      <c r="AU224" t="n">
        <v>0.005</v>
      </c>
      <c r="AV224" t="n">
        <v>0.005</v>
      </c>
      <c r="AW224" t="n">
        <v>0.006</v>
      </c>
      <c r="AX224" t="n">
        <v>0.005</v>
      </c>
      <c r="AY224" t="n">
        <v>0.004</v>
      </c>
      <c r="AZ224" t="n">
        <v>0.005</v>
      </c>
      <c r="BA224" t="n">
        <v>0.005</v>
      </c>
      <c r="BB224" t="n">
        <v>0.004</v>
      </c>
      <c r="BC224" t="n">
        <v>0.004</v>
      </c>
      <c r="BD224" t="n">
        <v>0.003</v>
      </c>
      <c r="BE224" t="n">
        <v>0.004</v>
      </c>
      <c r="BF224" t="n">
        <v>0.003</v>
      </c>
      <c r="BG224" t="n">
        <v>0.002</v>
      </c>
      <c r="BH224" t="n">
        <v>0.002</v>
      </c>
      <c r="BI224" t="n">
        <v>0.002</v>
      </c>
      <c r="BJ224" t="n">
        <v>0.003</v>
      </c>
      <c r="BK224" t="n">
        <v>0.003</v>
      </c>
      <c r="BL224" t="n">
        <v>0.002</v>
      </c>
      <c r="BM224" t="n">
        <v>0.002</v>
      </c>
      <c r="BN224" t="n">
        <v>0.028</v>
      </c>
      <c r="BO224" t="n">
        <v>0.028</v>
      </c>
      <c r="BP224" t="n">
        <v>0.028</v>
      </c>
      <c r="BQ224" t="n">
        <v>0.031</v>
      </c>
      <c r="BR224" t="n">
        <v>0.033</v>
      </c>
      <c r="BS224" t="n">
        <v>0.031</v>
      </c>
      <c r="BT224" t="n">
        <v>0.028</v>
      </c>
      <c r="BU224" t="n">
        <v>0.031</v>
      </c>
      <c r="BV224" t="n">
        <v>0.033</v>
      </c>
    </row>
    <row r="225">
      <c r="A225" t="inlineStr">
        <is>
          <t>Auxis rochei</t>
        </is>
      </c>
      <c r="B225" t="inlineStr">
        <is>
          <t>Bullet tuna</t>
        </is>
      </c>
      <c r="C225" t="inlineStr">
        <is>
          <t>Medium pelagics (30 - 89 cm)</t>
        </is>
      </c>
      <c r="D225" t="inlineStr">
        <is>
          <t>Tuna &amp; billfishes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0.026</v>
      </c>
      <c r="BS225" t="n">
        <v>0.205</v>
      </c>
      <c r="BT225" t="n">
        <v>0.08599999999999999</v>
      </c>
      <c r="BU225" t="n">
        <v>0</v>
      </c>
      <c r="BV225" t="n">
        <v>0</v>
      </c>
    </row>
    <row r="226">
      <c r="A226" t="inlineStr">
        <is>
          <t>Hemiramphus</t>
        </is>
      </c>
      <c r="B226" t="inlineStr">
        <is>
          <t>Halfbeaks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n">
        <v>0.001</v>
      </c>
      <c r="F226" t="n">
        <v>0.001</v>
      </c>
      <c r="G226" t="n">
        <v>0.001</v>
      </c>
      <c r="H226" t="n">
        <v>0.001</v>
      </c>
      <c r="I226" t="n">
        <v>0.001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0.001</v>
      </c>
      <c r="O226" t="n">
        <v>0.001</v>
      </c>
      <c r="P226" t="n">
        <v>0.002</v>
      </c>
      <c r="Q226" t="n">
        <v>0.002</v>
      </c>
      <c r="R226" t="n">
        <v>0.002</v>
      </c>
      <c r="S226" t="n">
        <v>0.002</v>
      </c>
      <c r="T226" t="n">
        <v>0.002</v>
      </c>
      <c r="U226" t="n">
        <v>0.002</v>
      </c>
      <c r="V226" t="n">
        <v>0.002</v>
      </c>
      <c r="W226" t="n">
        <v>0.002</v>
      </c>
      <c r="X226" t="n">
        <v>0.002</v>
      </c>
      <c r="Y226" t="n">
        <v>0.003</v>
      </c>
      <c r="Z226" t="n">
        <v>0.003</v>
      </c>
      <c r="AA226" t="n">
        <v>0.002</v>
      </c>
      <c r="AB226" t="n">
        <v>0.003</v>
      </c>
      <c r="AC226" t="n">
        <v>0.002</v>
      </c>
      <c r="AD226" t="n">
        <v>0.002</v>
      </c>
      <c r="AE226" t="n">
        <v>0.003</v>
      </c>
      <c r="AF226" t="n">
        <v>0.002</v>
      </c>
      <c r="AG226" t="n">
        <v>0.002</v>
      </c>
      <c r="AH226" t="n">
        <v>0.002</v>
      </c>
      <c r="AI226" t="n">
        <v>0.003</v>
      </c>
      <c r="AJ226" t="n">
        <v>0.004</v>
      </c>
      <c r="AK226" t="n">
        <v>0.005</v>
      </c>
      <c r="AL226" t="n">
        <v>0.003</v>
      </c>
      <c r="AM226" t="n">
        <v>0.003</v>
      </c>
      <c r="AN226" t="n">
        <v>0.002</v>
      </c>
      <c r="AO226" t="n">
        <v>0.002</v>
      </c>
      <c r="AP226" t="n">
        <v>0.003</v>
      </c>
      <c r="AQ226" t="n">
        <v>0.004</v>
      </c>
      <c r="AR226" t="n">
        <v>0.004</v>
      </c>
      <c r="AS226" t="n">
        <v>0.003</v>
      </c>
      <c r="AT226" t="n">
        <v>0.003</v>
      </c>
      <c r="AU226" t="n">
        <v>0.004</v>
      </c>
      <c r="AV226" t="n">
        <v>0.003</v>
      </c>
      <c r="AW226" t="n">
        <v>0.004</v>
      </c>
      <c r="AX226" t="n">
        <v>0.005</v>
      </c>
      <c r="AY226" t="n">
        <v>0.005</v>
      </c>
      <c r="AZ226" t="n">
        <v>0.006</v>
      </c>
      <c r="BA226" t="n">
        <v>0.004</v>
      </c>
      <c r="BB226" t="n">
        <v>0.004</v>
      </c>
      <c r="BC226" t="n">
        <v>0.007</v>
      </c>
      <c r="BD226" t="n">
        <v>0.008</v>
      </c>
      <c r="BE226" t="n">
        <v>0.007</v>
      </c>
      <c r="BF226" t="n">
        <v>0.008</v>
      </c>
      <c r="BG226" t="n">
        <v>0.004</v>
      </c>
      <c r="BH226" t="n">
        <v>0.005</v>
      </c>
      <c r="BI226" t="n">
        <v>0.005</v>
      </c>
      <c r="BJ226" t="n">
        <v>0.008</v>
      </c>
      <c r="BK226" t="n">
        <v>0.008</v>
      </c>
      <c r="BL226" t="n">
        <v>0.007</v>
      </c>
      <c r="BM226" t="n">
        <v>0.005</v>
      </c>
      <c r="BN226" t="n">
        <v>0.006</v>
      </c>
      <c r="BO226" t="n">
        <v>0.006</v>
      </c>
      <c r="BP226" t="n">
        <v>0.006</v>
      </c>
      <c r="BQ226" t="n">
        <v>0.006</v>
      </c>
      <c r="BR226" t="n">
        <v>0.007</v>
      </c>
      <c r="BS226" t="n">
        <v>0.007</v>
      </c>
      <c r="BT226" t="n">
        <v>0.006</v>
      </c>
      <c r="BU226" t="n">
        <v>0.007</v>
      </c>
      <c r="BV226" t="n">
        <v>0.007</v>
      </c>
    </row>
    <row r="227">
      <c r="A227" t="inlineStr">
        <is>
          <t>Tetrapturus angustirostris</t>
        </is>
      </c>
      <c r="B227" t="inlineStr">
        <is>
          <t>Shortbill spearfish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0.099</v>
      </c>
      <c r="BH227" t="n">
        <v>0</v>
      </c>
      <c r="BI227" t="n">
        <v>0.044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Kajikia audax</t>
        </is>
      </c>
      <c r="B228" t="inlineStr">
        <is>
          <t>Striped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0.006</v>
      </c>
      <c r="BH228" t="n">
        <v>0.001</v>
      </c>
      <c r="BI228" t="n">
        <v>0.045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Prionace glauca</t>
        </is>
      </c>
      <c r="B229" t="inlineStr">
        <is>
          <t>Blue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0.001</v>
      </c>
      <c r="K229" t="n">
        <v>0.002</v>
      </c>
      <c r="L229" t="n">
        <v>0.001</v>
      </c>
      <c r="M229" t="n">
        <v>0</v>
      </c>
      <c r="N229" t="n">
        <v>0.001</v>
      </c>
      <c r="O229" t="n">
        <v>0.001</v>
      </c>
      <c r="P229" t="n">
        <v>0.002</v>
      </c>
      <c r="Q229" t="n">
        <v>0.001</v>
      </c>
      <c r="R229" t="n">
        <v>0</v>
      </c>
      <c r="S229" t="n">
        <v>0.001</v>
      </c>
      <c r="T229" t="n">
        <v>0.001</v>
      </c>
      <c r="U229" t="n">
        <v>0.001</v>
      </c>
      <c r="V229" t="n">
        <v>0.002</v>
      </c>
      <c r="W229" t="n">
        <v>0</v>
      </c>
      <c r="X229" t="n">
        <v>0.003</v>
      </c>
      <c r="Y229" t="n">
        <v>0</v>
      </c>
      <c r="Z229" t="n">
        <v>0.002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0.001</v>
      </c>
      <c r="BL229" t="n">
        <v>0.001</v>
      </c>
      <c r="BM229" t="n">
        <v>0.001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Dasyatidae</t>
        </is>
      </c>
      <c r="B230" t="inlineStr">
        <is>
          <t>Whiptail stingrays</t>
        </is>
      </c>
      <c r="C230" t="inlineStr">
        <is>
          <t>Large rays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0.001</v>
      </c>
      <c r="BB230" t="n">
        <v>0.001</v>
      </c>
      <c r="BC230" t="n">
        <v>0.001</v>
      </c>
      <c r="BD230" t="n">
        <v>0</v>
      </c>
      <c r="BE230" t="n">
        <v>0.001</v>
      </c>
      <c r="BF230" t="n">
        <v>0.001</v>
      </c>
      <c r="BG230" t="n">
        <v>0.001</v>
      </c>
      <c r="BH230" t="n">
        <v>0.001</v>
      </c>
      <c r="BI230" t="n">
        <v>0.001</v>
      </c>
      <c r="BJ230" t="n">
        <v>0.001</v>
      </c>
      <c r="BK230" t="n">
        <v>0.001</v>
      </c>
      <c r="BL230" t="n">
        <v>0.001</v>
      </c>
      <c r="BM230" t="n">
        <v>0.001</v>
      </c>
      <c r="BN230" t="n">
        <v>0.001</v>
      </c>
      <c r="BO230" t="n">
        <v>0.001</v>
      </c>
      <c r="BP230" t="n">
        <v>0.001</v>
      </c>
      <c r="BQ230" t="n">
        <v>0.001</v>
      </c>
      <c r="BR230" t="n">
        <v>0.001</v>
      </c>
      <c r="BS230" t="n">
        <v>0.001</v>
      </c>
      <c r="BT230" t="n">
        <v>0.001</v>
      </c>
      <c r="BU230" t="n">
        <v>0.001</v>
      </c>
      <c r="BV230" t="n">
        <v>0.001</v>
      </c>
    </row>
    <row r="231">
      <c r="A231" t="inlineStr">
        <is>
          <t>Cypselurus poecilopterus</t>
        </is>
      </c>
      <c r="B231" t="inlineStr">
        <is>
          <t>Yellowing flyingfish</t>
        </is>
      </c>
      <c r="C231" t="inlineStr">
        <is>
          <t>Small pelagics (&lt;30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0.001</v>
      </c>
      <c r="AW231" t="n">
        <v>0.001</v>
      </c>
      <c r="AX231" t="n">
        <v>0</v>
      </c>
      <c r="AY231" t="n">
        <v>0.001</v>
      </c>
      <c r="AZ231" t="n">
        <v>0.001</v>
      </c>
      <c r="BA231" t="n">
        <v>0.001</v>
      </c>
      <c r="BB231" t="n">
        <v>0.001</v>
      </c>
      <c r="BC231" t="n">
        <v>0.001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0.001</v>
      </c>
      <c r="BJ231" t="n">
        <v>0.001</v>
      </c>
      <c r="BK231" t="n">
        <v>0.001</v>
      </c>
      <c r="BL231" t="n">
        <v>0.001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Carcharhinus longimanus</t>
        </is>
      </c>
      <c r="B232" t="inlineStr">
        <is>
          <t>Oceanic whitetip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0.001</v>
      </c>
      <c r="BM232" t="n">
        <v>0.001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Latidae</t>
        </is>
      </c>
      <c r="B233" t="inlineStr">
        <is>
          <t>Lates perches</t>
        </is>
      </c>
      <c r="C233" t="inlineStr">
        <is>
          <t>Large demersals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0.001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Pleuronectiformes</t>
        </is>
      </c>
      <c r="B234" t="inlineStr">
        <is>
          <t>Flatfishes</t>
        </is>
      </c>
      <c r="C234" t="inlineStr">
        <is>
          <t>Small to medium flatfishes (&lt;90 cm)</t>
        </is>
      </c>
      <c r="D234" t="inlineStr">
        <is>
          <t>Flatfishes</t>
        </is>
      </c>
      <c r="E234" t="n">
        <v>0.001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Octopoda</t>
        </is>
      </c>
      <c r="B235" t="inlineStr">
        <is>
          <t>Octopuses, argonauts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Isurus oxyrinchus</t>
        </is>
      </c>
      <c r="B236" t="inlineStr">
        <is>
          <t>Shortfin mako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Exocoetidae</t>
        </is>
      </c>
      <c r="B237" t="inlineStr">
        <is>
          <t>Flyingfishes</t>
        </is>
      </c>
      <c r="C237" t="inlineStr">
        <is>
          <t>Small pelagics (&lt;30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Sphyraena barracuda</t>
        </is>
      </c>
      <c r="B239" t="inlineStr">
        <is>
          <t>Great barracuda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Tenualosa toli</t>
        </is>
      </c>
      <c r="B240" t="inlineStr">
        <is>
          <t>Toli shad</t>
        </is>
      </c>
      <c r="C240" t="inlineStr">
        <is>
          <t>Medium pelagics (30 - 89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Alopias</t>
        </is>
      </c>
      <c r="B241" t="inlineStr">
        <is>
          <t>Thresher sharks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Isurus</t>
        </is>
      </c>
      <c r="B242" t="inlineStr">
        <is>
          <t>Mako sharks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Trochus niloticus</t>
        </is>
      </c>
      <c r="B243" t="inlineStr">
        <is>
          <t>Commercial top</t>
        </is>
      </c>
      <c r="C243" t="inlineStr">
        <is>
          <t>Other demersal invertebrates</t>
        </is>
      </c>
      <c r="D243" t="inlineStr">
        <is>
          <t>Molluscs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Congridae</t>
        </is>
      </c>
      <c r="B244" t="inlineStr">
        <is>
          <t>Conger, garden eels</t>
        </is>
      </c>
      <c r="C244" t="inlineStr">
        <is>
          <t>Large demersals (&gt;=90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Pomadasys argenteus</t>
        </is>
      </c>
      <c r="B245" t="inlineStr">
        <is>
          <t>Silver grunt</t>
        </is>
      </c>
      <c r="C245" t="inlineStr">
        <is>
          <t>Medium demersals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Seriola</t>
        </is>
      </c>
      <c r="B246" t="inlineStr">
        <is>
          <t>Amberjacks</t>
        </is>
      </c>
      <c r="C246" t="inlineStr">
        <is>
          <t>Large benthopelagics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Sphyrnidae</t>
        </is>
      </c>
      <c r="B247" t="inlineStr">
        <is>
          <t>Hammer, bonnet, scoophead sharks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</t>
        </is>
      </c>
      <c r="B248" t="inlineStr">
        <is>
          <t>Hammerhead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Nemipteridae</t>
        </is>
      </c>
      <c r="B5" t="inlineStr">
        <is>
          <t>Threadfins, whiptail breams</t>
        </is>
      </c>
      <c r="C5" t="inlineStr">
        <is>
          <t>Small demersals (&lt;30 cm)</t>
        </is>
      </c>
      <c r="D5" t="inlineStr">
        <is>
          <t>Perch-likes</t>
        </is>
      </c>
      <c r="E5" s="5" t="inlineStr">
        <is>
          <t>Med.dem.benth. | Sm.dem.benth.</t>
        </is>
      </c>
      <c r="F5" t="inlineStr">
        <is>
          <t>0.590 | 0.410</t>
        </is>
      </c>
      <c r="G5" t="inlineStr">
        <is>
          <t>catch_composition</t>
        </is>
      </c>
      <c r="H5" t="inlineStr">
        <is>
          <t>medium</t>
        </is>
      </c>
      <c r="I5" t="inlineStr">
        <is>
          <t>composite_split</t>
        </is>
      </c>
      <c r="J5" t="n">
        <v>14865556.824</v>
      </c>
      <c r="K5" t="n">
        <v>9.782299999999999</v>
      </c>
      <c r="L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s="5" t="inlineStr">
        <is>
          <t>Med.dem.pisc.</t>
        </is>
      </c>
      <c r="F6" t="inlineStr"/>
      <c r="G6" t="inlineStr"/>
      <c r="H6" t="inlineStr">
        <is>
          <t>medium</t>
        </is>
      </c>
      <c r="I6" t="inlineStr">
        <is>
          <t>habitat_size_guild</t>
        </is>
      </c>
      <c r="J6" t="n">
        <v>12027857.597</v>
      </c>
      <c r="K6" t="n">
        <v>7.9149</v>
      </c>
      <c r="L6" s="6" t="inlineStr">
        <is>
          <t>Lizardfish are voracious ambush piscivores on the demersal trawl grounds. Reviewed against the Ecobase group name and diet; the original paper p.130 lists important components but does not settle this taxon.</t>
        </is>
      </c>
    </row>
    <row r="7">
      <c r="A7" t="inlineStr">
        <is>
          <t>Leiognathidae</t>
        </is>
      </c>
      <c r="B7" t="inlineStr">
        <is>
          <t>Slipmouths, ponyfishes</t>
        </is>
      </c>
      <c r="C7" t="inlineStr">
        <is>
          <t>Small benthopelagics (&lt;30 cm)</t>
        </is>
      </c>
      <c r="D7" t="inlineStr">
        <is>
          <t>Perch-likes</t>
        </is>
      </c>
      <c r="E7" s="7" t="inlineStr">
        <is>
          <t>Ponyfishes</t>
        </is>
      </c>
      <c r="F7" t="inlineStr"/>
      <c r="G7" t="inlineStr"/>
      <c r="H7" t="inlineStr">
        <is>
          <t>high</t>
        </is>
      </c>
      <c r="I7" t="inlineStr">
        <is>
          <t>taxonomic_containment</t>
        </is>
      </c>
      <c r="J7" t="n">
        <v>10490184.633</v>
      </c>
      <c r="K7" t="n">
        <v>6.9031</v>
      </c>
      <c r="L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8">
      <c r="A8" t="inlineStr">
        <is>
          <t>Rastrelliger kanagurta</t>
        </is>
      </c>
      <c r="B8" t="inlineStr">
        <is>
          <t>Indian mackerel</t>
        </is>
      </c>
      <c r="C8" t="inlineStr">
        <is>
          <t>Medium pelagics (30 - 89 cm)</t>
        </is>
      </c>
      <c r="D8" t="inlineStr">
        <is>
          <t>Perch-likes</t>
        </is>
      </c>
      <c r="E8" s="7" t="inlineStr">
        <is>
          <t>Mackerel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8776892.336999999</v>
      </c>
      <c r="K8" t="n">
        <v>5.7756</v>
      </c>
      <c r="L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s="5" t="inlineStr">
        <is>
          <t>Juv.Lg.Pisciv. | Lg. piscivores | Scad</t>
        </is>
      </c>
      <c r="F9" t="inlineStr">
        <is>
          <t>0.000 | 0.149 | 0.851</t>
        </is>
      </c>
      <c r="G9" t="inlineStr">
        <is>
          <t>model_catch</t>
        </is>
      </c>
      <c r="H9" t="inlineStr">
        <is>
          <t>medium</t>
        </is>
      </c>
      <c r="I9" t="inlineStr">
        <is>
          <t>composite_split</t>
        </is>
      </c>
      <c r="J9" t="n">
        <v>8571168.696</v>
      </c>
      <c r="K9" t="n">
        <v>5.6403</v>
      </c>
      <c r="L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s="8" t="inlineStr">
        <is>
          <t>Med.dem.benth. | Med.dem.pisc. | Sm.dem.benth. | Sm.dem.pisc. | O.fish</t>
        </is>
      </c>
      <c r="F10" t="inlineStr">
        <is>
          <t>0.108 | 0.691 | 0.075 | 0.090 | 0.036</t>
        </is>
      </c>
      <c r="G10" t="inlineStr">
        <is>
          <t>catch_composition</t>
        </is>
      </c>
      <c r="H10" t="inlineStr">
        <is>
          <t>low</t>
        </is>
      </c>
      <c r="I10" t="inlineStr">
        <is>
          <t>composite_split</t>
        </is>
      </c>
      <c r="J10" t="n">
        <v>7914678.51</v>
      </c>
      <c r="K10" t="n">
        <v>5.2083</v>
      </c>
      <c r="L10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</row>
    <row r="11">
      <c r="A11" t="inlineStr">
        <is>
          <t>Engraulidae</t>
        </is>
      </c>
      <c r="B11" t="inlineStr">
        <is>
          <t>Anchovies, round herrings</t>
        </is>
      </c>
      <c r="C11" t="inlineStr">
        <is>
          <t>Small pelagics (&lt;30 cm)</t>
        </is>
      </c>
      <c r="D11" t="inlineStr">
        <is>
          <t>Anchovies</t>
        </is>
      </c>
      <c r="E11" s="5" t="inlineStr">
        <is>
          <t>Sm. pelagics</t>
        </is>
      </c>
      <c r="F11" t="inlineStr"/>
      <c r="G11" t="inlineStr"/>
      <c r="H11" t="inlineStr">
        <is>
          <t>medium</t>
        </is>
      </c>
      <c r="I11" t="inlineStr">
        <is>
          <t>habitat_size_guild</t>
        </is>
      </c>
      <c r="J11" t="n">
        <v>6360940.08</v>
      </c>
      <c r="K11" t="n">
        <v>4.1858</v>
      </c>
      <c r="L11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2">
      <c r="A12" t="inlineStr">
        <is>
          <t>Sciaenidae</t>
        </is>
      </c>
      <c r="B12" t="inlineStr">
        <is>
          <t>Drums, croakers</t>
        </is>
      </c>
      <c r="C12" t="inlineStr">
        <is>
          <t>Medium demersals (30 - 89 cm)</t>
        </is>
      </c>
      <c r="D12" t="inlineStr">
        <is>
          <t>Perch-likes</t>
        </is>
      </c>
      <c r="E12" s="7" t="inlineStr">
        <is>
          <t>Med.dem.pisc.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6300173.465</v>
      </c>
      <c r="K12" t="n">
        <v>4.1458</v>
      </c>
      <c r="L1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3">
      <c r="A13" t="inlineStr">
        <is>
          <t>Sardinella</t>
        </is>
      </c>
      <c r="B13" t="inlineStr">
        <is>
          <t>Sardinellas</t>
        </is>
      </c>
      <c r="C13" t="inlineStr">
        <is>
          <t>Small pelagics (&lt;30 cm)</t>
        </is>
      </c>
      <c r="D13" t="inlineStr">
        <is>
          <t>Herring-likes</t>
        </is>
      </c>
      <c r="E13" s="5" t="inlineStr">
        <is>
          <t>Sm. pelagics</t>
        </is>
      </c>
      <c r="F13" t="inlineStr"/>
      <c r="G13" t="inlineStr"/>
      <c r="H13" t="inlineStr">
        <is>
          <t>medium</t>
        </is>
      </c>
      <c r="I13" t="inlineStr">
        <is>
          <t>habitat_size_guild</t>
        </is>
      </c>
      <c r="J13" t="n">
        <v>5991391.711</v>
      </c>
      <c r="K13" t="n">
        <v>3.9426</v>
      </c>
      <c r="L13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4">
      <c r="A14" t="inlineStr">
        <is>
          <t>Platycephalidae</t>
        </is>
      </c>
      <c r="B14" t="inlineStr">
        <is>
          <t>Flatheads</t>
        </is>
      </c>
      <c r="C14" t="inlineStr">
        <is>
          <t>Medium demersals (30 - 89 cm)</t>
        </is>
      </c>
      <c r="D14" t="inlineStr">
        <is>
          <t>Scorpionfishes</t>
        </is>
      </c>
      <c r="E14" s="5" t="inlineStr">
        <is>
          <t>Med.dem.pisc.</t>
        </is>
      </c>
      <c r="F14" t="inlineStr"/>
      <c r="G14" t="inlineStr"/>
      <c r="H14" t="inlineStr">
        <is>
          <t>medium</t>
        </is>
      </c>
      <c r="I14" t="inlineStr">
        <is>
          <t>habitat_size_guild</t>
        </is>
      </c>
      <c r="J14" t="n">
        <v>4759039.068</v>
      </c>
      <c r="K14" t="n">
        <v>3.1317</v>
      </c>
      <c r="L14" s="6" t="inlineStr">
        <is>
          <t>Flathead ambush-predators eat fish and crustaceans while camouflaged on the bottom. Reviewed against the Ecobase group name and diet; the original paper p.130 lists important components but does not settle this taxon.</t>
        </is>
      </c>
    </row>
    <row r="15">
      <c r="A15" t="inlineStr">
        <is>
          <t>Loliginidae</t>
        </is>
      </c>
      <c r="B15" t="inlineStr">
        <is>
          <t>Common pencil squids</t>
        </is>
      </c>
      <c r="C15" t="inlineStr">
        <is>
          <t>Cephalopods</t>
        </is>
      </c>
      <c r="D15" t="inlineStr">
        <is>
          <t>Other fishes &amp; inverts</t>
        </is>
      </c>
      <c r="E15" s="7" t="inlineStr">
        <is>
          <t>Cephalopods</t>
        </is>
      </c>
      <c r="F15" t="inlineStr"/>
      <c r="G15" t="inlineStr"/>
      <c r="H15" t="inlineStr">
        <is>
          <t>high</t>
        </is>
      </c>
      <c r="I15" t="inlineStr">
        <is>
          <t>taxonomic_containment</t>
        </is>
      </c>
      <c r="J15" t="n">
        <v>4426593.748</v>
      </c>
      <c r="K15" t="n">
        <v>2.9129</v>
      </c>
      <c r="L15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16">
      <c r="A16" t="inlineStr">
        <is>
          <t>Perna viridis</t>
        </is>
      </c>
      <c r="B16" t="inlineStr">
        <is>
          <t>Brown mussel</t>
        </is>
      </c>
      <c r="C16" t="inlineStr">
        <is>
          <t>Other demersal invertebrates</t>
        </is>
      </c>
      <c r="D16" t="inlineStr">
        <is>
          <t>Molluscs</t>
        </is>
      </c>
      <c r="E16" s="7" t="inlineStr">
        <is>
          <t>Molluscs</t>
        </is>
      </c>
      <c r="F16" t="inlineStr"/>
      <c r="G16" t="inlineStr"/>
      <c r="H16" t="inlineStr">
        <is>
          <t>high</t>
        </is>
      </c>
      <c r="I16" t="inlineStr">
        <is>
          <t>taxonomic_containment</t>
        </is>
      </c>
      <c r="J16" t="n">
        <v>3617746.592</v>
      </c>
      <c r="K16" t="n">
        <v>2.3807</v>
      </c>
      <c r="L16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17">
      <c r="A17" t="inlineStr">
        <is>
          <t>Penaeus</t>
        </is>
      </c>
      <c r="B17" t="inlineStr">
        <is>
          <t>Tiger prawns</t>
        </is>
      </c>
      <c r="C17" t="inlineStr">
        <is>
          <t>Shrimps</t>
        </is>
      </c>
      <c r="D17" t="inlineStr">
        <is>
          <t>Crustaceans</t>
        </is>
      </c>
      <c r="E17" s="7" t="inlineStr">
        <is>
          <t>Shrimps</t>
        </is>
      </c>
      <c r="F17" t="inlineStr"/>
      <c r="G17" t="inlineStr"/>
      <c r="H17" t="inlineStr">
        <is>
          <t>high</t>
        </is>
      </c>
      <c r="I17" t="inlineStr">
        <is>
          <t>taxonomic_containment</t>
        </is>
      </c>
      <c r="J17" t="n">
        <v>3391062.628</v>
      </c>
      <c r="K17" t="n">
        <v>2.2315</v>
      </c>
      <c r="L1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s="5" t="inlineStr">
        <is>
          <t>Mackerel | Scomberomorus | Tuna</t>
        </is>
      </c>
      <c r="F18" t="inlineStr">
        <is>
          <t>0.738 | 0.151 | 0.111</t>
        </is>
      </c>
      <c r="G18" t="inlineStr">
        <is>
          <t>catch_composition</t>
        </is>
      </c>
      <c r="H18" t="inlineStr">
        <is>
          <t>medium</t>
        </is>
      </c>
      <c r="I18" t="inlineStr">
        <is>
          <t>composite_split</t>
        </is>
      </c>
      <c r="J18" t="n">
        <v>3199376.989</v>
      </c>
      <c r="K18" t="n">
        <v>2.1053</v>
      </c>
      <c r="L1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9">
      <c r="A19" t="inlineStr">
        <is>
          <t>Sepiidae</t>
        </is>
      </c>
      <c r="B19" t="inlineStr">
        <is>
          <t>Cuttlefishes</t>
        </is>
      </c>
      <c r="C19" t="inlineStr">
        <is>
          <t>Cephalopods</t>
        </is>
      </c>
      <c r="D19" t="inlineStr">
        <is>
          <t>Other fishes &amp; inverts</t>
        </is>
      </c>
      <c r="E19" s="7" t="inlineStr">
        <is>
          <t>Cephalopods</t>
        </is>
      </c>
      <c r="F19" t="inlineStr"/>
      <c r="G19" t="inlineStr"/>
      <c r="H19" t="inlineStr">
        <is>
          <t>high</t>
        </is>
      </c>
      <c r="I19" t="inlineStr">
        <is>
          <t>taxonomic_containment</t>
        </is>
      </c>
      <c r="J19" t="n">
        <v>2761997.458</v>
      </c>
      <c r="K19" t="n">
        <v>1.8175</v>
      </c>
      <c r="L19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20">
      <c r="A20" t="inlineStr">
        <is>
          <t>Priacanthus</t>
        </is>
      </c>
      <c r="B20" t="inlineStr">
        <is>
          <t>Bigeyes</t>
        </is>
      </c>
      <c r="C20" t="inlineStr">
        <is>
          <t>Medium reef assoc. fish (30 - 89 cm)</t>
        </is>
      </c>
      <c r="D20" t="inlineStr">
        <is>
          <t>Perch-likes</t>
        </is>
      </c>
      <c r="E20" s="7" t="inlineStr">
        <is>
          <t>Sm.dem.pisc.</t>
        </is>
      </c>
      <c r="F20" t="inlineStr"/>
      <c r="G20" t="inlineStr"/>
      <c r="H20" t="inlineStr">
        <is>
          <t>high</t>
        </is>
      </c>
      <c r="I20" t="inlineStr">
        <is>
          <t>explicit_member</t>
        </is>
      </c>
      <c r="J20" t="n">
        <v>2526380.405</v>
      </c>
      <c r="K20" t="n">
        <v>1.6625</v>
      </c>
      <c r="L2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1">
      <c r="A21" t="inlineStr">
        <is>
          <t>Penaeidae</t>
        </is>
      </c>
      <c r="B21" t="inlineStr">
        <is>
          <t>Commercial shrimps and prawns</t>
        </is>
      </c>
      <c r="C21" t="inlineStr">
        <is>
          <t>Shrimps</t>
        </is>
      </c>
      <c r="D21" t="inlineStr">
        <is>
          <t>Crustaceans</t>
        </is>
      </c>
      <c r="E21" s="7" t="inlineStr">
        <is>
          <t>Shrimps</t>
        </is>
      </c>
      <c r="F21" t="inlineStr"/>
      <c r="G21" t="inlineStr"/>
      <c r="H21" t="inlineStr">
        <is>
          <t>high</t>
        </is>
      </c>
      <c r="I21" t="inlineStr">
        <is>
          <t>taxonomic_containment</t>
        </is>
      </c>
      <c r="J21" t="n">
        <v>2144515.951</v>
      </c>
      <c r="K21" t="n">
        <v>1.4112</v>
      </c>
      <c r="L21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22">
      <c r="A22" t="inlineStr">
        <is>
          <t>Rastrelliger</t>
        </is>
      </c>
      <c r="B22" t="inlineStr">
        <is>
          <t>Indian mackerels</t>
        </is>
      </c>
      <c r="C22" t="inlineStr">
        <is>
          <t>Medium pelagics (30 - 89 cm)</t>
        </is>
      </c>
      <c r="D22" t="inlineStr">
        <is>
          <t>Perch-likes</t>
        </is>
      </c>
      <c r="E22" s="7" t="inlineStr">
        <is>
          <t>Mackerel</t>
        </is>
      </c>
      <c r="F22" t="inlineStr"/>
      <c r="G22" t="inlineStr"/>
      <c r="H22" t="inlineStr">
        <is>
          <t>high</t>
        </is>
      </c>
      <c r="I22" t="inlineStr">
        <is>
          <t>explicit_member</t>
        </is>
      </c>
      <c r="J22" t="n">
        <v>2143132.51</v>
      </c>
      <c r="K22" t="n">
        <v>1.4103</v>
      </c>
      <c r="L2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3">
      <c r="A23" t="inlineStr">
        <is>
          <t>Decapterus russelli</t>
        </is>
      </c>
      <c r="B23" t="inlineStr">
        <is>
          <t>Indian scad</t>
        </is>
      </c>
      <c r="C23" t="inlineStr">
        <is>
          <t>Medium pelagics (30 - 89 cm)</t>
        </is>
      </c>
      <c r="D23" t="inlineStr">
        <is>
          <t>Perch-likes</t>
        </is>
      </c>
      <c r="E23" s="7" t="inlineStr">
        <is>
          <t>Scad</t>
        </is>
      </c>
      <c r="F23" t="inlineStr"/>
      <c r="G23" t="inlineStr"/>
      <c r="H23" t="inlineStr">
        <is>
          <t>high</t>
        </is>
      </c>
      <c r="I23" t="inlineStr">
        <is>
          <t>taxonomic_containment</t>
        </is>
      </c>
      <c r="J23" t="n">
        <v>1991346.13</v>
      </c>
      <c r="K23" t="n">
        <v>1.3104</v>
      </c>
      <c r="L2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4">
      <c r="A24" t="inlineStr">
        <is>
          <t>Nemipterus</t>
        </is>
      </c>
      <c r="B24" t="inlineStr">
        <is>
          <t>Threadfin breams</t>
        </is>
      </c>
      <c r="C24" t="inlineStr">
        <is>
          <t>Small demersals (&lt;30 cm)</t>
        </is>
      </c>
      <c r="D24" t="inlineStr">
        <is>
          <t>Perch-likes</t>
        </is>
      </c>
      <c r="E24" s="7" t="inlineStr">
        <is>
          <t>Sm.dem.benth.</t>
        </is>
      </c>
      <c r="F24" t="inlineStr"/>
      <c r="G24" t="inlineStr"/>
      <c r="H24" t="inlineStr">
        <is>
          <t>high</t>
        </is>
      </c>
      <c r="I24" t="inlineStr">
        <is>
          <t>explicit_member</t>
        </is>
      </c>
      <c r="J24" t="n">
        <v>1966532.604</v>
      </c>
      <c r="K24" t="n">
        <v>1.2941</v>
      </c>
      <c r="L2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5">
      <c r="A25" t="inlineStr">
        <is>
          <t>Portunus pelagicus</t>
        </is>
      </c>
      <c r="B25" t="inlineStr">
        <is>
          <t>Blue swimming crab</t>
        </is>
      </c>
      <c r="C25" t="inlineStr">
        <is>
          <t>Lobsters, crabs</t>
        </is>
      </c>
      <c r="D25" t="inlineStr">
        <is>
          <t>Crustaceans</t>
        </is>
      </c>
      <c r="E25" s="7" t="inlineStr">
        <is>
          <t>Crab, lobster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1941136.104</v>
      </c>
      <c r="K25" t="n">
        <v>1.2774</v>
      </c>
      <c r="L25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26">
      <c r="A26" t="inlineStr">
        <is>
          <t>Veneridae</t>
        </is>
      </c>
      <c r="B26" t="inlineStr">
        <is>
          <t>Venus clams</t>
        </is>
      </c>
      <c r="C26" t="inlineStr">
        <is>
          <t>Other demersal invertebrates</t>
        </is>
      </c>
      <c r="D26" t="inlineStr">
        <is>
          <t>Molluscs</t>
        </is>
      </c>
      <c r="E26" s="7" t="inlineStr">
        <is>
          <t>Molluscs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1853315.098</v>
      </c>
      <c r="K26" t="n">
        <v>1.2196</v>
      </c>
      <c r="L26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27">
      <c r="A27" t="inlineStr">
        <is>
          <t>Saurida</t>
        </is>
      </c>
      <c r="B27" t="inlineStr">
        <is>
          <t>Lizardfishes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s="7" t="inlineStr">
        <is>
          <t>Med.dem.pisc.</t>
        </is>
      </c>
      <c r="F27" t="inlineStr"/>
      <c r="G27" t="inlineStr"/>
      <c r="H27" t="inlineStr">
        <is>
          <t>high</t>
        </is>
      </c>
      <c r="I27" t="inlineStr">
        <is>
          <t>explicit_member</t>
        </is>
      </c>
      <c r="J27" t="n">
        <v>1732948.152</v>
      </c>
      <c r="K27" t="n">
        <v>1.1404</v>
      </c>
      <c r="L2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8">
      <c r="A28" t="inlineStr">
        <is>
          <t>Decapterus</t>
        </is>
      </c>
      <c r="B28" t="inlineStr">
        <is>
          <t>Scads</t>
        </is>
      </c>
      <c r="C28" t="inlineStr">
        <is>
          <t>Medium pelagics (30 - 89 cm)</t>
        </is>
      </c>
      <c r="D28" t="inlineStr">
        <is>
          <t>Perch-likes</t>
        </is>
      </c>
      <c r="E28" s="7" t="inlineStr">
        <is>
          <t>Scad</t>
        </is>
      </c>
      <c r="F28" t="inlineStr"/>
      <c r="G28" t="inlineStr"/>
      <c r="H28" t="inlineStr">
        <is>
          <t>high</t>
        </is>
      </c>
      <c r="I28" t="inlineStr">
        <is>
          <t>explicit_member</t>
        </is>
      </c>
      <c r="J28" t="n">
        <v>1580033.002</v>
      </c>
      <c r="K28" t="n">
        <v>1.0397</v>
      </c>
      <c r="L2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9">
      <c r="A29" t="inlineStr">
        <is>
          <t>Stolephorus</t>
        </is>
      </c>
      <c r="B29" t="inlineStr">
        <is>
          <t>Garment anchovies</t>
        </is>
      </c>
      <c r="C29" t="inlineStr">
        <is>
          <t>Small pelagics (&lt;30 cm)</t>
        </is>
      </c>
      <c r="D29" t="inlineStr">
        <is>
          <t>Anchovies</t>
        </is>
      </c>
      <c r="E29" s="5" t="inlineStr">
        <is>
          <t>Sm. pelagics</t>
        </is>
      </c>
      <c r="F29" t="inlineStr"/>
      <c r="G29" t="inlineStr"/>
      <c r="H29" t="inlineStr">
        <is>
          <t>medium</t>
        </is>
      </c>
      <c r="I29" t="inlineStr">
        <is>
          <t>habitat_size_guild</t>
        </is>
      </c>
      <c r="J29" t="n">
        <v>1447770.23</v>
      </c>
      <c r="K29" t="n">
        <v>0.9527</v>
      </c>
      <c r="L29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s="7" t="inlineStr">
        <is>
          <t>Jellyfish</t>
        </is>
      </c>
      <c r="F30" t="inlineStr"/>
      <c r="G30" t="inlineStr"/>
      <c r="H30" t="inlineStr">
        <is>
          <t>high</t>
        </is>
      </c>
      <c r="I30" t="inlineStr">
        <is>
          <t>taxonomic_containment</t>
        </is>
      </c>
      <c r="J30" t="n">
        <v>1430939.583</v>
      </c>
      <c r="K30" t="n">
        <v>0.9416</v>
      </c>
      <c r="L30" s="6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</row>
    <row r="31">
      <c r="A31" t="inlineStr">
        <is>
          <t>Scomberomorus guttatus</t>
        </is>
      </c>
      <c r="B31" t="inlineStr">
        <is>
          <t>Indo-Pacific king mackerel</t>
        </is>
      </c>
      <c r="C31" t="inlineStr">
        <is>
          <t>Medium pelagics (30 - 89 cm)</t>
        </is>
      </c>
      <c r="D31" t="inlineStr">
        <is>
          <t>Perch-likes</t>
        </is>
      </c>
      <c r="E31" s="7" t="inlineStr">
        <is>
          <t>Scomberomorus</t>
        </is>
      </c>
      <c r="F31" t="inlineStr"/>
      <c r="G31" t="inlineStr"/>
      <c r="H31" t="inlineStr">
        <is>
          <t>high</t>
        </is>
      </c>
      <c r="I31" t="inlineStr">
        <is>
          <t>taxonomic_containment</t>
        </is>
      </c>
      <c r="J31" t="n">
        <v>1361132.67</v>
      </c>
      <c r="K31" t="n">
        <v>0.8957000000000001</v>
      </c>
      <c r="L3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32">
      <c r="A32" t="inlineStr">
        <is>
          <t>Sparidae</t>
        </is>
      </c>
      <c r="B32" t="inlineStr">
        <is>
          <t>Porgies, seabreams</t>
        </is>
      </c>
      <c r="C32" t="inlineStr">
        <is>
          <t>Medium benthopelagics (30 - 89 cm)</t>
        </is>
      </c>
      <c r="D32" t="inlineStr">
        <is>
          <t>Perch-likes</t>
        </is>
      </c>
      <c r="E32" s="5" t="inlineStr">
        <is>
          <t>Med.dem.benth.</t>
        </is>
      </c>
      <c r="F32" t="inlineStr"/>
      <c r="G32" t="inlineStr"/>
      <c r="H32" t="inlineStr">
        <is>
          <t>medium</t>
        </is>
      </c>
      <c r="I32" t="inlineStr">
        <is>
          <t>habitat_size_guild</t>
        </is>
      </c>
      <c r="J32" t="n">
        <v>1241411.037</v>
      </c>
      <c r="K32" t="n">
        <v>0.8169</v>
      </c>
      <c r="L32" s="6" t="inlineStr">
        <is>
          <t>Seabream/porgy feed on benthic invertebrates (crustaceans, molluscs). Reviewed against the Ecobase group name and diet; the original paper p.130 lists important components but does not settle this taxon.</t>
        </is>
      </c>
    </row>
    <row r="33">
      <c r="A33" t="inlineStr">
        <is>
          <t>Megalaspis cordyla</t>
        </is>
      </c>
      <c r="B33" t="inlineStr">
        <is>
          <t>Torpedo scad</t>
        </is>
      </c>
      <c r="C33" t="inlineStr">
        <is>
          <t>Medium pelagics (30 - 89 cm)</t>
        </is>
      </c>
      <c r="D33" t="inlineStr">
        <is>
          <t>Perch-likes</t>
        </is>
      </c>
      <c r="E33" s="5" t="inlineStr">
        <is>
          <t>Scad</t>
        </is>
      </c>
      <c r="F33" t="inlineStr"/>
      <c r="G33" t="inlineStr"/>
      <c r="H33" t="inlineStr">
        <is>
          <t>medium</t>
        </is>
      </c>
      <c r="I33" t="inlineStr">
        <is>
          <t>habitat_size_guild</t>
        </is>
      </c>
      <c r="J33" t="n">
        <v>1156975.743</v>
      </c>
      <c r="K33" t="n">
        <v>0.7613</v>
      </c>
      <c r="L33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</row>
    <row r="34">
      <c r="A34" t="inlineStr">
        <is>
          <t>Mugilidae</t>
        </is>
      </c>
      <c r="B34" t="inlineStr">
        <is>
          <t>Mullets, grey mullets</t>
        </is>
      </c>
      <c r="C34" t="inlineStr">
        <is>
          <t>Medium reef assoc. fish (30 - 89 cm)</t>
        </is>
      </c>
      <c r="D34" t="inlineStr">
        <is>
          <t>Perch-likes</t>
        </is>
      </c>
      <c r="E34" s="8" t="inlineStr">
        <is>
          <t>O.fish</t>
        </is>
      </c>
      <c r="F34" t="inlineStr"/>
      <c r="G34" t="inlineStr"/>
      <c r="H34" t="inlineStr">
        <is>
          <t>low</t>
        </is>
      </c>
      <c r="I34" t="inlineStr">
        <is>
          <t>analogue</t>
        </is>
      </c>
      <c r="J34" t="n">
        <v>1132474.41</v>
      </c>
      <c r="K34" t="n">
        <v>0.7452</v>
      </c>
      <c r="L34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35">
      <c r="A35" t="inlineStr">
        <is>
          <t>Thunnus tonggol</t>
        </is>
      </c>
      <c r="B35" t="inlineStr">
        <is>
          <t>Longtail tuna</t>
        </is>
      </c>
      <c r="C35" t="inlineStr">
        <is>
          <t>Large pelagics (&gt;=90 cm)</t>
        </is>
      </c>
      <c r="D35" t="inlineStr">
        <is>
          <t>Tuna &amp; billfishes</t>
        </is>
      </c>
      <c r="E35" s="7" t="inlineStr">
        <is>
          <t>Tuna</t>
        </is>
      </c>
      <c r="F35" t="inlineStr"/>
      <c r="G35" t="inlineStr"/>
      <c r="H35" t="inlineStr">
        <is>
          <t>high</t>
        </is>
      </c>
      <c r="I35" t="inlineStr">
        <is>
          <t>explicit_member</t>
        </is>
      </c>
      <c r="J35" t="n">
        <v>993202.702</v>
      </c>
      <c r="K35" t="n">
        <v>0.6536</v>
      </c>
      <c r="L3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36">
      <c r="A36" t="inlineStr">
        <is>
          <t>Selaroides leptolepis</t>
        </is>
      </c>
      <c r="B36" t="inlineStr">
        <is>
          <t>Yellowstripe scad</t>
        </is>
      </c>
      <c r="C36" t="inlineStr">
        <is>
          <t>Small pelagics (&lt;30 cm)</t>
        </is>
      </c>
      <c r="D36" t="inlineStr">
        <is>
          <t>Perch-likes</t>
        </is>
      </c>
      <c r="E36" s="5" t="inlineStr">
        <is>
          <t>Scad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871595.4</v>
      </c>
      <c r="K36" t="n">
        <v>0.5736</v>
      </c>
      <c r="L36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s="7" t="inlineStr">
        <is>
          <t>Shrimps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859207.585</v>
      </c>
      <c r="K37" t="n">
        <v>0.5654</v>
      </c>
      <c r="L3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s="5" t="inlineStr">
        <is>
          <t>Med.dem.benth.</t>
        </is>
      </c>
      <c r="F38" t="inlineStr"/>
      <c r="G38" t="inlineStr"/>
      <c r="H38" t="inlineStr">
        <is>
          <t>medium</t>
        </is>
      </c>
      <c r="I38" t="inlineStr">
        <is>
          <t>habitat_size_guild</t>
        </is>
      </c>
      <c r="J38" t="n">
        <v>856476.2120000001</v>
      </c>
      <c r="K38" t="n">
        <v>0.5636</v>
      </c>
      <c r="L38" s="6" t="inlineStr">
        <is>
          <t>Source p.130 includes Arius in medium demersal benthivores. The broader sea-catfish family and Netuma are inferred to that guild; no historical genus synonym is asserted.</t>
        </is>
      </c>
    </row>
    <row r="39">
      <c r="A39" t="inlineStr">
        <is>
          <t>Scomberomorus</t>
        </is>
      </c>
      <c r="B39" t="inlineStr">
        <is>
          <t>Spanish mackerels</t>
        </is>
      </c>
      <c r="C39" t="inlineStr">
        <is>
          <t>Large pelagics (&gt;=90 cm)</t>
        </is>
      </c>
      <c r="D39" t="inlineStr">
        <is>
          <t>Perch-likes</t>
        </is>
      </c>
      <c r="E39" s="7" t="inlineStr">
        <is>
          <t>Scomberomorus</t>
        </is>
      </c>
      <c r="F39" t="inlineStr"/>
      <c r="G39" t="inlineStr"/>
      <c r="H39" t="inlineStr">
        <is>
          <t>high</t>
        </is>
      </c>
      <c r="I39" t="inlineStr">
        <is>
          <t>explicit_member</t>
        </is>
      </c>
      <c r="J39" t="n">
        <v>849251.135</v>
      </c>
      <c r="K39" t="n">
        <v>0.5588</v>
      </c>
      <c r="L3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40">
      <c r="A40" t="inlineStr">
        <is>
          <t>Priacanthidae</t>
        </is>
      </c>
      <c r="B40" t="inlineStr">
        <is>
          <t>Bigeyes, catalufas</t>
        </is>
      </c>
      <c r="C40" t="inlineStr">
        <is>
          <t>Medium reef assoc. fish (30 - 89 cm)</t>
        </is>
      </c>
      <c r="D40" t="inlineStr">
        <is>
          <t>Perch-likes</t>
        </is>
      </c>
      <c r="E40" s="7" t="inlineStr">
        <is>
          <t>Sm.dem.pisc.</t>
        </is>
      </c>
      <c r="F40" t="inlineStr"/>
      <c r="G40" t="inlineStr"/>
      <c r="H40" t="inlineStr">
        <is>
          <t>high</t>
        </is>
      </c>
      <c r="I40" t="inlineStr">
        <is>
          <t>taxonomic_containment</t>
        </is>
      </c>
      <c r="J40" t="n">
        <v>813215.9179999999</v>
      </c>
      <c r="K40" t="n">
        <v>0.5351</v>
      </c>
      <c r="L4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41">
      <c r="A41" t="inlineStr">
        <is>
          <t>Octopodidae</t>
        </is>
      </c>
      <c r="B41" t="inlineStr">
        <is>
          <t>Octopuses</t>
        </is>
      </c>
      <c r="C41" t="inlineStr">
        <is>
          <t>Cephalopods</t>
        </is>
      </c>
      <c r="D41" t="inlineStr">
        <is>
          <t>Other fishes &amp; inverts</t>
        </is>
      </c>
      <c r="E41" s="7" t="inlineStr">
        <is>
          <t>Cephalopods</t>
        </is>
      </c>
      <c r="F41" t="inlineStr"/>
      <c r="G41" t="inlineStr"/>
      <c r="H41" t="inlineStr">
        <is>
          <t>high</t>
        </is>
      </c>
      <c r="I41" t="inlineStr">
        <is>
          <t>taxonomic_containment</t>
        </is>
      </c>
      <c r="J41" t="n">
        <v>778259.58</v>
      </c>
      <c r="K41" t="n">
        <v>0.5121</v>
      </c>
      <c r="L41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s="5" t="inlineStr">
        <is>
          <t>Sm. pelagics</t>
        </is>
      </c>
      <c r="F42" t="inlineStr"/>
      <c r="G42" t="inlineStr"/>
      <c r="H42" t="inlineStr">
        <is>
          <t>medium</t>
        </is>
      </c>
      <c r="I42" t="inlineStr">
        <is>
          <t>habitat_size_guild</t>
        </is>
      </c>
      <c r="J42" t="n">
        <v>737748.728</v>
      </c>
      <c r="K42" t="n">
        <v>0.4855</v>
      </c>
      <c r="L42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43">
      <c r="A43" t="inlineStr">
        <is>
          <t>Sergestidae</t>
        </is>
      </c>
      <c r="B43" t="inlineStr">
        <is>
          <t>Sergestid shrimp</t>
        </is>
      </c>
      <c r="C43" t="inlineStr">
        <is>
          <t>Shrimps</t>
        </is>
      </c>
      <c r="D43" t="inlineStr">
        <is>
          <t>Crustaceans</t>
        </is>
      </c>
      <c r="E43" s="7" t="inlineStr">
        <is>
          <t>Shrimps</t>
        </is>
      </c>
      <c r="F43" t="inlineStr"/>
      <c r="G43" t="inlineStr"/>
      <c r="H43" t="inlineStr">
        <is>
          <t>high</t>
        </is>
      </c>
      <c r="I43" t="inlineStr">
        <is>
          <t>taxonomic_containment</t>
        </is>
      </c>
      <c r="J43" t="n">
        <v>684727.735</v>
      </c>
      <c r="K43" t="n">
        <v>0.4506</v>
      </c>
      <c r="L43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44">
      <c r="A44" t="inlineStr">
        <is>
          <t>Alepes</t>
        </is>
      </c>
      <c r="B44" t="inlineStr">
        <is>
          <t>Crevalles</t>
        </is>
      </c>
      <c r="C44" t="inlineStr">
        <is>
          <t>Medium reef assoc. fish (30 - 89 cm)</t>
        </is>
      </c>
      <c r="D44" t="inlineStr">
        <is>
          <t>Perch-likes</t>
        </is>
      </c>
      <c r="E44" s="5" t="inlineStr">
        <is>
          <t>Scad</t>
        </is>
      </c>
      <c r="F44" t="inlineStr"/>
      <c r="G44" t="inlineStr"/>
      <c r="H44" t="inlineStr">
        <is>
          <t>medium</t>
        </is>
      </c>
      <c r="I44" t="inlineStr">
        <is>
          <t>habitat_size_guild</t>
        </is>
      </c>
      <c r="J44" t="n">
        <v>594150.578</v>
      </c>
      <c r="K44" t="n">
        <v>0.391</v>
      </c>
      <c r="L44" s="6" t="inlineStr">
        <is>
          <t>Carangidae genus (trevally/jack type); Scad is the model's only carangid compartment even though these are reef-associated predators rather than classic schooling scads. Reviewed against the Ecobase group name and diet; the original paper p.130 lists important components but does not settle this taxon.</t>
        </is>
      </c>
    </row>
    <row r="45">
      <c r="A45" t="inlineStr">
        <is>
          <t>Selar crumenophthalmus</t>
        </is>
      </c>
      <c r="B45" t="inlineStr">
        <is>
          <t>Bigeye scad</t>
        </is>
      </c>
      <c r="C45" t="inlineStr">
        <is>
          <t>Medium pelagics (30 - 89 cm)</t>
        </is>
      </c>
      <c r="D45" t="inlineStr">
        <is>
          <t>Perch-likes</t>
        </is>
      </c>
      <c r="E45" s="5" t="inlineStr">
        <is>
          <t>Scad</t>
        </is>
      </c>
      <c r="F45" t="inlineStr"/>
      <c r="G45" t="inlineStr"/>
      <c r="H45" t="inlineStr">
        <is>
          <t>medium</t>
        </is>
      </c>
      <c r="I45" t="inlineStr">
        <is>
          <t>habitat_size_guild</t>
        </is>
      </c>
      <c r="J45" t="n">
        <v>581883.431</v>
      </c>
      <c r="K45" t="n">
        <v>0.3829</v>
      </c>
      <c r="L45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</row>
    <row r="46">
      <c r="A46" t="inlineStr">
        <is>
          <t>Penaeus merguiensis</t>
        </is>
      </c>
      <c r="B46" t="inlineStr">
        <is>
          <t>Banana prawn</t>
        </is>
      </c>
      <c r="C46" t="inlineStr">
        <is>
          <t>Shrimps</t>
        </is>
      </c>
      <c r="D46" t="inlineStr">
        <is>
          <t>Crustaceans</t>
        </is>
      </c>
      <c r="E46" s="7" t="inlineStr">
        <is>
          <t>Shrimps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556590.076</v>
      </c>
      <c r="K46" t="n">
        <v>0.3663</v>
      </c>
      <c r="L46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47">
      <c r="A47" t="inlineStr">
        <is>
          <t>Metapenaeus</t>
        </is>
      </c>
      <c r="B47" t="inlineStr">
        <is>
          <t>Indo-Pacific prawns</t>
        </is>
      </c>
      <c r="C47" t="inlineStr">
        <is>
          <t>Shrimps</t>
        </is>
      </c>
      <c r="D47" t="inlineStr">
        <is>
          <t>Crustaceans</t>
        </is>
      </c>
      <c r="E47" s="7" t="inlineStr">
        <is>
          <t>Shrimps</t>
        </is>
      </c>
      <c r="F47" t="inlineStr"/>
      <c r="G47" t="inlineStr"/>
      <c r="H47" t="inlineStr">
        <is>
          <t>high</t>
        </is>
      </c>
      <c r="I47" t="inlineStr">
        <is>
          <t>taxonomic_containment</t>
        </is>
      </c>
      <c r="J47" t="n">
        <v>529364.969</v>
      </c>
      <c r="K47" t="n">
        <v>0.3483</v>
      </c>
      <c r="L4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48">
      <c r="A48" t="inlineStr">
        <is>
          <t>Apogonidae</t>
        </is>
      </c>
      <c r="B48" t="inlineStr">
        <is>
          <t>Cardinalfishes</t>
        </is>
      </c>
      <c r="C48" t="inlineStr">
        <is>
          <t>Small reef assoc. fish (&lt;30 cm)</t>
        </is>
      </c>
      <c r="D48" t="inlineStr">
        <is>
          <t>Perch-likes</t>
        </is>
      </c>
      <c r="E48" s="5" t="inlineStr">
        <is>
          <t>Sm.dem.benth.</t>
        </is>
      </c>
      <c r="F48" t="inlineStr"/>
      <c r="G48" t="inlineStr"/>
      <c r="H48" t="inlineStr">
        <is>
          <t>medium</t>
        </is>
      </c>
      <c r="I48" t="inlineStr">
        <is>
          <t>habitat_size_guild</t>
        </is>
      </c>
      <c r="J48" t="n">
        <v>515698.56</v>
      </c>
      <c r="K48" t="n">
        <v>0.3394</v>
      </c>
      <c r="L48" s="6" t="inlineStr">
        <is>
          <t>Cardinalfish are small nocturnal predators on benthic invertebrates/zooplankton near the bottom. Reviewed against the Ecobase group name and diet; the original paper p.130 lists important components but does not settle this taxon.</t>
        </is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s="5" t="inlineStr">
        <is>
          <t>Molluscs | Cephalopods</t>
        </is>
      </c>
      <c r="F49" t="inlineStr">
        <is>
          <t>0.413 | 0.587</t>
        </is>
      </c>
      <c r="G49" t="inlineStr">
        <is>
          <t>catch_composition</t>
        </is>
      </c>
      <c r="H49" t="inlineStr">
        <is>
          <t>medium</t>
        </is>
      </c>
      <c r="I49" t="inlineStr">
        <is>
          <t>composite_split</t>
        </is>
      </c>
      <c r="J49" t="n">
        <v>493894.968</v>
      </c>
      <c r="K49" t="n">
        <v>0.325</v>
      </c>
      <c r="L49" s="6" t="inlineStr">
        <is>
          <t>Phylum-level mollusc catch can include the model's benthic molluscs and separate cephalopods; it is broader than the non-cephalopod Molluscs pool.</t>
        </is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s="5" t="inlineStr">
        <is>
          <t>Juv.Lg.Pisciv. | Lg. piscivores</t>
        </is>
      </c>
      <c r="F50" t="inlineStr">
        <is>
          <t>0.000 | 1.000</t>
        </is>
      </c>
      <c r="G50" t="inlineStr">
        <is>
          <t>model_catch</t>
        </is>
      </c>
      <c r="H50" t="inlineStr">
        <is>
          <t>medium</t>
        </is>
      </c>
      <c r="I50" t="inlineStr">
        <is>
          <t>composite_split</t>
        </is>
      </c>
      <c r="J50" t="n">
        <v>490184.483</v>
      </c>
      <c r="K50" t="n">
        <v>0.3226</v>
      </c>
      <c r="L5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1">
      <c r="A51" t="inlineStr">
        <is>
          <t>Euthynnus affinis</t>
        </is>
      </c>
      <c r="B51" t="inlineStr">
        <is>
          <t>Kawakawa</t>
        </is>
      </c>
      <c r="C51" t="inlineStr">
        <is>
          <t>Large pelagics (&gt;=90 cm)</t>
        </is>
      </c>
      <c r="D51" t="inlineStr">
        <is>
          <t>Tuna &amp; billfishes</t>
        </is>
      </c>
      <c r="E51" s="7" t="inlineStr">
        <is>
          <t>Tuna</t>
        </is>
      </c>
      <c r="F51" t="inlineStr"/>
      <c r="G51" t="inlineStr"/>
      <c r="H51" t="inlineStr">
        <is>
          <t>high</t>
        </is>
      </c>
      <c r="I51" t="inlineStr">
        <is>
          <t>explicit_member</t>
        </is>
      </c>
      <c r="J51" t="n">
        <v>469544.125</v>
      </c>
      <c r="K51" t="n">
        <v>0.309</v>
      </c>
      <c r="L5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2">
      <c r="A52" t="inlineStr">
        <is>
          <t>Mullidae</t>
        </is>
      </c>
      <c r="B52" t="inlineStr">
        <is>
          <t>Goatfishes</t>
        </is>
      </c>
      <c r="C52" t="inlineStr">
        <is>
          <t>Medium reef assoc. fish (30 - 89 cm)</t>
        </is>
      </c>
      <c r="D52" t="inlineStr">
        <is>
          <t>Perch-likes</t>
        </is>
      </c>
      <c r="E52" s="7" t="inlineStr">
        <is>
          <t>Med.dem.benth.</t>
        </is>
      </c>
      <c r="F52" t="inlineStr"/>
      <c r="G52" t="inlineStr"/>
      <c r="H52" t="inlineStr">
        <is>
          <t>high</t>
        </is>
      </c>
      <c r="I52" t="inlineStr">
        <is>
          <t>taxonomic_containment</t>
        </is>
      </c>
      <c r="J52" t="n">
        <v>440058.242</v>
      </c>
      <c r="K52" t="n">
        <v>0.2896</v>
      </c>
      <c r="L5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s="7" t="inlineStr">
        <is>
          <t>Rays</t>
        </is>
      </c>
      <c r="F53" t="inlineStr"/>
      <c r="G53" t="inlineStr"/>
      <c r="H53" t="inlineStr">
        <is>
          <t>high</t>
        </is>
      </c>
      <c r="I53" t="inlineStr">
        <is>
          <t>taxonomic_containment</t>
        </is>
      </c>
      <c r="J53" t="n">
        <v>438942.924</v>
      </c>
      <c r="K53" t="n">
        <v>0.2888</v>
      </c>
      <c r="L53" s="6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</row>
    <row r="54">
      <c r="A54" t="inlineStr">
        <is>
          <t>Sphyraena</t>
        </is>
      </c>
      <c r="B54" t="inlineStr">
        <is>
          <t>Barracudas, sennets</t>
        </is>
      </c>
      <c r="C54" t="inlineStr">
        <is>
          <t>Large pelagics (&gt;=90 cm)</t>
        </is>
      </c>
      <c r="D54" t="inlineStr">
        <is>
          <t>Perch-likes</t>
        </is>
      </c>
      <c r="E54" s="5" t="inlineStr">
        <is>
          <t>Juv.Lg.Pisciv. | Lg. piscivores</t>
        </is>
      </c>
      <c r="F54" t="inlineStr">
        <is>
          <t>0.000 | 1.000</t>
        </is>
      </c>
      <c r="G54" t="inlineStr">
        <is>
          <t>model_catch</t>
        </is>
      </c>
      <c r="H54" t="inlineStr">
        <is>
          <t>medium</t>
        </is>
      </c>
      <c r="I54" t="inlineStr">
        <is>
          <t>composite_split</t>
        </is>
      </c>
      <c r="J54" t="n">
        <v>436421.463</v>
      </c>
      <c r="K54" t="n">
        <v>0.2872</v>
      </c>
      <c r="L5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5">
      <c r="A55" t="inlineStr">
        <is>
          <t>Modiolus</t>
        </is>
      </c>
      <c r="B55" t="inlineStr">
        <is>
          <t>Horse mussels</t>
        </is>
      </c>
      <c r="C55" t="inlineStr">
        <is>
          <t>Other demersal invertebrates</t>
        </is>
      </c>
      <c r="D55" t="inlineStr">
        <is>
          <t>Molluscs</t>
        </is>
      </c>
      <c r="E55" s="7" t="inlineStr">
        <is>
          <t>Molluscs</t>
        </is>
      </c>
      <c r="F55" t="inlineStr"/>
      <c r="G55" t="inlineStr"/>
      <c r="H55" t="inlineStr">
        <is>
          <t>high</t>
        </is>
      </c>
      <c r="I55" t="inlineStr">
        <is>
          <t>taxonomic_containment</t>
        </is>
      </c>
      <c r="J55" t="n">
        <v>423639.282</v>
      </c>
      <c r="K55" t="n">
        <v>0.2788</v>
      </c>
      <c r="L55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56">
      <c r="A56" t="inlineStr">
        <is>
          <t>Scombroidei</t>
        </is>
      </c>
      <c r="B56" t="inlineStr">
        <is>
          <t>Tunas, bonitos, 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s="5" t="inlineStr">
        <is>
          <t>Juv.Lg.Pisciv. | Lg. piscivores | Mackerel | Scomberomorus | Tuna</t>
        </is>
      </c>
      <c r="F56" t="inlineStr">
        <is>
          <t>0.000 | 0.168 | 0.595 | 0.121 | 0.116</t>
        </is>
      </c>
      <c r="G56" t="inlineStr">
        <is>
          <t>model_catch</t>
        </is>
      </c>
      <c r="H56" t="inlineStr">
        <is>
          <t>medium</t>
        </is>
      </c>
      <c r="I56" t="inlineStr">
        <is>
          <t>composite_split</t>
        </is>
      </c>
      <c r="J56" t="n">
        <v>357625.778</v>
      </c>
      <c r="K56" t="n">
        <v>0.2353</v>
      </c>
      <c r="L5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7">
      <c r="A57" t="inlineStr">
        <is>
          <t>Lutjanidae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s="5" t="inlineStr">
        <is>
          <t>Grouper/snapper | Juv. groupers</t>
        </is>
      </c>
      <c r="F57" t="inlineStr">
        <is>
          <t>1.000 | 0.000</t>
        </is>
      </c>
      <c r="G57" t="inlineStr">
        <is>
          <t>model_catch</t>
        </is>
      </c>
      <c r="H57" t="inlineStr">
        <is>
          <t>medium</t>
        </is>
      </c>
      <c r="I57" t="inlineStr">
        <is>
          <t>composite_split</t>
        </is>
      </c>
      <c r="J57" t="n">
        <v>342076.305</v>
      </c>
      <c r="K57" t="n">
        <v>0.2251</v>
      </c>
      <c r="L5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8">
      <c r="A58" t="inlineStr">
        <is>
          <t>Saurida tumbil</t>
        </is>
      </c>
      <c r="B58" t="inlineStr">
        <is>
          <t>Greater lizardfish</t>
        </is>
      </c>
      <c r="C58" t="inlineStr">
        <is>
          <t>Medium demersals (30 - 89 cm)</t>
        </is>
      </c>
      <c r="D58" t="inlineStr">
        <is>
          <t>Other fishes &amp; inverts</t>
        </is>
      </c>
      <c r="E58" s="7" t="inlineStr">
        <is>
          <t>Med.dem.pisc.</t>
        </is>
      </c>
      <c r="F58" t="inlineStr"/>
      <c r="G58" t="inlineStr"/>
      <c r="H58" t="inlineStr">
        <is>
          <t>high</t>
        </is>
      </c>
      <c r="I58" t="inlineStr">
        <is>
          <t>taxonomic_containment</t>
        </is>
      </c>
      <c r="J58" t="n">
        <v>340722.781</v>
      </c>
      <c r="K58" t="n">
        <v>0.2242</v>
      </c>
      <c r="L5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59">
      <c r="A59" t="inlineStr">
        <is>
          <t>Scolopsis</t>
        </is>
      </c>
      <c r="B59" t="inlineStr">
        <is>
          <t>Monocle breams</t>
        </is>
      </c>
      <c r="C59" t="inlineStr">
        <is>
          <t>Small reef assoc. fish (&lt;30 cm)</t>
        </is>
      </c>
      <c r="D59" t="inlineStr">
        <is>
          <t>Perch-likes</t>
        </is>
      </c>
      <c r="E59" s="7" t="inlineStr">
        <is>
          <t>Med.dem.benth.</t>
        </is>
      </c>
      <c r="F59" t="inlineStr"/>
      <c r="G59" t="inlineStr"/>
      <c r="H59" t="inlineStr">
        <is>
          <t>high</t>
        </is>
      </c>
      <c r="I59" t="inlineStr">
        <is>
          <t>explicit_member</t>
        </is>
      </c>
      <c r="J59" t="n">
        <v>330520.037</v>
      </c>
      <c r="K59" t="n">
        <v>0.2175</v>
      </c>
      <c r="L5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60">
      <c r="A60" t="inlineStr">
        <is>
          <t>Sepia</t>
        </is>
      </c>
      <c r="B60" t="inlineStr">
        <is>
          <t>Sepia cuttlefishes</t>
        </is>
      </c>
      <c r="C60" t="inlineStr">
        <is>
          <t>Cephalopods</t>
        </is>
      </c>
      <c r="D60" t="inlineStr">
        <is>
          <t>Other fishes &amp; inverts</t>
        </is>
      </c>
      <c r="E60" s="7" t="inlineStr">
        <is>
          <t>Cephalopods</t>
        </is>
      </c>
      <c r="F60" t="inlineStr"/>
      <c r="G60" t="inlineStr"/>
      <c r="H60" t="inlineStr">
        <is>
          <t>high</t>
        </is>
      </c>
      <c r="I60" t="inlineStr">
        <is>
          <t>taxonomic_containment</t>
        </is>
      </c>
      <c r="J60" t="n">
        <v>314474.61</v>
      </c>
      <c r="K60" t="n">
        <v>0.2069</v>
      </c>
      <c r="L60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61">
      <c r="A61" t="inlineStr">
        <is>
          <t>Portunus</t>
        </is>
      </c>
      <c r="B61" t="inlineStr">
        <is>
          <t>Swimmer crabs</t>
        </is>
      </c>
      <c r="C61" t="inlineStr">
        <is>
          <t>Lobsters, crabs</t>
        </is>
      </c>
      <c r="D61" t="inlineStr">
        <is>
          <t>Crustaceans</t>
        </is>
      </c>
      <c r="E61" s="7" t="inlineStr">
        <is>
          <t>Crab, lobster</t>
        </is>
      </c>
      <c r="F61" t="inlineStr"/>
      <c r="G61" t="inlineStr"/>
      <c r="H61" t="inlineStr">
        <is>
          <t>high</t>
        </is>
      </c>
      <c r="I61" t="inlineStr">
        <is>
          <t>taxonomic_containment</t>
        </is>
      </c>
      <c r="J61" t="n">
        <v>305193.205</v>
      </c>
      <c r="K61" t="n">
        <v>0.2008</v>
      </c>
      <c r="L61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62">
      <c r="A62" t="inlineStr">
        <is>
          <t>Parastromateus niger</t>
        </is>
      </c>
      <c r="B62" t="inlineStr">
        <is>
          <t>Black pomfret</t>
        </is>
      </c>
      <c r="C62" t="inlineStr">
        <is>
          <t>Medium benthopelagics (30 - 89 cm)</t>
        </is>
      </c>
      <c r="D62" t="inlineStr">
        <is>
          <t>Perch-likes</t>
        </is>
      </c>
      <c r="E62" s="5" t="inlineStr">
        <is>
          <t>Med.dem.benth.</t>
        </is>
      </c>
      <c r="F62" t="inlineStr"/>
      <c r="G62" t="inlineStr"/>
      <c r="H62" t="inlineStr">
        <is>
          <t>medium</t>
        </is>
      </c>
      <c r="I62" t="inlineStr">
        <is>
          <t>habitat_size_guild</t>
        </is>
      </c>
      <c r="J62" t="n">
        <v>267982.463</v>
      </c>
      <c r="K62" t="n">
        <v>0.1763</v>
      </c>
      <c r="L62" s="6" t="inlineStr">
        <is>
          <t>Black pomfret; schooling benthopelagic feeder mapped to the closest generic compartment absent a dedicated pomfret group. Reviewed against the Ecobase group name and diet; the original paper p.130 lists important components but does not settle this taxon.</t>
        </is>
      </c>
    </row>
    <row r="63">
      <c r="A63" t="inlineStr">
        <is>
          <t>Himantura</t>
        </is>
      </c>
      <c r="B63" t="inlineStr">
        <is>
          <t>Whiprays</t>
        </is>
      </c>
      <c r="C63" t="inlineStr">
        <is>
          <t>Large rays (&gt;=90 cm)</t>
        </is>
      </c>
      <c r="D63" t="inlineStr">
        <is>
          <t>Sharks &amp; rays</t>
        </is>
      </c>
      <c r="E63" s="7" t="inlineStr">
        <is>
          <t>Rays</t>
        </is>
      </c>
      <c r="F63" t="inlineStr"/>
      <c r="G63" t="inlineStr"/>
      <c r="H63" t="inlineStr">
        <is>
          <t>high</t>
        </is>
      </c>
      <c r="I63" t="inlineStr">
        <is>
          <t>taxonomic_containment</t>
        </is>
      </c>
      <c r="J63" t="n">
        <v>262477.381</v>
      </c>
      <c r="K63" t="n">
        <v>0.1727</v>
      </c>
      <c r="L63" s="6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</row>
    <row r="64">
      <c r="A64" t="inlineStr">
        <is>
          <t>Acetes</t>
        </is>
      </c>
      <c r="B64" t="inlineStr">
        <is>
          <t>Acetes shrimps</t>
        </is>
      </c>
      <c r="C64" t="inlineStr">
        <is>
          <t>Shrimps</t>
        </is>
      </c>
      <c r="D64" t="inlineStr">
        <is>
          <t>Crustaceans</t>
        </is>
      </c>
      <c r="E64" s="7" t="inlineStr">
        <is>
          <t>Shrimps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255917.851</v>
      </c>
      <c r="K64" t="n">
        <v>0.1684</v>
      </c>
      <c r="L64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65">
      <c r="A65" t="inlineStr">
        <is>
          <t>Pennahia</t>
        </is>
      </c>
      <c r="B65" t="inlineStr">
        <is>
          <t>Pennah croakers</t>
        </is>
      </c>
      <c r="C65" t="inlineStr">
        <is>
          <t>Medium benthopelagics (30 - 89 cm)</t>
        </is>
      </c>
      <c r="D65" t="inlineStr">
        <is>
          <t>Perch-likes</t>
        </is>
      </c>
      <c r="E65" s="7" t="inlineStr">
        <is>
          <t>Med.dem.pisc.</t>
        </is>
      </c>
      <c r="F65" t="inlineStr"/>
      <c r="G65" t="inlineStr"/>
      <c r="H65" t="inlineStr">
        <is>
          <t>high</t>
        </is>
      </c>
      <c r="I65" t="inlineStr">
        <is>
          <t>taxonomic_containment</t>
        </is>
      </c>
      <c r="J65" t="n">
        <v>238181.741</v>
      </c>
      <c r="K65" t="n">
        <v>0.1567</v>
      </c>
      <c r="L6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66">
      <c r="A66" t="inlineStr">
        <is>
          <t>Metapenaeus tenuipes</t>
        </is>
      </c>
      <c r="B66" t="inlineStr">
        <is>
          <t>Stork shrimp</t>
        </is>
      </c>
      <c r="C66" t="inlineStr">
        <is>
          <t>Shrimps</t>
        </is>
      </c>
      <c r="D66" t="inlineStr">
        <is>
          <t>Crustaceans</t>
        </is>
      </c>
      <c r="E66" s="7" t="inlineStr">
        <is>
          <t>Shrimps</t>
        </is>
      </c>
      <c r="F66" t="inlineStr"/>
      <c r="G66" t="inlineStr"/>
      <c r="H66" t="inlineStr">
        <is>
          <t>high</t>
        </is>
      </c>
      <c r="I66" t="inlineStr">
        <is>
          <t>taxonomic_containment</t>
        </is>
      </c>
      <c r="J66" t="n">
        <v>236152.955</v>
      </c>
      <c r="K66" t="n">
        <v>0.1554</v>
      </c>
      <c r="L66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67">
      <c r="A67" t="inlineStr">
        <is>
          <t>Metapenaeus affinis</t>
        </is>
      </c>
      <c r="B67" t="inlineStr">
        <is>
          <t>Jinga shrimp</t>
        </is>
      </c>
      <c r="C67" t="inlineStr">
        <is>
          <t>Shrimps</t>
        </is>
      </c>
      <c r="D67" t="inlineStr">
        <is>
          <t>Crustaceans</t>
        </is>
      </c>
      <c r="E67" s="7" t="inlineStr">
        <is>
          <t>Shrimps</t>
        </is>
      </c>
      <c r="F67" t="inlineStr"/>
      <c r="G67" t="inlineStr"/>
      <c r="H67" t="inlineStr">
        <is>
          <t>high</t>
        </is>
      </c>
      <c r="I67" t="inlineStr">
        <is>
          <t>taxonomic_containment</t>
        </is>
      </c>
      <c r="J67" t="n">
        <v>233563.065</v>
      </c>
      <c r="K67" t="n">
        <v>0.1537</v>
      </c>
      <c r="L6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68">
      <c r="A68" t="inlineStr">
        <is>
          <t>Atule mate</t>
        </is>
      </c>
      <c r="B68" t="inlineStr">
        <is>
          <t>Yellowtail scad</t>
        </is>
      </c>
      <c r="C68" t="inlineStr">
        <is>
          <t>Small pelagics (&lt;30 cm)</t>
        </is>
      </c>
      <c r="D68" t="inlineStr">
        <is>
          <t>Perch-likes</t>
        </is>
      </c>
      <c r="E68" s="5" t="inlineStr">
        <is>
          <t>Scad</t>
        </is>
      </c>
      <c r="F68" t="inlineStr"/>
      <c r="G68" t="inlineStr"/>
      <c r="H68" t="inlineStr">
        <is>
          <t>medium</t>
        </is>
      </c>
      <c r="I68" t="inlineStr">
        <is>
          <t>habitat_size_guild</t>
        </is>
      </c>
      <c r="J68" t="n">
        <v>230384.337</v>
      </c>
      <c r="K68" t="n">
        <v>0.1516</v>
      </c>
      <c r="L68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</row>
    <row r="69">
      <c r="A69" t="inlineStr">
        <is>
          <t>Chirocentrus dorab</t>
        </is>
      </c>
      <c r="B69" t="inlineStr">
        <is>
          <t>Dorab wolf-herring</t>
        </is>
      </c>
      <c r="C69" t="inlineStr">
        <is>
          <t>Large benthopelagics (&gt;=90 cm)</t>
        </is>
      </c>
      <c r="D69" t="inlineStr">
        <is>
          <t>Herring-likes</t>
        </is>
      </c>
      <c r="E69" s="5" t="inlineStr">
        <is>
          <t>Juv.Lg.Pisciv. | Lg. piscivores</t>
        </is>
      </c>
      <c r="F69" t="inlineStr">
        <is>
          <t>0.000 | 1.000</t>
        </is>
      </c>
      <c r="G69" t="inlineStr">
        <is>
          <t>model_catch</t>
        </is>
      </c>
      <c r="H69" t="inlineStr">
        <is>
          <t>medium</t>
        </is>
      </c>
      <c r="I69" t="inlineStr">
        <is>
          <t>composite_split</t>
        </is>
      </c>
      <c r="J69" t="n">
        <v>210170.012</v>
      </c>
      <c r="K69" t="n">
        <v>0.1383</v>
      </c>
      <c r="L6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s="5" t="inlineStr">
        <is>
          <t>Sharks | Juv. sharks | Rays</t>
        </is>
      </c>
      <c r="F70" t="inlineStr">
        <is>
          <t>0.000 | 0.000 | 1.000</t>
        </is>
      </c>
      <c r="G70" t="inlineStr">
        <is>
          <t>catch_composition</t>
        </is>
      </c>
      <c r="H70" t="inlineStr">
        <is>
          <t>medium</t>
        </is>
      </c>
      <c r="I70" t="inlineStr">
        <is>
          <t>composite_split</t>
        </is>
      </c>
      <c r="J70" t="n">
        <v>205202.745</v>
      </c>
      <c r="K70" t="n">
        <v>0.135</v>
      </c>
      <c r="L70" s="6" t="inlineStr">
        <is>
          <t>Elasmobranchs include both sharks (two stages) and rays; assigning the whole label to Sharks excluded a documented model compartment.</t>
        </is>
      </c>
    </row>
    <row r="71">
      <c r="A71" t="inlineStr">
        <is>
          <t>Sillago</t>
        </is>
      </c>
      <c r="B71" t="inlineStr">
        <is>
          <t>Smelt-whitings</t>
        </is>
      </c>
      <c r="C71" t="inlineStr">
        <is>
          <t>Medium demersals (30 - 89 cm)</t>
        </is>
      </c>
      <c r="D71" t="inlineStr">
        <is>
          <t>Perch-likes</t>
        </is>
      </c>
      <c r="E71" s="5" t="inlineStr">
        <is>
          <t>Med.dem.benth.</t>
        </is>
      </c>
      <c r="F71" t="inlineStr"/>
      <c r="G71" t="inlineStr"/>
      <c r="H71" t="inlineStr">
        <is>
          <t>medium</t>
        </is>
      </c>
      <c r="I71" t="inlineStr">
        <is>
          <t>habitat_size_guild</t>
        </is>
      </c>
      <c r="J71" t="n">
        <v>191559.84</v>
      </c>
      <c r="K71" t="n">
        <v>0.1261</v>
      </c>
      <c r="L71" s="6" t="inlineStr">
        <is>
          <t>Whiting feed on benthic invertebrates (worms, small crustaceans) over sand. Reviewed against the Ecobase group name and diet; the original paper p.130 lists important components but does not settle this taxon.</t>
        </is>
      </c>
    </row>
    <row r="72">
      <c r="A72" t="inlineStr">
        <is>
          <t>Psettodes erumei</t>
        </is>
      </c>
      <c r="B72" t="inlineStr">
        <is>
          <t>Indian halibut</t>
        </is>
      </c>
      <c r="C72" t="inlineStr">
        <is>
          <t>Small to medium flatfishes (&lt;90 cm)</t>
        </is>
      </c>
      <c r="D72" t="inlineStr">
        <is>
          <t>Flatfishes</t>
        </is>
      </c>
      <c r="E72" s="7" t="inlineStr">
        <is>
          <t>Med.dem.pisc.</t>
        </is>
      </c>
      <c r="F72" t="inlineStr"/>
      <c r="G72" t="inlineStr"/>
      <c r="H72" t="inlineStr">
        <is>
          <t>high</t>
        </is>
      </c>
      <c r="I72" t="inlineStr">
        <is>
          <t>taxonomic_containment</t>
        </is>
      </c>
      <c r="J72" t="n">
        <v>187671.039</v>
      </c>
      <c r="K72" t="n">
        <v>0.1235</v>
      </c>
      <c r="L7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73">
      <c r="A73" t="inlineStr">
        <is>
          <t>Serranidae</t>
        </is>
      </c>
      <c r="B73" t="inlineStr">
        <is>
          <t>Basses, groupers, hinds</t>
        </is>
      </c>
      <c r="C73" t="inlineStr">
        <is>
          <t>Medium reef assoc. fish (30 - 89 cm)</t>
        </is>
      </c>
      <c r="D73" t="inlineStr">
        <is>
          <t>Perch-likes</t>
        </is>
      </c>
      <c r="E73" s="5" t="inlineStr">
        <is>
          <t>Grouper/snapper | Juv. groupers</t>
        </is>
      </c>
      <c r="F73" t="inlineStr">
        <is>
          <t>1.000 | 0.000</t>
        </is>
      </c>
      <c r="G73" t="inlineStr">
        <is>
          <t>model_catch</t>
        </is>
      </c>
      <c r="H73" t="inlineStr">
        <is>
          <t>medium</t>
        </is>
      </c>
      <c r="I73" t="inlineStr">
        <is>
          <t>composite_split</t>
        </is>
      </c>
      <c r="J73" t="n">
        <v>185152.281</v>
      </c>
      <c r="K73" t="n">
        <v>0.1218</v>
      </c>
      <c r="L73" s="6" t="inlineStr">
        <is>
          <t>Groupers have juvenile and adult compartments; catch lacks life-stage detail. Use reported model catch, which assigns no catch to juveniles.</t>
        </is>
      </c>
    </row>
    <row r="74">
      <c r="A74" t="inlineStr">
        <is>
          <t>Chirocentrus</t>
        </is>
      </c>
      <c r="B74" t="inlineStr">
        <is>
          <t>Wolf herrings</t>
        </is>
      </c>
      <c r="C74" t="inlineStr">
        <is>
          <t>Large pelagics (&gt;=90 cm)</t>
        </is>
      </c>
      <c r="D74" t="inlineStr">
        <is>
          <t>Herring-likes</t>
        </is>
      </c>
      <c r="E74" s="5" t="inlineStr">
        <is>
          <t>Juv.Lg.Pisciv. | Lg. piscivores</t>
        </is>
      </c>
      <c r="F74" t="inlineStr">
        <is>
          <t>0.000 | 1.000</t>
        </is>
      </c>
      <c r="G74" t="inlineStr">
        <is>
          <t>model_catch</t>
        </is>
      </c>
      <c r="H74" t="inlineStr">
        <is>
          <t>medium</t>
        </is>
      </c>
      <c r="I74" t="inlineStr">
        <is>
          <t>composite_split</t>
        </is>
      </c>
      <c r="J74" t="n">
        <v>184085.397</v>
      </c>
      <c r="K74" t="n">
        <v>0.1211</v>
      </c>
      <c r="L7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s="5" t="inlineStr">
        <is>
          <t>Grouper/snapper | Juv. groupers</t>
        </is>
      </c>
      <c r="F75" t="inlineStr">
        <is>
          <t>1.000 | 0.000</t>
        </is>
      </c>
      <c r="G75" t="inlineStr">
        <is>
          <t>model_catch</t>
        </is>
      </c>
      <c r="H75" t="inlineStr">
        <is>
          <t>medium</t>
        </is>
      </c>
      <c r="I75" t="inlineStr">
        <is>
          <t>composite_split</t>
        </is>
      </c>
      <c r="J75" t="n">
        <v>178162.755</v>
      </c>
      <c r="K75" t="n">
        <v>0.1172</v>
      </c>
      <c r="L7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76">
      <c r="A76" t="inlineStr">
        <is>
          <t>Portunidae</t>
        </is>
      </c>
      <c r="B76" t="inlineStr">
        <is>
          <t>Swimming crabs</t>
        </is>
      </c>
      <c r="C76" t="inlineStr">
        <is>
          <t>Lobsters, crabs</t>
        </is>
      </c>
      <c r="D76" t="inlineStr">
        <is>
          <t>Crustaceans</t>
        </is>
      </c>
      <c r="E76" s="7" t="inlineStr">
        <is>
          <t>Crab, lobster</t>
        </is>
      </c>
      <c r="F76" t="inlineStr"/>
      <c r="G76" t="inlineStr"/>
      <c r="H76" t="inlineStr">
        <is>
          <t>high</t>
        </is>
      </c>
      <c r="I76" t="inlineStr">
        <is>
          <t>taxonomic_containment</t>
        </is>
      </c>
      <c r="J76" t="n">
        <v>174080.132</v>
      </c>
      <c r="K76" t="n">
        <v>0.1146</v>
      </c>
      <c r="L76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77">
      <c r="A77" t="inlineStr">
        <is>
          <t>Lutjanus malabaricus</t>
        </is>
      </c>
      <c r="B77" t="inlineStr">
        <is>
          <t>Malabar blood snapper</t>
        </is>
      </c>
      <c r="C77" t="inlineStr">
        <is>
          <t>Medium reef assoc. fish (30 - 89 cm)</t>
        </is>
      </c>
      <c r="D77" t="inlineStr">
        <is>
          <t>Perch-likes</t>
        </is>
      </c>
      <c r="E77" s="5" t="inlineStr">
        <is>
          <t>Grouper/snapper | Juv. groupers</t>
        </is>
      </c>
      <c r="F77" t="inlineStr">
        <is>
          <t>1.000 | 0.000</t>
        </is>
      </c>
      <c r="G77" t="inlineStr">
        <is>
          <t>model_catch</t>
        </is>
      </c>
      <c r="H77" t="inlineStr">
        <is>
          <t>medium</t>
        </is>
      </c>
      <c r="I77" t="inlineStr">
        <is>
          <t>composite_split</t>
        </is>
      </c>
      <c r="J77" t="n">
        <v>161848.215</v>
      </c>
      <c r="K77" t="n">
        <v>0.1065</v>
      </c>
      <c r="L7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78">
      <c r="A78" t="inlineStr">
        <is>
          <t>Muraenesox cinereus</t>
        </is>
      </c>
      <c r="B78" t="inlineStr">
        <is>
          <t>Daggertooth pike conger</t>
        </is>
      </c>
      <c r="C78" t="inlineStr">
        <is>
          <t>Large demersals (&gt;=90 cm)</t>
        </is>
      </c>
      <c r="D78" t="inlineStr">
        <is>
          <t>Other fishes &amp; inverts</t>
        </is>
      </c>
      <c r="E78" s="5" t="inlineStr">
        <is>
          <t>Juv.Lg.Pisciv. | Lg. piscivores</t>
        </is>
      </c>
      <c r="F78" t="inlineStr">
        <is>
          <t>0.000 | 1.000</t>
        </is>
      </c>
      <c r="G78" t="inlineStr">
        <is>
          <t>model_catch</t>
        </is>
      </c>
      <c r="H78" t="inlineStr">
        <is>
          <t>medium</t>
        </is>
      </c>
      <c r="I78" t="inlineStr">
        <is>
          <t>composite_split</t>
        </is>
      </c>
      <c r="J78" t="n">
        <v>161200.004</v>
      </c>
      <c r="K78" t="n">
        <v>0.1061</v>
      </c>
      <c r="L7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79">
      <c r="A79" t="inlineStr">
        <is>
          <t>Upeneus</t>
        </is>
      </c>
      <c r="B79" t="inlineStr">
        <is>
          <t>Upeneid goatfishes</t>
        </is>
      </c>
      <c r="C79" t="inlineStr">
        <is>
          <t>Small reef assoc. fish (&lt;30 cm)</t>
        </is>
      </c>
      <c r="D79" t="inlineStr">
        <is>
          <t>Perch-likes</t>
        </is>
      </c>
      <c r="E79" s="7" t="inlineStr">
        <is>
          <t>Med.dem.benth.</t>
        </is>
      </c>
      <c r="F79" t="inlineStr"/>
      <c r="G79" t="inlineStr"/>
      <c r="H79" t="inlineStr">
        <is>
          <t>high</t>
        </is>
      </c>
      <c r="I79" t="inlineStr">
        <is>
          <t>explicit_member</t>
        </is>
      </c>
      <c r="J79" t="n">
        <v>147414.537</v>
      </c>
      <c r="K79" t="n">
        <v>0.097</v>
      </c>
      <c r="L7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80">
      <c r="A80" t="inlineStr">
        <is>
          <t>Gobiidae</t>
        </is>
      </c>
      <c r="B80" t="inlineStr">
        <is>
          <t>Gobies</t>
        </is>
      </c>
      <c r="C80" t="inlineStr">
        <is>
          <t>Small reef assoc. fish (&lt;30 cm)</t>
        </is>
      </c>
      <c r="D80" t="inlineStr">
        <is>
          <t>Perch-likes</t>
        </is>
      </c>
      <c r="E80" s="5" t="inlineStr">
        <is>
          <t>Sm.dem.benth.</t>
        </is>
      </c>
      <c r="F80" t="inlineStr"/>
      <c r="G80" t="inlineStr"/>
      <c r="H80" t="inlineStr">
        <is>
          <t>medium</t>
        </is>
      </c>
      <c r="I80" t="inlineStr">
        <is>
          <t>habitat_size_guild</t>
        </is>
      </c>
      <c r="J80" t="n">
        <v>142750.385</v>
      </c>
      <c r="K80" t="n">
        <v>0.0939</v>
      </c>
      <c r="L80" s="6" t="inlineStr">
        <is>
          <t>Gobies are small benthic fish feeding on small invertebrates. Reviewed against the Ecobase group name and diet; the original paper p.130 lists important components but does not settle this taxon.</t>
        </is>
      </c>
    </row>
    <row r="81">
      <c r="A81" t="inlineStr">
        <is>
          <t>Penaeus latisulcatus</t>
        </is>
      </c>
      <c r="B81" t="inlineStr">
        <is>
          <t>Western king prawn</t>
        </is>
      </c>
      <c r="C81" t="inlineStr">
        <is>
          <t>Shrimps</t>
        </is>
      </c>
      <c r="D81" t="inlineStr">
        <is>
          <t>Crustaceans</t>
        </is>
      </c>
      <c r="E81" s="7" t="inlineStr">
        <is>
          <t>Shrimps</t>
        </is>
      </c>
      <c r="F81" t="inlineStr"/>
      <c r="G81" t="inlineStr"/>
      <c r="H81" t="inlineStr">
        <is>
          <t>high</t>
        </is>
      </c>
      <c r="I81" t="inlineStr">
        <is>
          <t>taxonomic_containment</t>
        </is>
      </c>
      <c r="J81" t="n">
        <v>135192.437</v>
      </c>
      <c r="K81" t="n">
        <v>0.089</v>
      </c>
      <c r="L81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82">
      <c r="A82" t="inlineStr">
        <is>
          <t>Sepioteuthis lessoniana</t>
        </is>
      </c>
      <c r="B82" t="inlineStr">
        <is>
          <t>Bigfin reef squid</t>
        </is>
      </c>
      <c r="C82" t="inlineStr">
        <is>
          <t>Cephalopods</t>
        </is>
      </c>
      <c r="D82" t="inlineStr">
        <is>
          <t>Other fishes &amp; inverts</t>
        </is>
      </c>
      <c r="E82" s="7" t="inlineStr">
        <is>
          <t>Cephalopods</t>
        </is>
      </c>
      <c r="F82" t="inlineStr"/>
      <c r="G82" t="inlineStr"/>
      <c r="H82" t="inlineStr">
        <is>
          <t>high</t>
        </is>
      </c>
      <c r="I82" t="inlineStr">
        <is>
          <t>taxonomic_containment</t>
        </is>
      </c>
      <c r="J82" t="n">
        <v>133557.366</v>
      </c>
      <c r="K82" t="n">
        <v>0.08790000000000001</v>
      </c>
      <c r="L82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83">
      <c r="A83" t="inlineStr">
        <is>
          <t>Pomadasys</t>
        </is>
      </c>
      <c r="B83" t="inlineStr">
        <is>
          <t>Grunters</t>
        </is>
      </c>
      <c r="C83" t="inlineStr">
        <is>
          <t>Medium demersals (30 - 89 cm)</t>
        </is>
      </c>
      <c r="D83" t="inlineStr">
        <is>
          <t>Perch-likes</t>
        </is>
      </c>
      <c r="E83" s="7" t="inlineStr">
        <is>
          <t>Med.dem.benth.</t>
        </is>
      </c>
      <c r="F83" t="inlineStr"/>
      <c r="G83" t="inlineStr"/>
      <c r="H83" t="inlineStr">
        <is>
          <t>high</t>
        </is>
      </c>
      <c r="I83" t="inlineStr">
        <is>
          <t>explicit_member</t>
        </is>
      </c>
      <c r="J83" t="n">
        <v>131359.141</v>
      </c>
      <c r="K83" t="n">
        <v>0.0864</v>
      </c>
      <c r="L8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84">
      <c r="A84" t="inlineStr">
        <is>
          <t>Scylla serrata</t>
        </is>
      </c>
      <c r="B84" t="inlineStr">
        <is>
          <t>Indo-Pacific swamp crab</t>
        </is>
      </c>
      <c r="C84" t="inlineStr">
        <is>
          <t>Lobsters, crabs</t>
        </is>
      </c>
      <c r="D84" t="inlineStr">
        <is>
          <t>Crustaceans</t>
        </is>
      </c>
      <c r="E84" s="7" t="inlineStr">
        <is>
          <t>Crab, lobster</t>
        </is>
      </c>
      <c r="F84" t="inlineStr"/>
      <c r="G84" t="inlineStr"/>
      <c r="H84" t="inlineStr">
        <is>
          <t>high</t>
        </is>
      </c>
      <c r="I84" t="inlineStr">
        <is>
          <t>taxonomic_containment</t>
        </is>
      </c>
      <c r="J84" t="n">
        <v>125460.293</v>
      </c>
      <c r="K84" t="n">
        <v>0.08260000000000001</v>
      </c>
      <c r="L84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s="5" t="inlineStr">
        <is>
          <t>Med.dem.benth.</t>
        </is>
      </c>
      <c r="F85" t="inlineStr"/>
      <c r="G85" t="inlineStr"/>
      <c r="H85" t="inlineStr">
        <is>
          <t>medium</t>
        </is>
      </c>
      <c r="I85" t="inlineStr">
        <is>
          <t>habitat_size_guild</t>
        </is>
      </c>
      <c r="J85" t="n">
        <v>117054.204</v>
      </c>
      <c r="K85" t="n">
        <v>0.077</v>
      </c>
      <c r="L85" s="6" t="inlineStr">
        <is>
          <t>Triggerfish crush hard-shelled benthic invertebrates (crustaceans, molluscs, echinoderms). Reviewed against the Ecobase group name and diet; the original paper p.130 lists important components but does not settle this taxon.</t>
        </is>
      </c>
    </row>
    <row r="86">
      <c r="A86" t="inlineStr">
        <is>
          <t>Trichiurus</t>
        </is>
      </c>
      <c r="B86" t="inlineStr">
        <is>
          <t>Hairtails</t>
        </is>
      </c>
      <c r="C86" t="inlineStr">
        <is>
          <t>Large benthopelagics (&gt;=90 cm)</t>
        </is>
      </c>
      <c r="D86" t="inlineStr">
        <is>
          <t>Perch-likes</t>
        </is>
      </c>
      <c r="E86" s="5" t="inlineStr">
        <is>
          <t>Juv.Lg.Pisciv. | Lg. piscivores</t>
        </is>
      </c>
      <c r="F86" t="inlineStr">
        <is>
          <t>0.000 | 1.000</t>
        </is>
      </c>
      <c r="G86" t="inlineStr">
        <is>
          <t>model_catch</t>
        </is>
      </c>
      <c r="H86" t="inlineStr">
        <is>
          <t>medium</t>
        </is>
      </c>
      <c r="I86" t="inlineStr">
        <is>
          <t>composite_split</t>
        </is>
      </c>
      <c r="J86" t="n">
        <v>103714.709</v>
      </c>
      <c r="K86" t="n">
        <v>0.0682</v>
      </c>
      <c r="L8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87">
      <c r="A87" t="inlineStr">
        <is>
          <t>Penaeus semisulcatus</t>
        </is>
      </c>
      <c r="B87" t="inlineStr">
        <is>
          <t>Green tiger prawn</t>
        </is>
      </c>
      <c r="C87" t="inlineStr">
        <is>
          <t>Shrimps</t>
        </is>
      </c>
      <c r="D87" t="inlineStr">
        <is>
          <t>Crustaceans</t>
        </is>
      </c>
      <c r="E87" s="7" t="inlineStr">
        <is>
          <t>Shrimps</t>
        </is>
      </c>
      <c r="F87" t="inlineStr"/>
      <c r="G87" t="inlineStr"/>
      <c r="H87" t="inlineStr">
        <is>
          <t>high</t>
        </is>
      </c>
      <c r="I87" t="inlineStr">
        <is>
          <t>taxonomic_containment</t>
        </is>
      </c>
      <c r="J87" t="n">
        <v>101726.789</v>
      </c>
      <c r="K87" t="n">
        <v>0.0669</v>
      </c>
      <c r="L8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88">
      <c r="A88" t="inlineStr">
        <is>
          <t>Carcharhinus</t>
        </is>
      </c>
      <c r="B88" t="inlineStr">
        <is>
          <t>Sharp-nosed sharks</t>
        </is>
      </c>
      <c r="C88" t="inlineStr">
        <is>
          <t>Large sharks (&gt;=90 cm)</t>
        </is>
      </c>
      <c r="D88" t="inlineStr">
        <is>
          <t>Sharks &amp; rays</t>
        </is>
      </c>
      <c r="E88" s="5" t="inlineStr">
        <is>
          <t>Sharks | Juv. sharks</t>
        </is>
      </c>
      <c r="F88" t="inlineStr">
        <is>
          <t>1.000 | 0.000</t>
        </is>
      </c>
      <c r="G88" t="inlineStr">
        <is>
          <t>model_catch</t>
        </is>
      </c>
      <c r="H88" t="inlineStr">
        <is>
          <t>medium</t>
        </is>
      </c>
      <c r="I88" t="inlineStr">
        <is>
          <t>composite_split</t>
        </is>
      </c>
      <c r="J88" t="n">
        <v>101649.116</v>
      </c>
      <c r="K88" t="n">
        <v>0.0669</v>
      </c>
      <c r="L88" s="6" t="inlineStr">
        <is>
          <t>The Ecobase model splits sharks by life stage; catch has no stage split. Model catch is recorded only on Sharks.</t>
        </is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s="5" t="inlineStr">
        <is>
          <t>Tuna</t>
        </is>
      </c>
      <c r="F89" t="inlineStr"/>
      <c r="G89" t="inlineStr"/>
      <c r="H89" t="inlineStr">
        <is>
          <t>medium</t>
        </is>
      </c>
      <c r="I89" t="inlineStr">
        <is>
          <t>habitat_size_guild</t>
        </is>
      </c>
      <c r="J89" t="n">
        <v>89077.48</v>
      </c>
      <c r="K89" t="n">
        <v>0.0586</v>
      </c>
      <c r="L89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</row>
    <row r="90">
      <c r="A90" t="inlineStr">
        <is>
          <t>Thenus orientalis</t>
        </is>
      </c>
      <c r="B90" t="inlineStr">
        <is>
          <t>Flathead lobster</t>
        </is>
      </c>
      <c r="C90" t="inlineStr">
        <is>
          <t>Lobsters, crabs</t>
        </is>
      </c>
      <c r="D90" t="inlineStr">
        <is>
          <t>Crustaceans</t>
        </is>
      </c>
      <c r="E90" s="7" t="inlineStr">
        <is>
          <t>Crab, lobster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81875.773</v>
      </c>
      <c r="K90" t="n">
        <v>0.0539</v>
      </c>
      <c r="L90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91">
      <c r="A91" t="inlineStr">
        <is>
          <t>Penaeus monodon</t>
        </is>
      </c>
      <c r="B91" t="inlineStr">
        <is>
          <t>Giant tiger prawn</t>
        </is>
      </c>
      <c r="C91" t="inlineStr">
        <is>
          <t>Shrimps</t>
        </is>
      </c>
      <c r="D91" t="inlineStr">
        <is>
          <t>Crustaceans</t>
        </is>
      </c>
      <c r="E91" s="7" t="inlineStr">
        <is>
          <t>Shrimps</t>
        </is>
      </c>
      <c r="F91" t="inlineStr"/>
      <c r="G91" t="inlineStr"/>
      <c r="H91" t="inlineStr">
        <is>
          <t>high</t>
        </is>
      </c>
      <c r="I91" t="inlineStr">
        <is>
          <t>taxonomic_containment</t>
        </is>
      </c>
      <c r="J91" t="n">
        <v>80794.781</v>
      </c>
      <c r="K91" t="n">
        <v>0.0532</v>
      </c>
      <c r="L91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92">
      <c r="A92" t="inlineStr">
        <is>
          <t>Terapon</t>
        </is>
      </c>
      <c r="B92" t="inlineStr">
        <is>
          <t>Terapons</t>
        </is>
      </c>
      <c r="C92" t="inlineStr">
        <is>
          <t>Medium demersals (30 - 89 cm)</t>
        </is>
      </c>
      <c r="D92" t="inlineStr">
        <is>
          <t>Perch-likes</t>
        </is>
      </c>
      <c r="E92" s="5" t="inlineStr">
        <is>
          <t>Med.dem.benth.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77932.215</v>
      </c>
      <c r="K92" t="n">
        <v>0.0513</v>
      </c>
      <c r="L92" s="6" t="inlineStr">
        <is>
          <t>Terapontid; bottom-associated benthivore/omnivore in estuarine/coastal habitat. Reviewed against the Ecobase group name and diet; the original paper p.130 lists important components but does not settle this taxon.</t>
        </is>
      </c>
    </row>
    <row r="93">
      <c r="A93" t="inlineStr">
        <is>
          <t>Polynemidae</t>
        </is>
      </c>
      <c r="B93" t="inlineStr">
        <is>
          <t>Threadfins</t>
        </is>
      </c>
      <c r="C93" t="inlineStr">
        <is>
          <t>Small demersals (&lt;30 cm)</t>
        </is>
      </c>
      <c r="D93" t="inlineStr">
        <is>
          <t>Perch-likes</t>
        </is>
      </c>
      <c r="E93" s="5" t="inlineStr">
        <is>
          <t>Sm.dem.benth.</t>
        </is>
      </c>
      <c r="F93" t="inlineStr"/>
      <c r="G93" t="inlineStr"/>
      <c r="H93" t="inlineStr">
        <is>
          <t>medium</t>
        </is>
      </c>
      <c r="I93" t="inlineStr">
        <is>
          <t>habitat_size_guild</t>
        </is>
      </c>
      <c r="J93" t="n">
        <v>77893.985</v>
      </c>
      <c r="K93" t="n">
        <v>0.0513</v>
      </c>
      <c r="L93" s="6" t="inlineStr">
        <is>
          <t>Threadfin use pectoral filaments to detect benthic prey on muddy bottoms; classed as small benthivore. Reviewed against the Ecobase group name and diet; the original paper p.130 lists important components but does not settle this taxon.</t>
        </is>
      </c>
    </row>
    <row r="94">
      <c r="A94" t="inlineStr">
        <is>
          <t>Cynoglossus</t>
        </is>
      </c>
      <c r="B94" t="inlineStr">
        <is>
          <t>Tonguesoles</t>
        </is>
      </c>
      <c r="C94" t="inlineStr">
        <is>
          <t>Small to medium flatfishes (&lt;90 cm)</t>
        </is>
      </c>
      <c r="D94" t="inlineStr">
        <is>
          <t>Flatfishes</t>
        </is>
      </c>
      <c r="E94" s="7" t="inlineStr">
        <is>
          <t>Flatfish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72493.292</v>
      </c>
      <c r="K94" t="n">
        <v>0.0477</v>
      </c>
      <c r="L9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95">
      <c r="A95" t="inlineStr">
        <is>
          <t>Leiognathus</t>
        </is>
      </c>
      <c r="B95" t="inlineStr">
        <is>
          <t>Ponyfishes</t>
        </is>
      </c>
      <c r="C95" t="inlineStr">
        <is>
          <t>Small benthopelagics (&lt;30 cm)</t>
        </is>
      </c>
      <c r="D95" t="inlineStr">
        <is>
          <t>Perch-likes</t>
        </is>
      </c>
      <c r="E95" s="7" t="inlineStr">
        <is>
          <t>Ponyfishes</t>
        </is>
      </c>
      <c r="F95" t="inlineStr"/>
      <c r="G95" t="inlineStr"/>
      <c r="H95" t="inlineStr">
        <is>
          <t>high</t>
        </is>
      </c>
      <c r="I95" t="inlineStr">
        <is>
          <t>explicit_member</t>
        </is>
      </c>
      <c r="J95" t="n">
        <v>71930.492</v>
      </c>
      <c r="K95" t="n">
        <v>0.0473</v>
      </c>
      <c r="L9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96">
      <c r="A96" t="inlineStr">
        <is>
          <t>Tetraodontidae</t>
        </is>
      </c>
      <c r="B96" t="inlineStr">
        <is>
          <t>Puffers, tobies</t>
        </is>
      </c>
      <c r="C96" t="inlineStr">
        <is>
          <t>Large reef assoc. fish (&gt;=90 cm)</t>
        </is>
      </c>
      <c r="D96" t="inlineStr">
        <is>
          <t>Other fishes &amp; inverts</t>
        </is>
      </c>
      <c r="E96" s="8" t="inlineStr">
        <is>
          <t>Med.dem.benth.</t>
        </is>
      </c>
      <c r="F96" t="inlineStr"/>
      <c r="G96" t="inlineStr"/>
      <c r="H96" t="inlineStr">
        <is>
          <t>low</t>
        </is>
      </c>
      <c r="I96" t="inlineStr">
        <is>
          <t>analogue</t>
        </is>
      </c>
      <c r="J96" t="n">
        <v>71255.164</v>
      </c>
      <c r="K96" t="n">
        <v>0.0469</v>
      </c>
      <c r="L96" s="6" t="inlineStr">
        <is>
          <t>Pufferfishes predominantly crush benthic invertebrates and fit the medium demersal benthivore pool; provisional ecological analogue because p.130 does not explicitly list this taxon.</t>
        </is>
      </c>
    </row>
    <row r="97">
      <c r="A97" t="inlineStr">
        <is>
          <t>Seriolina nigrofasciata</t>
        </is>
      </c>
      <c r="B97" t="inlineStr">
        <is>
          <t>Blackbanded trevally</t>
        </is>
      </c>
      <c r="C97" t="inlineStr">
        <is>
          <t>Medium reef assoc. fish (30 - 89 cm)</t>
        </is>
      </c>
      <c r="D97" t="inlineStr">
        <is>
          <t>Perch-likes</t>
        </is>
      </c>
      <c r="E97" s="5" t="inlineStr">
        <is>
          <t>Lg. piscivores | Juv.Lg.Pisciv.</t>
        </is>
      </c>
      <c r="F97" t="inlineStr">
        <is>
          <t>1.000 | 0.000</t>
        </is>
      </c>
      <c r="G97" t="inlineStr">
        <is>
          <t>model_catch</t>
        </is>
      </c>
      <c r="H97" t="inlineStr">
        <is>
          <t>medium</t>
        </is>
      </c>
      <c r="I97" t="inlineStr">
        <is>
          <t>composite_split</t>
        </is>
      </c>
      <c r="J97" t="n">
        <v>70747.88</v>
      </c>
      <c r="K97" t="n">
        <v>0.0466</v>
      </c>
      <c r="L97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98">
      <c r="A98" t="inlineStr">
        <is>
          <t>Miscellaneous aquatic invertebrates</t>
        </is>
      </c>
      <c r="B98" t="inlineStr">
        <is>
          <t>Aquatic invertebrates</t>
        </is>
      </c>
      <c r="C98" t="inlineStr">
        <is>
          <t>Other demersal invertebrates</t>
        </is>
      </c>
      <c r="D98" t="inlineStr">
        <is>
          <t>Other fishes &amp; inverts</t>
        </is>
      </c>
      <c r="E98" s="5" t="inlineStr">
        <is>
          <t>Benthos</t>
        </is>
      </c>
      <c r="F98" t="inlineStr"/>
      <c r="G98" t="inlineStr"/>
      <c r="H98" t="inlineStr">
        <is>
          <t>medium</t>
        </is>
      </c>
      <c r="I98" t="inlineStr">
        <is>
          <t>habitat_size_guild</t>
        </is>
      </c>
      <c r="J98" t="n">
        <v>66279.977</v>
      </c>
      <c r="K98" t="n">
        <v>0.0436</v>
      </c>
      <c r="L98" s="6" t="inlineStr">
        <is>
          <t>Generic unidentified aquatic invertebrate landings; matches Benthos's role as the model's residual benthic-invertebrate compartment. Reviewed against the Ecobase group name and diet; the original paper p.130 lists important components but does not settle this taxon.</t>
        </is>
      </c>
    </row>
    <row r="99">
      <c r="A99" t="inlineStr">
        <is>
          <t>Parapenaeopsis</t>
        </is>
      </c>
      <c r="B99" t="inlineStr">
        <is>
          <t>Leafy-legged shrimps</t>
        </is>
      </c>
      <c r="C99" t="inlineStr">
        <is>
          <t>Shrimps</t>
        </is>
      </c>
      <c r="D99" t="inlineStr">
        <is>
          <t>Crustaceans</t>
        </is>
      </c>
      <c r="E99" s="7" t="inlineStr">
        <is>
          <t>Shrimps</t>
        </is>
      </c>
      <c r="F99" t="inlineStr"/>
      <c r="G99" t="inlineStr"/>
      <c r="H99" t="inlineStr">
        <is>
          <t>high</t>
        </is>
      </c>
      <c r="I99" t="inlineStr">
        <is>
          <t>taxonomic_containment</t>
        </is>
      </c>
      <c r="J99" t="n">
        <v>62355.172</v>
      </c>
      <c r="K99" t="n">
        <v>0.041</v>
      </c>
      <c r="L99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00">
      <c r="A100" t="inlineStr">
        <is>
          <t>Lutjanus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s="5" t="inlineStr">
        <is>
          <t>Grouper/snapper | Juv. groupers</t>
        </is>
      </c>
      <c r="F100" t="inlineStr">
        <is>
          <t>1.000 | 0.000</t>
        </is>
      </c>
      <c r="G100" t="inlineStr">
        <is>
          <t>model_catch</t>
        </is>
      </c>
      <c r="H100" t="inlineStr">
        <is>
          <t>medium</t>
        </is>
      </c>
      <c r="I100" t="inlineStr">
        <is>
          <t>composite_split</t>
        </is>
      </c>
      <c r="J100" t="n">
        <v>60526.458</v>
      </c>
      <c r="K100" t="n">
        <v>0.0398</v>
      </c>
      <c r="L10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s="7" t="inlineStr">
        <is>
          <t>Cephalopods</t>
        </is>
      </c>
      <c r="F101" t="inlineStr"/>
      <c r="G101" t="inlineStr"/>
      <c r="H101" t="inlineStr">
        <is>
          <t>high</t>
        </is>
      </c>
      <c r="I101" t="inlineStr">
        <is>
          <t>taxonomic_containment</t>
        </is>
      </c>
      <c r="J101" t="n">
        <v>60321.072</v>
      </c>
      <c r="K101" t="n">
        <v>0.0397</v>
      </c>
      <c r="L101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102">
      <c r="A102" t="inlineStr">
        <is>
          <t>Pristipomoides</t>
        </is>
      </c>
      <c r="B102" t="inlineStr">
        <is>
          <t>Jobfishes</t>
        </is>
      </c>
      <c r="C102" t="inlineStr">
        <is>
          <t>Medium demersals (30 - 89 cm)</t>
        </is>
      </c>
      <c r="D102" t="inlineStr">
        <is>
          <t>Perch-likes</t>
        </is>
      </c>
      <c r="E102" s="5" t="inlineStr">
        <is>
          <t>Grouper/snapper | Juv. groupers</t>
        </is>
      </c>
      <c r="F102" t="inlineStr">
        <is>
          <t>1.000 | 0.000</t>
        </is>
      </c>
      <c r="G102" t="inlineStr">
        <is>
          <t>model_catch</t>
        </is>
      </c>
      <c r="H102" t="inlineStr">
        <is>
          <t>medium</t>
        </is>
      </c>
      <c r="I102" t="inlineStr">
        <is>
          <t>composite_split</t>
        </is>
      </c>
      <c r="J102" t="n">
        <v>58553.784</v>
      </c>
      <c r="K102" t="n">
        <v>0.0385</v>
      </c>
      <c r="L102" s="6" t="inlineStr">
        <is>
          <t>Source p.130 explicitly includes juvenile grouper/snappers; the shortened Juv. groupers JSON label must not omit juvenile snappers.</t>
        </is>
      </c>
    </row>
    <row r="103">
      <c r="A103" t="inlineStr">
        <is>
          <t>Lutjanus quinquelineatus</t>
        </is>
      </c>
      <c r="B103" t="inlineStr">
        <is>
          <t>Five-lined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s="5" t="inlineStr">
        <is>
          <t>Grouper/snapper | Juv. groupers</t>
        </is>
      </c>
      <c r="F103" t="inlineStr">
        <is>
          <t>1.000 | 0.000</t>
        </is>
      </c>
      <c r="G103" t="inlineStr">
        <is>
          <t>model_catch</t>
        </is>
      </c>
      <c r="H103" t="inlineStr">
        <is>
          <t>medium</t>
        </is>
      </c>
      <c r="I103" t="inlineStr">
        <is>
          <t>composite_split</t>
        </is>
      </c>
      <c r="J103" t="n">
        <v>56414.901</v>
      </c>
      <c r="K103" t="n">
        <v>0.0371</v>
      </c>
      <c r="L10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04">
      <c r="A104" t="inlineStr">
        <is>
          <t>Siganus</t>
        </is>
      </c>
      <c r="B104" t="inlineStr">
        <is>
          <t>Spinefoots</t>
        </is>
      </c>
      <c r="C104" t="inlineStr">
        <is>
          <t>Medium reef assoc. fish (30 - 89 cm)</t>
        </is>
      </c>
      <c r="D104" t="inlineStr">
        <is>
          <t>Perch-likes</t>
        </is>
      </c>
      <c r="E104" s="8" t="inlineStr">
        <is>
          <t>O.fish</t>
        </is>
      </c>
      <c r="F104" t="inlineStr"/>
      <c r="G104" t="inlineStr"/>
      <c r="H104" t="inlineStr">
        <is>
          <t>low</t>
        </is>
      </c>
      <c r="I104" t="inlineStr">
        <is>
          <t>analogue</t>
        </is>
      </c>
      <c r="J104" t="n">
        <v>55887.884</v>
      </c>
      <c r="K104" t="n">
        <v>0.0368</v>
      </c>
      <c r="L104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05">
      <c r="A105" t="inlineStr">
        <is>
          <t>Nemipterus japonicus</t>
        </is>
      </c>
      <c r="B105" t="inlineStr">
        <is>
          <t>Japanese threadfin bream</t>
        </is>
      </c>
      <c r="C105" t="inlineStr">
        <is>
          <t>Small demersals (&lt;30 cm)</t>
        </is>
      </c>
      <c r="D105" t="inlineStr">
        <is>
          <t>Perch-likes</t>
        </is>
      </c>
      <c r="E105" s="7" t="inlineStr">
        <is>
          <t>Sm.dem.benth.</t>
        </is>
      </c>
      <c r="F105" t="inlineStr"/>
      <c r="G105" t="inlineStr"/>
      <c r="H105" t="inlineStr">
        <is>
          <t>high</t>
        </is>
      </c>
      <c r="I105" t="inlineStr">
        <is>
          <t>taxonomic_containment</t>
        </is>
      </c>
      <c r="J105" t="n">
        <v>54847.974</v>
      </c>
      <c r="K105" t="n">
        <v>0.0361</v>
      </c>
      <c r="L10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06">
      <c r="A106" t="inlineStr">
        <is>
          <t>Mugil</t>
        </is>
      </c>
      <c r="B106" t="inlineStr">
        <is>
          <t>Grey mullets</t>
        </is>
      </c>
      <c r="C106" t="inlineStr">
        <is>
          <t>Medium demersals (30 - 89 cm)</t>
        </is>
      </c>
      <c r="D106" t="inlineStr">
        <is>
          <t>Perch-likes</t>
        </is>
      </c>
      <c r="E106" s="8" t="inlineStr">
        <is>
          <t>O.fish</t>
        </is>
      </c>
      <c r="F106" t="inlineStr"/>
      <c r="G106" t="inlineStr"/>
      <c r="H106" t="inlineStr">
        <is>
          <t>low</t>
        </is>
      </c>
      <c r="I106" t="inlineStr">
        <is>
          <t>analogue</t>
        </is>
      </c>
      <c r="J106" t="n">
        <v>54179.339</v>
      </c>
      <c r="K106" t="n">
        <v>0.0357</v>
      </c>
      <c r="L106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07">
      <c r="A107" t="inlineStr">
        <is>
          <t>Ilisha elongata</t>
        </is>
      </c>
      <c r="B107" t="inlineStr">
        <is>
          <t>Elongate ilisha</t>
        </is>
      </c>
      <c r="C107" t="inlineStr">
        <is>
          <t>Medium pelagics (30 - 89 cm)</t>
        </is>
      </c>
      <c r="D107" t="inlineStr">
        <is>
          <t>Herring-likes</t>
        </is>
      </c>
      <c r="E107" s="5" t="inlineStr">
        <is>
          <t>Sm. pelagics</t>
        </is>
      </c>
      <c r="F107" t="inlineStr"/>
      <c r="G107" t="inlineStr"/>
      <c r="H107" t="inlineStr">
        <is>
          <t>medium</t>
        </is>
      </c>
      <c r="I107" t="inlineStr">
        <is>
          <t>habitat_size_guild</t>
        </is>
      </c>
      <c r="J107" t="n">
        <v>54146.702</v>
      </c>
      <c r="K107" t="n">
        <v>0.0356</v>
      </c>
      <c r="L107" s="6" t="inlineStr">
        <is>
          <t>Pristigasteridae (herring-like) schooling pelagic; closest ecological match despite the medium-size SAU tag, as no separate medium-pelagic compartment exists. Reviewed against the Ecobase group name and diet; the original paper p.130 lists important components but does not settle this taxon.</t>
        </is>
      </c>
    </row>
    <row r="108">
      <c r="A108" t="inlineStr">
        <is>
          <t>Carangoides</t>
        </is>
      </c>
      <c r="B108" t="inlineStr">
        <is>
          <t>Trevallies</t>
        </is>
      </c>
      <c r="C108" t="inlineStr">
        <is>
          <t>Medium reef assoc. fish (30 - 89 cm)</t>
        </is>
      </c>
      <c r="D108" t="inlineStr">
        <is>
          <t>Perch-likes</t>
        </is>
      </c>
      <c r="E108" s="5" t="inlineStr">
        <is>
          <t>Lg. piscivores | Juv.Lg.Pisciv.</t>
        </is>
      </c>
      <c r="F108" t="inlineStr">
        <is>
          <t>1.000 | 0.000</t>
        </is>
      </c>
      <c r="G108" t="inlineStr">
        <is>
          <t>model_catch</t>
        </is>
      </c>
      <c r="H108" t="inlineStr">
        <is>
          <t>medium</t>
        </is>
      </c>
      <c r="I108" t="inlineStr">
        <is>
          <t>composite_split</t>
        </is>
      </c>
      <c r="J108" t="n">
        <v>49887.076</v>
      </c>
      <c r="K108" t="n">
        <v>0.0328</v>
      </c>
      <c r="L108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109">
      <c r="A109" t="inlineStr">
        <is>
          <t>Tegillarca granosa</t>
        </is>
      </c>
      <c r="B109" t="inlineStr">
        <is>
          <t>Granular ark</t>
        </is>
      </c>
      <c r="C109" t="inlineStr">
        <is>
          <t>Other demersal invertebrates</t>
        </is>
      </c>
      <c r="D109" t="inlineStr">
        <is>
          <t>Molluscs</t>
        </is>
      </c>
      <c r="E109" s="7" t="inlineStr">
        <is>
          <t>Molluscs</t>
        </is>
      </c>
      <c r="F109" t="inlineStr"/>
      <c r="G109" t="inlineStr"/>
      <c r="H109" t="inlineStr">
        <is>
          <t>high</t>
        </is>
      </c>
      <c r="I109" t="inlineStr">
        <is>
          <t>taxonomic_containment</t>
        </is>
      </c>
      <c r="J109" t="n">
        <v>49447.542</v>
      </c>
      <c r="K109" t="n">
        <v>0.0325</v>
      </c>
      <c r="L109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110">
      <c r="A110" t="inlineStr">
        <is>
          <t>Acanthurus</t>
        </is>
      </c>
      <c r="B110" t="inlineStr">
        <is>
          <t>Surgeonfishes</t>
        </is>
      </c>
      <c r="C110" t="inlineStr">
        <is>
          <t>Small reef assoc. fish (&lt;30 cm)</t>
        </is>
      </c>
      <c r="D110" t="inlineStr">
        <is>
          <t>Perch-likes</t>
        </is>
      </c>
      <c r="E110" s="8" t="inlineStr">
        <is>
          <t>O.fish</t>
        </is>
      </c>
      <c r="F110" t="inlineStr"/>
      <c r="G110" t="inlineStr"/>
      <c r="H110" t="inlineStr">
        <is>
          <t>low</t>
        </is>
      </c>
      <c r="I110" t="inlineStr">
        <is>
          <t>analogue</t>
        </is>
      </c>
      <c r="J110" t="n">
        <v>45887.117</v>
      </c>
      <c r="K110" t="n">
        <v>0.0302</v>
      </c>
      <c r="L110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11">
      <c r="A111" t="inlineStr">
        <is>
          <t>Mierspenaeopsis sculptilis</t>
        </is>
      </c>
      <c r="B111" t="inlineStr">
        <is>
          <t>Rainbow shrimp</t>
        </is>
      </c>
      <c r="C111" t="inlineStr">
        <is>
          <t>Shrimps</t>
        </is>
      </c>
      <c r="D111" t="inlineStr">
        <is>
          <t>Crustaceans</t>
        </is>
      </c>
      <c r="E111" s="7" t="inlineStr">
        <is>
          <t>Shrimps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44488.748</v>
      </c>
      <c r="K111" t="n">
        <v>0.0293</v>
      </c>
      <c r="L111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12">
      <c r="A112" t="inlineStr">
        <is>
          <t>Ozius guttatus</t>
        </is>
      </c>
      <c r="B112" t="inlineStr">
        <is>
          <t>Spottedbelly rock crab</t>
        </is>
      </c>
      <c r="C112" t="inlineStr">
        <is>
          <t>Lobsters, crabs</t>
        </is>
      </c>
      <c r="D112" t="inlineStr">
        <is>
          <t>Crustaceans</t>
        </is>
      </c>
      <c r="E112" s="7" t="inlineStr">
        <is>
          <t>Crab, lobster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42452.42</v>
      </c>
      <c r="K112" t="n">
        <v>0.0279</v>
      </c>
      <c r="L112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13">
      <c r="A113" t="inlineStr">
        <is>
          <t>Marine groundfishes not identified</t>
        </is>
      </c>
      <c r="B113" t="inlineStr">
        <is>
          <t>Groundfishes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s="8" t="inlineStr">
        <is>
          <t>Med.dem.benth. | Med.dem.pisc. | Sm.dem.benth. | Sm.dem.pisc. | O.fish</t>
        </is>
      </c>
      <c r="F113" t="inlineStr">
        <is>
          <t>0.108 | 0.691 | 0.075 | 0.090 | 0.036</t>
        </is>
      </c>
      <c r="G113" t="inlineStr">
        <is>
          <t>catch_composition</t>
        </is>
      </c>
      <c r="H113" t="inlineStr">
        <is>
          <t>low</t>
        </is>
      </c>
      <c r="I113" t="inlineStr">
        <is>
          <t>composite_split</t>
        </is>
      </c>
      <c r="J113" t="n">
        <v>42037.471</v>
      </c>
      <c r="K113" t="n">
        <v>0.0277</v>
      </c>
      <c r="L113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s="7" t="inlineStr">
        <is>
          <t>Flatfish</t>
        </is>
      </c>
      <c r="F114" t="inlineStr"/>
      <c r="G114" t="inlineStr"/>
      <c r="H114" t="inlineStr">
        <is>
          <t>high</t>
        </is>
      </c>
      <c r="I114" t="inlineStr">
        <is>
          <t>explicit_member</t>
        </is>
      </c>
      <c r="J114" t="n">
        <v>41840.193</v>
      </c>
      <c r="K114" t="n">
        <v>0.0275</v>
      </c>
      <c r="L11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15">
      <c r="A115" t="inlineStr">
        <is>
          <t>Thunnus albacares</t>
        </is>
      </c>
      <c r="B115" t="inlineStr">
        <is>
          <t>Yellowfin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s="5" t="inlineStr">
        <is>
          <t>Tuna</t>
        </is>
      </c>
      <c r="F115" t="inlineStr"/>
      <c r="G115" t="inlineStr"/>
      <c r="H115" t="inlineStr">
        <is>
          <t>medium</t>
        </is>
      </c>
      <c r="I115" t="inlineStr">
        <is>
          <t>habitat_size_guild</t>
        </is>
      </c>
      <c r="J115" t="n">
        <v>40244.34</v>
      </c>
      <c r="K115" t="n">
        <v>0.0265</v>
      </c>
      <c r="L115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</row>
    <row r="116">
      <c r="A116" t="inlineStr">
        <is>
          <t>Rachycentron canadum</t>
        </is>
      </c>
      <c r="B116" t="inlineStr">
        <is>
          <t>Cobia</t>
        </is>
      </c>
      <c r="C116" t="inlineStr">
        <is>
          <t>Large pelagics (&gt;=90 cm)</t>
        </is>
      </c>
      <c r="D116" t="inlineStr">
        <is>
          <t>Perch-likes</t>
        </is>
      </c>
      <c r="E116" s="5" t="inlineStr">
        <is>
          <t>Lg. piscivores | Juv.Lg.Pisciv.</t>
        </is>
      </c>
      <c r="F116" t="inlineStr">
        <is>
          <t>1.000 | 0.000</t>
        </is>
      </c>
      <c r="G116" t="inlineStr">
        <is>
          <t>model_catch</t>
        </is>
      </c>
      <c r="H116" t="inlineStr">
        <is>
          <t>medium</t>
        </is>
      </c>
      <c r="I116" t="inlineStr">
        <is>
          <t>composite_split</t>
        </is>
      </c>
      <c r="J116" t="n">
        <v>39895.876</v>
      </c>
      <c r="K116" t="n">
        <v>0.0263</v>
      </c>
      <c r="L116" s="6" t="inlineStr">
        <is>
          <t>Cobia is a large, fast-swimming piscivorous predator with no close taxonomic relative group in this model. Reviewed against the Ecobase group name and diet; the original paper p.130 lists important components but does not settle this taxon. Catch has no age split; model catch assigns no catch to the juvenile pool.</t>
        </is>
      </c>
    </row>
    <row r="117">
      <c r="A117" t="inlineStr">
        <is>
          <t>Penaeus japonicus</t>
        </is>
      </c>
      <c r="B117" t="inlineStr">
        <is>
          <t>Kuruma prawn</t>
        </is>
      </c>
      <c r="C117" t="inlineStr">
        <is>
          <t>Shrimps</t>
        </is>
      </c>
      <c r="D117" t="inlineStr">
        <is>
          <t>Crustaceans</t>
        </is>
      </c>
      <c r="E117" s="7" t="inlineStr">
        <is>
          <t>Shrimps</t>
        </is>
      </c>
      <c r="F117" t="inlineStr"/>
      <c r="G117" t="inlineStr"/>
      <c r="H117" t="inlineStr">
        <is>
          <t>high</t>
        </is>
      </c>
      <c r="I117" t="inlineStr">
        <is>
          <t>taxonomic_containment</t>
        </is>
      </c>
      <c r="J117" t="n">
        <v>39415.416</v>
      </c>
      <c r="K117" t="n">
        <v>0.0259</v>
      </c>
      <c r="L11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18">
      <c r="A118" t="inlineStr">
        <is>
          <t>Melicertus canaliculatus</t>
        </is>
      </c>
      <c r="B118" t="inlineStr">
        <is>
          <t>Witch prawn</t>
        </is>
      </c>
      <c r="C118" t="inlineStr">
        <is>
          <t>Shrimps</t>
        </is>
      </c>
      <c r="D118" t="inlineStr">
        <is>
          <t>Crustaceans</t>
        </is>
      </c>
      <c r="E118" s="7" t="inlineStr">
        <is>
          <t>Shrimps</t>
        </is>
      </c>
      <c r="F118" t="inlineStr"/>
      <c r="G118" t="inlineStr"/>
      <c r="H118" t="inlineStr">
        <is>
          <t>high</t>
        </is>
      </c>
      <c r="I118" t="inlineStr">
        <is>
          <t>taxonomic_containment</t>
        </is>
      </c>
      <c r="J118" t="n">
        <v>39399.968</v>
      </c>
      <c r="K118" t="n">
        <v>0.0259</v>
      </c>
      <c r="L118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19">
      <c r="A119" t="inlineStr">
        <is>
          <t>Plectorhinchus</t>
        </is>
      </c>
      <c r="B119" t="inlineStr">
        <is>
          <t>Sweetlips</t>
        </is>
      </c>
      <c r="C119" t="inlineStr">
        <is>
          <t>Medium reef assoc. fish (30 - 89 cm)</t>
        </is>
      </c>
      <c r="D119" t="inlineStr">
        <is>
          <t>Perch-likes</t>
        </is>
      </c>
      <c r="E119" s="7" t="inlineStr">
        <is>
          <t>Med.dem.benth.</t>
        </is>
      </c>
      <c r="F119" t="inlineStr"/>
      <c r="G119" t="inlineStr"/>
      <c r="H119" t="inlineStr">
        <is>
          <t>high</t>
        </is>
      </c>
      <c r="I119" t="inlineStr">
        <is>
          <t>explicit_member</t>
        </is>
      </c>
      <c r="J119" t="n">
        <v>38254.696</v>
      </c>
      <c r="K119" t="n">
        <v>0.0252</v>
      </c>
      <c r="L11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20">
      <c r="A120" t="inlineStr">
        <is>
          <t>Pampus argenteus</t>
        </is>
      </c>
      <c r="B120" t="inlineStr">
        <is>
          <t>Silver pomfret</t>
        </is>
      </c>
      <c r="C120" t="inlineStr">
        <is>
          <t>Medium benthopelagics (30 - 89 cm)</t>
        </is>
      </c>
      <c r="D120" t="inlineStr">
        <is>
          <t>Perch-likes</t>
        </is>
      </c>
      <c r="E120" s="7" t="inlineStr">
        <is>
          <t>Med.dem.benth.</t>
        </is>
      </c>
      <c r="F120" t="inlineStr"/>
      <c r="G120" t="inlineStr"/>
      <c r="H120" t="inlineStr">
        <is>
          <t>high</t>
        </is>
      </c>
      <c r="I120" t="inlineStr">
        <is>
          <t>taxonomic_containment</t>
        </is>
      </c>
      <c r="J120" t="n">
        <v>35650.312</v>
      </c>
      <c r="K120" t="n">
        <v>0.0235</v>
      </c>
      <c r="L12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21">
      <c r="A121" t="inlineStr">
        <is>
          <t>Muraenesox</t>
        </is>
      </c>
      <c r="B121" t="inlineStr">
        <is>
          <t>Congers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s="5" t="inlineStr">
        <is>
          <t>Juv.Lg.Pisciv. | Lg. piscivores</t>
        </is>
      </c>
      <c r="F121" t="inlineStr">
        <is>
          <t>0.000 | 1.000</t>
        </is>
      </c>
      <c r="G121" t="inlineStr">
        <is>
          <t>model_catch</t>
        </is>
      </c>
      <c r="H121" t="inlineStr">
        <is>
          <t>medium</t>
        </is>
      </c>
      <c r="I121" t="inlineStr">
        <is>
          <t>composite_split</t>
        </is>
      </c>
      <c r="J121" t="n">
        <v>34677.494</v>
      </c>
      <c r="K121" t="n">
        <v>0.0228</v>
      </c>
      <c r="L12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22">
      <c r="A122" t="inlineStr">
        <is>
          <t>Scomberomorus commerson</t>
        </is>
      </c>
      <c r="B122" t="inlineStr">
        <is>
          <t>Narrow-barred Spanish mackerel</t>
        </is>
      </c>
      <c r="C122" t="inlineStr">
        <is>
          <t>Large pelagics (&gt;=90 cm)</t>
        </is>
      </c>
      <c r="D122" t="inlineStr">
        <is>
          <t>Perch-likes</t>
        </is>
      </c>
      <c r="E122" s="7" t="inlineStr">
        <is>
          <t>Scomberomorus</t>
        </is>
      </c>
      <c r="F122" t="inlineStr"/>
      <c r="G122" t="inlineStr"/>
      <c r="H122" t="inlineStr">
        <is>
          <t>high</t>
        </is>
      </c>
      <c r="I122" t="inlineStr">
        <is>
          <t>taxonomic_containment</t>
        </is>
      </c>
      <c r="J122" t="n">
        <v>34093.475</v>
      </c>
      <c r="K122" t="n">
        <v>0.0224</v>
      </c>
      <c r="L12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23">
      <c r="A123" t="inlineStr">
        <is>
          <t>Clupeiformes</t>
        </is>
      </c>
      <c r="B123" t="inlineStr">
        <is>
          <t>Herrings, shads, anchovies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s="5" t="inlineStr">
        <is>
          <t>Sm. pelagics | Lg. piscivores | Juv.Lg.Pisciv.</t>
        </is>
      </c>
      <c r="F123" t="inlineStr">
        <is>
          <t>0.844 | 0.156 | 0.000</t>
        </is>
      </c>
      <c r="G123" t="inlineStr">
        <is>
          <t>model_catch</t>
        </is>
      </c>
      <c r="H123" t="inlineStr">
        <is>
          <t>medium</t>
        </is>
      </c>
      <c r="I123" t="inlineStr">
        <is>
          <t>composite_split</t>
        </is>
      </c>
      <c r="J123" t="n">
        <v>33184.992</v>
      </c>
      <c r="K123" t="n">
        <v>0.0218</v>
      </c>
      <c r="L123" s="6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</row>
    <row r="124">
      <c r="A124" t="inlineStr">
        <is>
          <t>Sphyraena obtusata</t>
        </is>
      </c>
      <c r="B124" t="inlineStr">
        <is>
          <t>Obtuse barracuda</t>
        </is>
      </c>
      <c r="C124" t="inlineStr">
        <is>
          <t>Medium reef assoc. fish (30 - 89 cm)</t>
        </is>
      </c>
      <c r="D124" t="inlineStr">
        <is>
          <t>Perch-likes</t>
        </is>
      </c>
      <c r="E124" s="5" t="inlineStr">
        <is>
          <t>Juv.Lg.Pisciv. | Lg. piscivores</t>
        </is>
      </c>
      <c r="F124" t="inlineStr">
        <is>
          <t>0.000 | 1.000</t>
        </is>
      </c>
      <c r="G124" t="inlineStr">
        <is>
          <t>model_catch</t>
        </is>
      </c>
      <c r="H124" t="inlineStr">
        <is>
          <t>medium</t>
        </is>
      </c>
      <c r="I124" t="inlineStr">
        <is>
          <t>composite_split</t>
        </is>
      </c>
      <c r="J124" t="n">
        <v>31660.37</v>
      </c>
      <c r="K124" t="n">
        <v>0.0208</v>
      </c>
      <c r="L12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25">
      <c r="A125" t="inlineStr">
        <is>
          <t>Scyris indica</t>
        </is>
      </c>
      <c r="B125" t="inlineStr">
        <is>
          <t>Indian threadfish</t>
        </is>
      </c>
      <c r="C125" t="inlineStr">
        <is>
          <t>Large reef assoc. fish (&gt;=90 cm)</t>
        </is>
      </c>
      <c r="D125" t="inlineStr">
        <is>
          <t>Perch-likes</t>
        </is>
      </c>
      <c r="E125" s="5" t="inlineStr">
        <is>
          <t>Lg. piscivores | Juv.Lg.Pisciv.</t>
        </is>
      </c>
      <c r="F125" t="inlineStr">
        <is>
          <t>1.000 | 0.000</t>
        </is>
      </c>
      <c r="G125" t="inlineStr">
        <is>
          <t>model_catch</t>
        </is>
      </c>
      <c r="H125" t="inlineStr">
        <is>
          <t>medium</t>
        </is>
      </c>
      <c r="I125" t="inlineStr">
        <is>
          <t>composite_split</t>
        </is>
      </c>
      <c r="J125" t="n">
        <v>28427.458</v>
      </c>
      <c r="K125" t="n">
        <v>0.0187</v>
      </c>
      <c r="L125" s="6" t="inlineStr">
        <is>
          <t>Indian threadfish, a large-bodied predatory carangid (SAU: large reef-associated); treated as a large piscivore rather than forced into the small-bodied Scad group. Reviewed against the Ecobase group name and diet; the original paper p.130 lists important components but does not settle this taxon. Catch has no age split; model catch assigns no catch to the juvenile pool.</t>
        </is>
      </c>
    </row>
    <row r="126">
      <c r="A126" t="inlineStr">
        <is>
          <t>Anodontostoma chacunda</t>
        </is>
      </c>
      <c r="B126" t="inlineStr">
        <is>
          <t>Chacunda gizzard shad</t>
        </is>
      </c>
      <c r="C126" t="inlineStr">
        <is>
          <t>Small pelagics (&lt;30 cm)</t>
        </is>
      </c>
      <c r="D126" t="inlineStr">
        <is>
          <t>Herring-likes</t>
        </is>
      </c>
      <c r="E126" s="5" t="inlineStr">
        <is>
          <t>Sm. pelagics</t>
        </is>
      </c>
      <c r="F126" t="inlineStr"/>
      <c r="G126" t="inlineStr"/>
      <c r="H126" t="inlineStr">
        <is>
          <t>medium</t>
        </is>
      </c>
      <c r="I126" t="inlineStr">
        <is>
          <t>habitat_size_guild</t>
        </is>
      </c>
      <c r="J126" t="n">
        <v>27953.747</v>
      </c>
      <c r="K126" t="n">
        <v>0.0184</v>
      </c>
      <c r="L126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27">
      <c r="A127" t="inlineStr">
        <is>
          <t>Auxis thazard</t>
        </is>
      </c>
      <c r="B127" t="inlineStr">
        <is>
          <t>Frigate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s="7" t="inlineStr">
        <is>
          <t>Tuna</t>
        </is>
      </c>
      <c r="F127" t="inlineStr"/>
      <c r="G127" t="inlineStr"/>
      <c r="H127" t="inlineStr">
        <is>
          <t>high</t>
        </is>
      </c>
      <c r="I127" t="inlineStr">
        <is>
          <t>explicit_member</t>
        </is>
      </c>
      <c r="J127" t="n">
        <v>27601.575</v>
      </c>
      <c r="K127" t="n">
        <v>0.0182</v>
      </c>
      <c r="L12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28">
      <c r="A128" t="inlineStr">
        <is>
          <t>Malacostraca</t>
        </is>
      </c>
      <c r="B128" t="inlineStr">
        <is>
          <t>Lobsters, crabs, shrimps, krill</t>
        </is>
      </c>
      <c r="C128" t="inlineStr">
        <is>
          <t>Shrimps</t>
        </is>
      </c>
      <c r="D128" t="inlineStr">
        <is>
          <t>Crustaceans</t>
        </is>
      </c>
      <c r="E128" s="8" t="inlineStr">
        <is>
          <t>Shrimps | Crab, lobster</t>
        </is>
      </c>
      <c r="F128" t="inlineStr">
        <is>
          <t>0.773 | 0.227</t>
        </is>
      </c>
      <c r="G128" t="inlineStr">
        <is>
          <t>catch_composition</t>
        </is>
      </c>
      <c r="H128" t="inlineStr">
        <is>
          <t>low</t>
        </is>
      </c>
      <c r="I128" t="inlineStr">
        <is>
          <t>composite_split</t>
        </is>
      </c>
      <c r="J128" t="n">
        <v>25751.203</v>
      </c>
      <c r="K128" t="n">
        <v>0.0169</v>
      </c>
      <c r="L128" s="6" t="inlineStr">
        <is>
          <t>Malacostraca includes both modeled shrimp and crab/lobster decapods; the broad catch class does not identify composition.</t>
        </is>
      </c>
    </row>
    <row r="129">
      <c r="A129" t="inlineStr">
        <is>
          <t>Lutjanus johnii</t>
        </is>
      </c>
      <c r="B129" t="inlineStr">
        <is>
          <t>John's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s="5" t="inlineStr">
        <is>
          <t>Grouper/snapper | Juv. groupers</t>
        </is>
      </c>
      <c r="F129" t="inlineStr">
        <is>
          <t>1.000 | 0.000</t>
        </is>
      </c>
      <c r="G129" t="inlineStr">
        <is>
          <t>model_catch</t>
        </is>
      </c>
      <c r="H129" t="inlineStr">
        <is>
          <t>medium</t>
        </is>
      </c>
      <c r="I129" t="inlineStr">
        <is>
          <t>composite_split</t>
        </is>
      </c>
      <c r="J129" t="n">
        <v>24155.419</v>
      </c>
      <c r="K129" t="n">
        <v>0.0159</v>
      </c>
      <c r="L12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30">
      <c r="A130" t="inlineStr">
        <is>
          <t>Gerreidae</t>
        </is>
      </c>
      <c r="B130" t="inlineStr">
        <is>
          <t>Mojarras, silverbellies</t>
        </is>
      </c>
      <c r="C130" t="inlineStr">
        <is>
          <t>Small benthopelagics (&lt;30 cm)</t>
        </is>
      </c>
      <c r="D130" t="inlineStr">
        <is>
          <t>Perch-likes</t>
        </is>
      </c>
      <c r="E130" s="7" t="inlineStr">
        <is>
          <t>Sm.dem.benth.</t>
        </is>
      </c>
      <c r="F130" t="inlineStr"/>
      <c r="G130" t="inlineStr"/>
      <c r="H130" t="inlineStr">
        <is>
          <t>high</t>
        </is>
      </c>
      <c r="I130" t="inlineStr">
        <is>
          <t>taxonomic_containment</t>
        </is>
      </c>
      <c r="J130" t="n">
        <v>21899.947</v>
      </c>
      <c r="K130" t="n">
        <v>0.0144</v>
      </c>
      <c r="L13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31">
      <c r="A131" t="inlineStr">
        <is>
          <t>Caesionidae</t>
        </is>
      </c>
      <c r="B131" t="inlineStr">
        <is>
          <t>Fusiliers</t>
        </is>
      </c>
      <c r="C131" t="inlineStr">
        <is>
          <t>Medium reef assoc. fish (30 - 89 cm)</t>
        </is>
      </c>
      <c r="D131" t="inlineStr">
        <is>
          <t>Perch-likes</t>
        </is>
      </c>
      <c r="E131" s="5" t="inlineStr">
        <is>
          <t>Sm. pelagics</t>
        </is>
      </c>
      <c r="F131" t="inlineStr"/>
      <c r="G131" t="inlineStr"/>
      <c r="H131" t="inlineStr">
        <is>
          <t>medium</t>
        </is>
      </c>
      <c r="I131" t="inlineStr">
        <is>
          <t>habitat_size_guild</t>
        </is>
      </c>
      <c r="J131" t="n">
        <v>21657.673</v>
      </c>
      <c r="K131" t="n">
        <v>0.0143</v>
      </c>
      <c r="L131" s="6" t="inlineStr">
        <is>
          <t>Fusiliers feed in the water column primarily on zooplankton, consistent with the small-pelagic diet (90% zooplankton, 10% phytoplankton); O.fish corresponds to the source trash-fish pool. Inferred guild placement.</t>
        </is>
      </c>
    </row>
    <row r="132">
      <c r="A132" t="inlineStr">
        <is>
          <t>Charybdis</t>
        </is>
      </c>
      <c r="B132" t="inlineStr">
        <is>
          <t>Whirlpool swimming crabs</t>
        </is>
      </c>
      <c r="C132" t="inlineStr">
        <is>
          <t>Lobsters, crabs</t>
        </is>
      </c>
      <c r="D132" t="inlineStr">
        <is>
          <t>Crustaceans</t>
        </is>
      </c>
      <c r="E132" s="7" t="inlineStr">
        <is>
          <t>Crab, lobster</t>
        </is>
      </c>
      <c r="F132" t="inlineStr"/>
      <c r="G132" t="inlineStr"/>
      <c r="H132" t="inlineStr">
        <is>
          <t>high</t>
        </is>
      </c>
      <c r="I132" t="inlineStr">
        <is>
          <t>taxonomic_containment</t>
        </is>
      </c>
      <c r="J132" t="n">
        <v>21432.07</v>
      </c>
      <c r="K132" t="n">
        <v>0.0141</v>
      </c>
      <c r="L132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33">
      <c r="A133" t="inlineStr">
        <is>
          <t>Scorpaenidae</t>
        </is>
      </c>
      <c r="B133" t="inlineStr">
        <is>
          <t>Scorpionfishes, rockfishes</t>
        </is>
      </c>
      <c r="C133" t="inlineStr">
        <is>
          <t>Large reef assoc. fish (&gt;=90 cm)</t>
        </is>
      </c>
      <c r="D133" t="inlineStr">
        <is>
          <t>Scorpionfishes</t>
        </is>
      </c>
      <c r="E133" s="5" t="inlineStr">
        <is>
          <t>Lg. piscivores | Juv.Lg.Pisciv.</t>
        </is>
      </c>
      <c r="F133" t="inlineStr">
        <is>
          <t>1.000 | 0.000</t>
        </is>
      </c>
      <c r="G133" t="inlineStr">
        <is>
          <t>model_catch</t>
        </is>
      </c>
      <c r="H133" t="inlineStr">
        <is>
          <t>medium</t>
        </is>
      </c>
      <c r="I133" t="inlineStr">
        <is>
          <t>composite_split</t>
        </is>
      </c>
      <c r="J133" t="n">
        <v>21150.242</v>
      </c>
      <c r="K133" t="n">
        <v>0.0139</v>
      </c>
      <c r="L133" s="6" t="inlineStr">
        <is>
          <t>Scorpionfish are large ambush piscivorous predators on fish/crustaceans. Reviewed against the Ecobase group name and diet; the original paper p.130 lists important components but does not settle this taxon. Catch has no age split; model catch assigns no catch to the juvenile pool.</t>
        </is>
      </c>
    </row>
    <row r="134">
      <c r="A134" t="inlineStr">
        <is>
          <t>Podophthalmus vigil</t>
        </is>
      </c>
      <c r="B134" t="inlineStr">
        <is>
          <t>Periscope crab</t>
        </is>
      </c>
      <c r="C134" t="inlineStr">
        <is>
          <t>Lobsters, crabs</t>
        </is>
      </c>
      <c r="D134" t="inlineStr">
        <is>
          <t>Crustaceans</t>
        </is>
      </c>
      <c r="E134" s="7" t="inlineStr">
        <is>
          <t>Crab, lobster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19954.037</v>
      </c>
      <c r="K134" t="n">
        <v>0.0131</v>
      </c>
      <c r="L134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35">
      <c r="A135" t="inlineStr">
        <is>
          <t>Charybdis feriatus</t>
        </is>
      </c>
      <c r="B135" t="inlineStr">
        <is>
          <t>Crucifix crab</t>
        </is>
      </c>
      <c r="C135" t="inlineStr">
        <is>
          <t>Lobsters, crabs</t>
        </is>
      </c>
      <c r="D135" t="inlineStr">
        <is>
          <t>Crustaceans</t>
        </is>
      </c>
      <c r="E135" s="7" t="inlineStr">
        <is>
          <t>Crab, lobster</t>
        </is>
      </c>
      <c r="F135" t="inlineStr"/>
      <c r="G135" t="inlineStr"/>
      <c r="H135" t="inlineStr">
        <is>
          <t>high</t>
        </is>
      </c>
      <c r="I135" t="inlineStr">
        <is>
          <t>taxonomic_containment</t>
        </is>
      </c>
      <c r="J135" t="n">
        <v>19704.797</v>
      </c>
      <c r="K135" t="n">
        <v>0.013</v>
      </c>
      <c r="L135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36">
      <c r="A136" t="inlineStr">
        <is>
          <t>Scomberoides</t>
        </is>
      </c>
      <c r="B136" t="inlineStr">
        <is>
          <t>Queenfishes</t>
        </is>
      </c>
      <c r="C136" t="inlineStr">
        <is>
          <t>Medium pelagics (30 - 89 cm)</t>
        </is>
      </c>
      <c r="D136" t="inlineStr">
        <is>
          <t>Perch-likes</t>
        </is>
      </c>
      <c r="E136" s="5" t="inlineStr">
        <is>
          <t>Lg. piscivores | Juv.Lg.Pisciv.</t>
        </is>
      </c>
      <c r="F136" t="inlineStr">
        <is>
          <t>1.000 | 0.000</t>
        </is>
      </c>
      <c r="G136" t="inlineStr">
        <is>
          <t>model_catch</t>
        </is>
      </c>
      <c r="H136" t="inlineStr">
        <is>
          <t>medium</t>
        </is>
      </c>
      <c r="I136" t="inlineStr">
        <is>
          <t>composite_split</t>
        </is>
      </c>
      <c r="J136" t="n">
        <v>19300.02</v>
      </c>
      <c r="K136" t="n">
        <v>0.0127</v>
      </c>
      <c r="L136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137">
      <c r="A137" t="inlineStr">
        <is>
          <t>Caesio</t>
        </is>
      </c>
      <c r="B137" t="inlineStr">
        <is>
          <t>Caesios</t>
        </is>
      </c>
      <c r="C137" t="inlineStr">
        <is>
          <t>Medium reef assoc. fish (30 - 89 cm)</t>
        </is>
      </c>
      <c r="D137" t="inlineStr">
        <is>
          <t>Perch-likes</t>
        </is>
      </c>
      <c r="E137" s="5" t="inlineStr">
        <is>
          <t>Sm. pelagics</t>
        </is>
      </c>
      <c r="F137" t="inlineStr"/>
      <c r="G137" t="inlineStr"/>
      <c r="H137" t="inlineStr">
        <is>
          <t>medium</t>
        </is>
      </c>
      <c r="I137" t="inlineStr">
        <is>
          <t>habitat_size_guild</t>
        </is>
      </c>
      <c r="J137" t="n">
        <v>19032.931</v>
      </c>
      <c r="K137" t="n">
        <v>0.0125</v>
      </c>
      <c r="L137" s="6" t="inlineStr">
        <is>
          <t>Fusiliers feed in the water column primarily on zooplankton, consistent with the small-pelagic diet (90% zooplankton, 10% phytoplankton); O.fish corresponds to the source trash-fish pool. Inferred guild placement.</t>
        </is>
      </c>
    </row>
    <row r="138">
      <c r="A138" t="inlineStr">
        <is>
          <t>Charybdis anisodon</t>
        </is>
      </c>
      <c r="B138" t="inlineStr">
        <is>
          <t>Twospined arm swimming crab</t>
        </is>
      </c>
      <c r="C138" t="inlineStr">
        <is>
          <t>Lobsters, crabs</t>
        </is>
      </c>
      <c r="D138" t="inlineStr">
        <is>
          <t>Crustaceans</t>
        </is>
      </c>
      <c r="E138" s="7" t="inlineStr">
        <is>
          <t>Crab, lobster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18952.536</v>
      </c>
      <c r="K138" t="n">
        <v>0.0125</v>
      </c>
      <c r="L138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39">
      <c r="A139" t="inlineStr">
        <is>
          <t>Mierspenaeopsis hardwickii</t>
        </is>
      </c>
      <c r="B139" t="inlineStr">
        <is>
          <t>Spear shrimp</t>
        </is>
      </c>
      <c r="C139" t="inlineStr">
        <is>
          <t>Shrimps</t>
        </is>
      </c>
      <c r="D139" t="inlineStr">
        <is>
          <t>Crustaceans</t>
        </is>
      </c>
      <c r="E139" s="7" t="inlineStr">
        <is>
          <t>Shrimps</t>
        </is>
      </c>
      <c r="F139" t="inlineStr"/>
      <c r="G139" t="inlineStr"/>
      <c r="H139" t="inlineStr">
        <is>
          <t>high</t>
        </is>
      </c>
      <c r="I139" t="inlineStr">
        <is>
          <t>taxonomic_containment</t>
        </is>
      </c>
      <c r="J139" t="n">
        <v>18848.152</v>
      </c>
      <c r="K139" t="n">
        <v>0.0124</v>
      </c>
      <c r="L139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s="5" t="inlineStr">
        <is>
          <t>Med.dem.benth.</t>
        </is>
      </c>
      <c r="F140" t="inlineStr"/>
      <c r="G140" t="inlineStr"/>
      <c r="H140" t="inlineStr">
        <is>
          <t>medium</t>
        </is>
      </c>
      <c r="I140" t="inlineStr">
        <is>
          <t>habitat_size_guild</t>
        </is>
      </c>
      <c r="J140" t="n">
        <v>18764.628</v>
      </c>
      <c r="K140" t="n">
        <v>0.0123</v>
      </c>
      <c r="L140" s="6" t="inlineStr">
        <is>
          <t>Eeltail catfish are benthic omnivore/invertivore. Reviewed against the Ecobase group name and diet; the original paper p.130 lists important components but does not settle this taxon.</t>
        </is>
      </c>
    </row>
    <row r="141">
      <c r="A141" t="inlineStr">
        <is>
          <t>Dussumieria</t>
        </is>
      </c>
      <c r="B141" t="inlineStr">
        <is>
          <t>Rainbow sardines</t>
        </is>
      </c>
      <c r="C141" t="inlineStr">
        <is>
          <t>Small pelagics (&lt;30 cm)</t>
        </is>
      </c>
      <c r="D141" t="inlineStr">
        <is>
          <t>Herring-likes</t>
        </is>
      </c>
      <c r="E141" s="5" t="inlineStr">
        <is>
          <t>Sm. pelagics</t>
        </is>
      </c>
      <c r="F141" t="inlineStr"/>
      <c r="G141" t="inlineStr"/>
      <c r="H141" t="inlineStr">
        <is>
          <t>medium</t>
        </is>
      </c>
      <c r="I141" t="inlineStr">
        <is>
          <t>habitat_size_guild</t>
        </is>
      </c>
      <c r="J141" t="n">
        <v>18571.317</v>
      </c>
      <c r="K141" t="n">
        <v>0.0122</v>
      </c>
      <c r="L141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42">
      <c r="A142" t="inlineStr">
        <is>
          <t>Paralichthyidae</t>
        </is>
      </c>
      <c r="B142" t="inlineStr">
        <is>
          <t>Largetooth flounders</t>
        </is>
      </c>
      <c r="C142" t="inlineStr">
        <is>
          <t>Small to medium flatfishes (&lt;90 cm)</t>
        </is>
      </c>
      <c r="D142" t="inlineStr">
        <is>
          <t>Flatfishes</t>
        </is>
      </c>
      <c r="E142" s="7" t="inlineStr">
        <is>
          <t>Flatfish</t>
        </is>
      </c>
      <c r="F142" t="inlineStr"/>
      <c r="G142" t="inlineStr"/>
      <c r="H142" t="inlineStr">
        <is>
          <t>high</t>
        </is>
      </c>
      <c r="I142" t="inlineStr">
        <is>
          <t>taxonomic_containment</t>
        </is>
      </c>
      <c r="J142" t="n">
        <v>16391.111</v>
      </c>
      <c r="K142" t="n">
        <v>0.0108</v>
      </c>
      <c r="L142" s="6" t="inlineStr">
        <is>
          <t>Pleuronectiformes (flatfish) order or constituent family; matches the model's single Flatfish compartment. Reviewed against the Ecobase group name and diet; the original paper p.130 lists important components but does not settle this taxon.</t>
        </is>
      </c>
    </row>
    <row r="143">
      <c r="A143" t="inlineStr">
        <is>
          <t>Siganus canaliculatus</t>
        </is>
      </c>
      <c r="B143" t="inlineStr">
        <is>
          <t>White-spotted spinefoot</t>
        </is>
      </c>
      <c r="C143" t="inlineStr">
        <is>
          <t>Small reef assoc. fish (&lt;30 cm)</t>
        </is>
      </c>
      <c r="D143" t="inlineStr">
        <is>
          <t>Perch-likes</t>
        </is>
      </c>
      <c r="E143" s="8" t="inlineStr">
        <is>
          <t>O.fish</t>
        </is>
      </c>
      <c r="F143" t="inlineStr"/>
      <c r="G143" t="inlineStr"/>
      <c r="H143" t="inlineStr">
        <is>
          <t>low</t>
        </is>
      </c>
      <c r="I143" t="inlineStr">
        <is>
          <t>analogue</t>
        </is>
      </c>
      <c r="J143" t="n">
        <v>15573.461</v>
      </c>
      <c r="K143" t="n">
        <v>0.0102</v>
      </c>
      <c r="L143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44">
      <c r="A144" t="inlineStr">
        <is>
          <t>Plotosus</t>
        </is>
      </c>
      <c r="B144" t="inlineStr">
        <is>
          <t>Eel catfishes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s="5" t="inlineStr">
        <is>
          <t>Med.dem.benth.</t>
        </is>
      </c>
      <c r="F144" t="inlineStr"/>
      <c r="G144" t="inlineStr"/>
      <c r="H144" t="inlineStr">
        <is>
          <t>medium</t>
        </is>
      </c>
      <c r="I144" t="inlineStr">
        <is>
          <t>habitat_size_guild</t>
        </is>
      </c>
      <c r="J144" t="n">
        <v>15389.393</v>
      </c>
      <c r="K144" t="n">
        <v>0.0101</v>
      </c>
      <c r="L144" s="6" t="inlineStr">
        <is>
          <t>Eel catfish genus; same benthic omnivore guild as Plotosidae. Reviewed against the Ecobase group name and diet; the original paper p.130 lists important components but does not settle this taxon.</t>
        </is>
      </c>
    </row>
    <row r="145">
      <c r="A145" t="inlineStr">
        <is>
          <t>Siganidae</t>
        </is>
      </c>
      <c r="B145" t="inlineStr">
        <is>
          <t>Rabbitfishes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s="8" t="inlineStr">
        <is>
          <t>O.fish</t>
        </is>
      </c>
      <c r="F145" t="inlineStr"/>
      <c r="G145" t="inlineStr"/>
      <c r="H145" t="inlineStr">
        <is>
          <t>low</t>
        </is>
      </c>
      <c r="I145" t="inlineStr">
        <is>
          <t>analogue</t>
        </is>
      </c>
      <c r="J145" t="n">
        <v>14752.074</v>
      </c>
      <c r="K145" t="n">
        <v>0.0097</v>
      </c>
      <c r="L145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46">
      <c r="A146" t="inlineStr">
        <is>
          <t>Panulirus longipes</t>
        </is>
      </c>
      <c r="B146" t="inlineStr">
        <is>
          <t>Longlegged spiny lobster</t>
        </is>
      </c>
      <c r="C146" t="inlineStr">
        <is>
          <t>Lobsters, crabs</t>
        </is>
      </c>
      <c r="D146" t="inlineStr">
        <is>
          <t>Crustaceans</t>
        </is>
      </c>
      <c r="E146" s="7" t="inlineStr">
        <is>
          <t>Crab, lobster</t>
        </is>
      </c>
      <c r="F146" t="inlineStr"/>
      <c r="G146" t="inlineStr"/>
      <c r="H146" t="inlineStr">
        <is>
          <t>high</t>
        </is>
      </c>
      <c r="I146" t="inlineStr">
        <is>
          <t>taxonomic_containment</t>
        </is>
      </c>
      <c r="J146" t="n">
        <v>13717.706</v>
      </c>
      <c r="K146" t="n">
        <v>0.008999999999999999</v>
      </c>
      <c r="L146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47">
      <c r="A147" t="inlineStr">
        <is>
          <t>Solenocera crassicornis</t>
        </is>
      </c>
      <c r="B147" t="inlineStr">
        <is>
          <t>Coastal mud shrimp</t>
        </is>
      </c>
      <c r="C147" t="inlineStr">
        <is>
          <t>Shrimps</t>
        </is>
      </c>
      <c r="D147" t="inlineStr">
        <is>
          <t>Crustaceans</t>
        </is>
      </c>
      <c r="E147" s="7" t="inlineStr">
        <is>
          <t>Shrimps</t>
        </is>
      </c>
      <c r="F147" t="inlineStr"/>
      <c r="G147" t="inlineStr"/>
      <c r="H147" t="inlineStr">
        <is>
          <t>high</t>
        </is>
      </c>
      <c r="I147" t="inlineStr">
        <is>
          <t>taxonomic_containment</t>
        </is>
      </c>
      <c r="J147" t="n">
        <v>13127.3</v>
      </c>
      <c r="K147" t="n">
        <v>0.0086</v>
      </c>
      <c r="L14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148">
      <c r="A148" t="inlineStr">
        <is>
          <t>Rhizostomeae</t>
        </is>
      </c>
      <c r="B148" t="inlineStr">
        <is>
          <t>Oral arm jellyfishes</t>
        </is>
      </c>
      <c r="C148" t="inlineStr">
        <is>
          <t>Jellyfish</t>
        </is>
      </c>
      <c r="D148" t="inlineStr">
        <is>
          <t>Other fishes &amp; inverts</t>
        </is>
      </c>
      <c r="E148" s="7" t="inlineStr">
        <is>
          <t>Jellyfish</t>
        </is>
      </c>
      <c r="F148" t="inlineStr"/>
      <c r="G148" t="inlineStr"/>
      <c r="H148" t="inlineStr">
        <is>
          <t>high</t>
        </is>
      </c>
      <c r="I148" t="inlineStr">
        <is>
          <t>taxonomic_containment</t>
        </is>
      </c>
      <c r="J148" t="n">
        <v>12440.208</v>
      </c>
      <c r="K148" t="n">
        <v>0.008200000000000001</v>
      </c>
      <c r="L148" s="6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</row>
    <row r="149">
      <c r="A149" t="inlineStr">
        <is>
          <t>Elagatis bipinnulata</t>
        </is>
      </c>
      <c r="B149" t="inlineStr">
        <is>
          <t>Rainbow runner</t>
        </is>
      </c>
      <c r="C149" t="inlineStr">
        <is>
          <t>Large pelagics (&gt;=90 cm)</t>
        </is>
      </c>
      <c r="D149" t="inlineStr">
        <is>
          <t>Perch-likes</t>
        </is>
      </c>
      <c r="E149" s="5" t="inlineStr">
        <is>
          <t>Lg. piscivores | Juv.Lg.Pisciv.</t>
        </is>
      </c>
      <c r="F149" t="inlineStr">
        <is>
          <t>1.000 | 0.000</t>
        </is>
      </c>
      <c r="G149" t="inlineStr">
        <is>
          <t>model_catch</t>
        </is>
      </c>
      <c r="H149" t="inlineStr">
        <is>
          <t>medium</t>
        </is>
      </c>
      <c r="I149" t="inlineStr">
        <is>
          <t>composite_split</t>
        </is>
      </c>
      <c r="J149" t="n">
        <v>12020.245</v>
      </c>
      <c r="K149" t="n">
        <v>0.007900000000000001</v>
      </c>
      <c r="L149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150">
      <c r="A150" t="inlineStr">
        <is>
          <t>Istiophorus</t>
        </is>
      </c>
      <c r="B150" t="inlineStr">
        <is>
          <t>Sailfishes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s="9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11854.2</v>
      </c>
      <c r="K150" t="n">
        <v>0.0078</v>
      </c>
      <c r="L150" s="6" t="inlineStr">
        <is>
          <t>Sailfish genus (Istiophoridae), not Scombridae; the 1963 shallow Gulf of Thailand shelf model has no billfish compartment and oceanic epipelagic billfish are outside its likely original scope.</t>
        </is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s="5" t="inlineStr">
        <is>
          <t>Tuna</t>
        </is>
      </c>
      <c r="F151" t="inlineStr"/>
      <c r="G151" t="inlineStr"/>
      <c r="H151" t="inlineStr">
        <is>
          <t>medium</t>
        </is>
      </c>
      <c r="I151" t="inlineStr">
        <is>
          <t>habitat_size_guild</t>
        </is>
      </c>
      <c r="J151" t="n">
        <v>11258.814</v>
      </c>
      <c r="K151" t="n">
        <v>0.0074</v>
      </c>
      <c r="L151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</row>
    <row r="152">
      <c r="A152" t="inlineStr">
        <is>
          <t>Lates calcarifer</t>
        </is>
      </c>
      <c r="B152" t="inlineStr">
        <is>
          <t>Barramundi</t>
        </is>
      </c>
      <c r="C152" t="inlineStr">
        <is>
          <t>Large demersals (&gt;=90 cm)</t>
        </is>
      </c>
      <c r="D152" t="inlineStr">
        <is>
          <t>Perch-likes</t>
        </is>
      </c>
      <c r="E152" s="5" t="inlineStr">
        <is>
          <t>Lg. piscivores | Juv.Lg.Pisciv.</t>
        </is>
      </c>
      <c r="F152" t="inlineStr">
        <is>
          <t>1.000 | 0.000</t>
        </is>
      </c>
      <c r="G152" t="inlineStr">
        <is>
          <t>model_catch</t>
        </is>
      </c>
      <c r="H152" t="inlineStr">
        <is>
          <t>medium</t>
        </is>
      </c>
      <c r="I152" t="inlineStr">
        <is>
          <t>composite_split</t>
        </is>
      </c>
      <c r="J152" t="n">
        <v>10870.203</v>
      </c>
      <c r="K152" t="n">
        <v>0.0072</v>
      </c>
      <c r="L152" s="6" t="inlineStr">
        <is>
          <t>Barramundi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</row>
    <row r="153">
      <c r="A153" t="inlineStr">
        <is>
          <t>Monacanthidae</t>
        </is>
      </c>
      <c r="B153" t="inlineStr">
        <is>
          <t>Filefishes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s="5" t="inlineStr">
        <is>
          <t>Med.dem.benth.</t>
        </is>
      </c>
      <c r="F153" t="inlineStr"/>
      <c r="G153" t="inlineStr"/>
      <c r="H153" t="inlineStr">
        <is>
          <t>medium</t>
        </is>
      </c>
      <c r="I153" t="inlineStr">
        <is>
          <t>habitat_size_guild</t>
        </is>
      </c>
      <c r="J153" t="n">
        <v>10084.043</v>
      </c>
      <c r="K153" t="n">
        <v>0.0066</v>
      </c>
      <c r="L153" s="6" t="inlineStr">
        <is>
          <t>Filefish feed on benthic invertebrates/algae (invertivore-omnivore). Reviewed against the Ecobase group name and diet; the original paper p.130 lists important components but does not settle this taxon.</t>
        </is>
      </c>
    </row>
    <row r="154">
      <c r="A154" t="inlineStr">
        <is>
          <t>Thunnus</t>
        </is>
      </c>
      <c r="B154" t="inlineStr">
        <is>
          <t>Tunas</t>
        </is>
      </c>
      <c r="C154" t="inlineStr">
        <is>
          <t>Large pelagics (&gt;=90 cm)</t>
        </is>
      </c>
      <c r="D154" t="inlineStr">
        <is>
          <t>Tuna &amp; billfishes</t>
        </is>
      </c>
      <c r="E154" s="5" t="inlineStr">
        <is>
          <t>Tuna</t>
        </is>
      </c>
      <c r="F154" t="inlineStr"/>
      <c r="G154" t="inlineStr"/>
      <c r="H154" t="inlineStr">
        <is>
          <t>medium</t>
        </is>
      </c>
      <c r="I154" t="inlineStr">
        <is>
          <t>habitat_size_guild</t>
        </is>
      </c>
      <c r="J154" t="n">
        <v>9400.198</v>
      </c>
      <c r="K154" t="n">
        <v>0.0062</v>
      </c>
      <c r="L154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</row>
    <row r="155">
      <c r="A155" t="inlineStr">
        <is>
          <t>Bivalvia</t>
        </is>
      </c>
      <c r="B155" t="inlineStr">
        <is>
          <t>Clams</t>
        </is>
      </c>
      <c r="C155" t="inlineStr">
        <is>
          <t>Other demersal invertebrates</t>
        </is>
      </c>
      <c r="D155" t="inlineStr">
        <is>
          <t>Molluscs</t>
        </is>
      </c>
      <c r="E155" s="7" t="inlineStr">
        <is>
          <t>Molluscs</t>
        </is>
      </c>
      <c r="F155" t="inlineStr"/>
      <c r="G155" t="inlineStr"/>
      <c r="H155" t="inlineStr">
        <is>
          <t>high</t>
        </is>
      </c>
      <c r="I155" t="inlineStr">
        <is>
          <t>taxonomic_containment</t>
        </is>
      </c>
      <c r="J155" t="n">
        <v>8165.47</v>
      </c>
      <c r="K155" t="n">
        <v>0.0054</v>
      </c>
      <c r="L155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156">
      <c r="A156" t="inlineStr">
        <is>
          <t>Scarus</t>
        </is>
      </c>
      <c r="B156" t="inlineStr">
        <is>
          <t>Parrots</t>
        </is>
      </c>
      <c r="C156" t="inlineStr">
        <is>
          <t>Medium reef assoc. fish (30 - 89 cm)</t>
        </is>
      </c>
      <c r="D156" t="inlineStr">
        <is>
          <t>Perch-likes</t>
        </is>
      </c>
      <c r="E156" s="8" t="inlineStr">
        <is>
          <t>O.fish</t>
        </is>
      </c>
      <c r="F156" t="inlineStr"/>
      <c r="G156" t="inlineStr"/>
      <c r="H156" t="inlineStr">
        <is>
          <t>low</t>
        </is>
      </c>
      <c r="I156" t="inlineStr">
        <is>
          <t>analogue</t>
        </is>
      </c>
      <c r="J156" t="n">
        <v>8012.332</v>
      </c>
      <c r="K156" t="n">
        <v>0.0053</v>
      </c>
      <c r="L156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57">
      <c r="A157" t="inlineStr">
        <is>
          <t>Lactarius lactarius</t>
        </is>
      </c>
      <c r="B157" t="inlineStr">
        <is>
          <t>False trevally</t>
        </is>
      </c>
      <c r="C157" t="inlineStr">
        <is>
          <t>Medium pelagics (30 - 89 cm)</t>
        </is>
      </c>
      <c r="D157" t="inlineStr">
        <is>
          <t>Perch-likes</t>
        </is>
      </c>
      <c r="E157" s="7" t="inlineStr">
        <is>
          <t>Med.dem.pisc.</t>
        </is>
      </c>
      <c r="F157" t="inlineStr"/>
      <c r="G157" t="inlineStr"/>
      <c r="H157" t="inlineStr">
        <is>
          <t>high</t>
        </is>
      </c>
      <c r="I157" t="inlineStr">
        <is>
          <t>taxonomic_containment</t>
        </is>
      </c>
      <c r="J157" t="n">
        <v>7901.677</v>
      </c>
      <c r="K157" t="n">
        <v>0.0052</v>
      </c>
      <c r="L15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58">
      <c r="A158" t="inlineStr">
        <is>
          <t>Drepane</t>
        </is>
      </c>
      <c r="B158" t="inlineStr">
        <is>
          <t>Sicklefishes</t>
        </is>
      </c>
      <c r="C158" t="inlineStr">
        <is>
          <t>Medium benthopelagics (30 - 89 cm)</t>
        </is>
      </c>
      <c r="D158" t="inlineStr">
        <is>
          <t>Perch-likes</t>
        </is>
      </c>
      <c r="E158" s="5" t="inlineStr">
        <is>
          <t>Med.dem.benth.</t>
        </is>
      </c>
      <c r="F158" t="inlineStr"/>
      <c r="G158" t="inlineStr"/>
      <c r="H158" t="inlineStr">
        <is>
          <t>medium</t>
        </is>
      </c>
      <c r="I158" t="inlineStr">
        <is>
          <t>habitat_size_guild</t>
        </is>
      </c>
      <c r="J158" t="n">
        <v>7584.038</v>
      </c>
      <c r="K158" t="n">
        <v>0.005</v>
      </c>
      <c r="L158" s="6" t="inlineStr">
        <is>
          <t>Sicklefish; benthopelagic feeder mapped to the closest generic compartment absent a dedicated group. Reviewed against the Ecobase group name and diet; the original paper p.130 lists important components but does not settle this taxon.</t>
        </is>
      </c>
    </row>
    <row r="159">
      <c r="A159" t="inlineStr">
        <is>
          <t>Lethrinus</t>
        </is>
      </c>
      <c r="B159" t="inlineStr">
        <is>
          <t>Emperors</t>
        </is>
      </c>
      <c r="C159" t="inlineStr">
        <is>
          <t>Medium reef assoc. fish (30 - 89 cm)</t>
        </is>
      </c>
      <c r="D159" t="inlineStr">
        <is>
          <t>Perch-likes</t>
        </is>
      </c>
      <c r="E159" s="7" t="inlineStr">
        <is>
          <t>Med.dem.pisc.</t>
        </is>
      </c>
      <c r="F159" t="inlineStr"/>
      <c r="G159" t="inlineStr"/>
      <c r="H159" t="inlineStr">
        <is>
          <t>high</t>
        </is>
      </c>
      <c r="I159" t="inlineStr">
        <is>
          <t>explicit_member</t>
        </is>
      </c>
      <c r="J159" t="n">
        <v>7265.591</v>
      </c>
      <c r="K159" t="n">
        <v>0.0048</v>
      </c>
      <c r="L15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60">
      <c r="A160" t="inlineStr">
        <is>
          <t>Dussumieria elopsoides</t>
        </is>
      </c>
      <c r="B160" t="inlineStr">
        <is>
          <t>Slender rainbow sardine</t>
        </is>
      </c>
      <c r="C160" t="inlineStr">
        <is>
          <t>Small pelagics (&lt;30 cm)</t>
        </is>
      </c>
      <c r="D160" t="inlineStr">
        <is>
          <t>Herring-likes</t>
        </is>
      </c>
      <c r="E160" s="5" t="inlineStr">
        <is>
          <t>Sm. pelagics</t>
        </is>
      </c>
      <c r="F160" t="inlineStr"/>
      <c r="G160" t="inlineStr"/>
      <c r="H160" t="inlineStr">
        <is>
          <t>medium</t>
        </is>
      </c>
      <c r="I160" t="inlineStr">
        <is>
          <t>habitat_size_guild</t>
        </is>
      </c>
      <c r="J160" t="n">
        <v>7124.206</v>
      </c>
      <c r="K160" t="n">
        <v>0.0047</v>
      </c>
      <c r="L160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61">
      <c r="A161" t="inlineStr">
        <is>
          <t>Rastrelliger brachysoma</t>
        </is>
      </c>
      <c r="B161" t="inlineStr">
        <is>
          <t>Short mackerel</t>
        </is>
      </c>
      <c r="C161" t="inlineStr">
        <is>
          <t>Medium pelagics (30 - 89 cm)</t>
        </is>
      </c>
      <c r="D161" t="inlineStr">
        <is>
          <t>Perch-likes</t>
        </is>
      </c>
      <c r="E161" s="7" t="inlineStr">
        <is>
          <t>Mackerel</t>
        </is>
      </c>
      <c r="F161" t="inlineStr"/>
      <c r="G161" t="inlineStr"/>
      <c r="H161" t="inlineStr">
        <is>
          <t>high</t>
        </is>
      </c>
      <c r="I161" t="inlineStr">
        <is>
          <t>taxonomic_containment</t>
        </is>
      </c>
      <c r="J161" t="n">
        <v>6247.989</v>
      </c>
      <c r="K161" t="n">
        <v>0.0041</v>
      </c>
      <c r="L16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62">
      <c r="A162" t="inlineStr">
        <is>
          <t>Photopectoralis bindus</t>
        </is>
      </c>
      <c r="B162" t="inlineStr">
        <is>
          <t>Orangefin ponyfish</t>
        </is>
      </c>
      <c r="C162" t="inlineStr">
        <is>
          <t>Large reef assoc. fish (&gt;=90 cm)</t>
        </is>
      </c>
      <c r="D162" t="inlineStr">
        <is>
          <t>Perch-likes</t>
        </is>
      </c>
      <c r="E162" s="7" t="inlineStr">
        <is>
          <t>Ponyfishes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6242.333</v>
      </c>
      <c r="K162" t="n">
        <v>0.0041</v>
      </c>
      <c r="L162" s="6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s="9" t="inlineStr">
        <is>
          <t>Unresolved</t>
        </is>
      </c>
      <c r="F163" t="inlineStr"/>
      <c r="G163" t="inlineStr"/>
      <c r="H163" t="inlineStr">
        <is>
          <t>unresolved</t>
        </is>
      </c>
      <c r="I163" t="inlineStr">
        <is>
          <t>none</t>
        </is>
      </c>
      <c r="J163" t="n">
        <v>6152.41</v>
      </c>
      <c r="K163" t="n">
        <v>0.004</v>
      </c>
      <c r="L163" s="6" t="inlineStr">
        <is>
          <t>Billfish family, taxonomically distinct from Scombridae Tuna; no billfish compartment in this model.</t>
        </is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s="7" t="inlineStr">
        <is>
          <t>Crab, lobster</t>
        </is>
      </c>
      <c r="F164" t="inlineStr"/>
      <c r="G164" t="inlineStr"/>
      <c r="H164" t="inlineStr">
        <is>
          <t>high</t>
        </is>
      </c>
      <c r="I164" t="inlineStr">
        <is>
          <t>taxonomic_containment</t>
        </is>
      </c>
      <c r="J164" t="n">
        <v>6131.358</v>
      </c>
      <c r="K164" t="n">
        <v>0.004</v>
      </c>
      <c r="L164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65">
      <c r="A165" t="inlineStr">
        <is>
          <t>Gazza minuta</t>
        </is>
      </c>
      <c r="B165" t="inlineStr">
        <is>
          <t>Toothpony</t>
        </is>
      </c>
      <c r="C165" t="inlineStr">
        <is>
          <t>Small demersals (&lt;30 cm)</t>
        </is>
      </c>
      <c r="D165" t="inlineStr">
        <is>
          <t>Perch-likes</t>
        </is>
      </c>
      <c r="E165" s="7" t="inlineStr">
        <is>
          <t>Ponyfishes</t>
        </is>
      </c>
      <c r="F165" t="inlineStr"/>
      <c r="G165" t="inlineStr"/>
      <c r="H165" t="inlineStr">
        <is>
          <t>high</t>
        </is>
      </c>
      <c r="I165" t="inlineStr">
        <is>
          <t>taxonomic_containment</t>
        </is>
      </c>
      <c r="J165" t="n">
        <v>5502.37</v>
      </c>
      <c r="K165" t="n">
        <v>0.0036</v>
      </c>
      <c r="L165" s="6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</row>
    <row r="166">
      <c r="A166" t="inlineStr">
        <is>
          <t>Sardinella fimbriata</t>
        </is>
      </c>
      <c r="B166" t="inlineStr">
        <is>
          <t>Fringescale sardinella</t>
        </is>
      </c>
      <c r="C166" t="inlineStr">
        <is>
          <t>Small pelagics (&lt;30 cm)</t>
        </is>
      </c>
      <c r="D166" t="inlineStr">
        <is>
          <t>Herring-likes</t>
        </is>
      </c>
      <c r="E166" s="5" t="inlineStr">
        <is>
          <t>Sm. pelagics</t>
        </is>
      </c>
      <c r="F166" t="inlineStr"/>
      <c r="G166" t="inlineStr"/>
      <c r="H166" t="inlineStr">
        <is>
          <t>medium</t>
        </is>
      </c>
      <c r="I166" t="inlineStr">
        <is>
          <t>habitat_size_guild</t>
        </is>
      </c>
      <c r="J166" t="n">
        <v>5338.104</v>
      </c>
      <c r="K166" t="n">
        <v>0.0035</v>
      </c>
      <c r="L166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67">
      <c r="A167" t="inlineStr">
        <is>
          <t>Terapon theraps</t>
        </is>
      </c>
      <c r="B167" t="inlineStr">
        <is>
          <t>Largescaled terapon</t>
        </is>
      </c>
      <c r="C167" t="inlineStr">
        <is>
          <t>Small pelagics (&lt;30 cm)</t>
        </is>
      </c>
      <c r="D167" t="inlineStr">
        <is>
          <t>Perch-likes</t>
        </is>
      </c>
      <c r="E167" s="5" t="inlineStr">
        <is>
          <t>Sm.dem.benth.</t>
        </is>
      </c>
      <c r="F167" t="inlineStr"/>
      <c r="G167" t="inlineStr"/>
      <c r="H167" t="inlineStr">
        <is>
          <t>medium</t>
        </is>
      </c>
      <c r="I167" t="inlineStr">
        <is>
          <t>habitat_size_guild</t>
        </is>
      </c>
      <c r="J167" t="n">
        <v>5057.575</v>
      </c>
      <c r="K167" t="n">
        <v>0.0033</v>
      </c>
      <c r="L167" s="6" t="inlineStr">
        <is>
          <t>Terapontid; bottom-associated benthivore/omnivore, consistent with genus Terapon despite an apparently mistagged "small pelagics" SAU functional_group. Reviewed against the Ecobase group name and diet; the original paper p.130 lists important components but does not settle this taxon.</t>
        </is>
      </c>
    </row>
    <row r="168">
      <c r="A168" t="inlineStr">
        <is>
          <t>Psettodidae</t>
        </is>
      </c>
      <c r="B168" t="inlineStr">
        <is>
          <t>Turbots, Indian halibuts</t>
        </is>
      </c>
      <c r="C168" t="inlineStr">
        <is>
          <t>Small to medium flatfishes (&lt;90 cm)</t>
        </is>
      </c>
      <c r="D168" t="inlineStr">
        <is>
          <t>Flatfishes</t>
        </is>
      </c>
      <c r="E168" s="7" t="inlineStr">
        <is>
          <t>Med.dem.pisc.</t>
        </is>
      </c>
      <c r="F168" t="inlineStr"/>
      <c r="G168" t="inlineStr"/>
      <c r="H168" t="inlineStr">
        <is>
          <t>high</t>
        </is>
      </c>
      <c r="I168" t="inlineStr">
        <is>
          <t>taxonomic_containment</t>
        </is>
      </c>
      <c r="J168" t="n">
        <v>4663.545</v>
      </c>
      <c r="K168" t="n">
        <v>0.0031</v>
      </c>
      <c r="L16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69">
      <c r="A169" t="inlineStr">
        <is>
          <t>Pampus chinensis</t>
        </is>
      </c>
      <c r="B169" t="inlineStr">
        <is>
          <t>Chinese silver pomfret</t>
        </is>
      </c>
      <c r="C169" t="inlineStr">
        <is>
          <t>Medium benthopelagics (30 - 89 cm)</t>
        </is>
      </c>
      <c r="D169" t="inlineStr">
        <is>
          <t>Perch-likes</t>
        </is>
      </c>
      <c r="E169" s="7" t="inlineStr">
        <is>
          <t>Med.dem.benth.</t>
        </is>
      </c>
      <c r="F169" t="inlineStr"/>
      <c r="G169" t="inlineStr"/>
      <c r="H169" t="inlineStr">
        <is>
          <t>high</t>
        </is>
      </c>
      <c r="I169" t="inlineStr">
        <is>
          <t>taxonomic_containment</t>
        </is>
      </c>
      <c r="J169" t="n">
        <v>4279.161</v>
      </c>
      <c r="K169" t="n">
        <v>0.0028</v>
      </c>
      <c r="L16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s="5" t="inlineStr">
        <is>
          <t>Grouper/snapper | Juv. groupers | Med.dem.benth. | Med.dem.pisc. | O.fish | Sm.dem.benth. | Sm.dem.pisc.</t>
        </is>
      </c>
      <c r="F170" t="inlineStr">
        <is>
          <t>0.037 | 0.000 | 0.060 | 0.138 | 0.467 | 0.161 | 0.137</t>
        </is>
      </c>
      <c r="G170" t="inlineStr">
        <is>
          <t>model_catch</t>
        </is>
      </c>
      <c r="H170" t="inlineStr">
        <is>
          <t>medium</t>
        </is>
      </c>
      <c r="I170" t="inlineStr">
        <is>
          <t>composite_split</t>
        </is>
      </c>
      <c r="J170" t="n">
        <v>3693.187</v>
      </c>
      <c r="K170" t="n">
        <v>0.0024</v>
      </c>
      <c r="L17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71">
      <c r="A171" t="inlineStr">
        <is>
          <t>Priacanthus tayenus</t>
        </is>
      </c>
      <c r="B171" t="inlineStr">
        <is>
          <t>Purple-spotted bigeye</t>
        </is>
      </c>
      <c r="C171" t="inlineStr">
        <is>
          <t>Small pelagics (&lt;30 cm)</t>
        </is>
      </c>
      <c r="D171" t="inlineStr">
        <is>
          <t>Perch-likes</t>
        </is>
      </c>
      <c r="E171" s="7" t="inlineStr">
        <is>
          <t>Sm.dem.pisc.</t>
        </is>
      </c>
      <c r="F171" t="inlineStr"/>
      <c r="G171" t="inlineStr"/>
      <c r="H171" t="inlineStr">
        <is>
          <t>high</t>
        </is>
      </c>
      <c r="I171" t="inlineStr">
        <is>
          <t>taxonomic_containment</t>
        </is>
      </c>
      <c r="J171" t="n">
        <v>3690.165</v>
      </c>
      <c r="K171" t="n">
        <v>0.0024</v>
      </c>
      <c r="L17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72">
      <c r="A172" t="inlineStr">
        <is>
          <t>Eubleekeria splendens</t>
        </is>
      </c>
      <c r="B172" t="inlineStr">
        <is>
          <t>Splendid ponyfish</t>
        </is>
      </c>
      <c r="C172" t="inlineStr">
        <is>
          <t>Small pelagics (&lt;30 cm)</t>
        </is>
      </c>
      <c r="D172" t="inlineStr">
        <is>
          <t>Perch-likes</t>
        </is>
      </c>
      <c r="E172" s="7" t="inlineStr">
        <is>
          <t>Ponyfishes</t>
        </is>
      </c>
      <c r="F172" t="inlineStr"/>
      <c r="G172" t="inlineStr"/>
      <c r="H172" t="inlineStr">
        <is>
          <t>high</t>
        </is>
      </c>
      <c r="I172" t="inlineStr">
        <is>
          <t>taxonomic_containment</t>
        </is>
      </c>
      <c r="J172" t="n">
        <v>3355.92</v>
      </c>
      <c r="K172" t="n">
        <v>0.0022</v>
      </c>
      <c r="L172" s="6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</row>
    <row r="173">
      <c r="A173" t="inlineStr">
        <is>
          <t>Scyllaridae</t>
        </is>
      </c>
      <c r="B173" t="inlineStr">
        <is>
          <t>Slipper lobsters</t>
        </is>
      </c>
      <c r="C173" t="inlineStr">
        <is>
          <t>Lobsters, crabs</t>
        </is>
      </c>
      <c r="D173" t="inlineStr">
        <is>
          <t>Crustaceans</t>
        </is>
      </c>
      <c r="E173" s="7" t="inlineStr">
        <is>
          <t>Crab, lobster</t>
        </is>
      </c>
      <c r="F173" t="inlineStr"/>
      <c r="G173" t="inlineStr"/>
      <c r="H173" t="inlineStr">
        <is>
          <t>high</t>
        </is>
      </c>
      <c r="I173" t="inlineStr">
        <is>
          <t>taxonomic_containment</t>
        </is>
      </c>
      <c r="J173" t="n">
        <v>3117.85</v>
      </c>
      <c r="K173" t="n">
        <v>0.0021</v>
      </c>
      <c r="L173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74">
      <c r="A174" t="inlineStr">
        <is>
          <t>Sphyraenidae</t>
        </is>
      </c>
      <c r="B174" t="inlineStr">
        <is>
          <t>Barracudas</t>
        </is>
      </c>
      <c r="C174" t="inlineStr">
        <is>
          <t>Medium reef assoc. fish (30 - 89 cm)</t>
        </is>
      </c>
      <c r="D174" t="inlineStr">
        <is>
          <t>Perch-likes</t>
        </is>
      </c>
      <c r="E174" s="5" t="inlineStr">
        <is>
          <t>Juv.Lg.Pisciv. | Lg. piscivores</t>
        </is>
      </c>
      <c r="F174" t="inlineStr">
        <is>
          <t>0.000 | 1.000</t>
        </is>
      </c>
      <c r="G174" t="inlineStr">
        <is>
          <t>model_catch</t>
        </is>
      </c>
      <c r="H174" t="inlineStr">
        <is>
          <t>medium</t>
        </is>
      </c>
      <c r="I174" t="inlineStr">
        <is>
          <t>composite_split</t>
        </is>
      </c>
      <c r="J174" t="n">
        <v>3067.953</v>
      </c>
      <c r="K174" t="n">
        <v>0.002</v>
      </c>
      <c r="L17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75">
      <c r="A175" t="inlineStr">
        <is>
          <t>Gerres</t>
        </is>
      </c>
      <c r="B175" t="inlineStr">
        <is>
          <t>Silver biddies</t>
        </is>
      </c>
      <c r="C175" t="inlineStr">
        <is>
          <t>Small benthopelagics (&lt;30 cm)</t>
        </is>
      </c>
      <c r="D175" t="inlineStr">
        <is>
          <t>Perch-likes</t>
        </is>
      </c>
      <c r="E175" s="5" t="inlineStr">
        <is>
          <t>Sm.dem.benth.</t>
        </is>
      </c>
      <c r="F175" t="inlineStr"/>
      <c r="G175" t="inlineStr"/>
      <c r="H175" t="inlineStr">
        <is>
          <t>medium</t>
        </is>
      </c>
      <c r="I175" t="inlineStr">
        <is>
          <t>habitat_size_guild</t>
        </is>
      </c>
      <c r="J175" t="n">
        <v>2956.841</v>
      </c>
      <c r="K175" t="n">
        <v>0.0019</v>
      </c>
      <c r="L175" s="6" t="inlineStr">
        <is>
          <t>Silver biddy genus; same benthivorous sand-flat feeding as Gerreidae. Reviewed against the Ecobase group name and diet; the original paper p.130 lists important components but does not settle this taxon.</t>
        </is>
      </c>
    </row>
    <row r="176">
      <c r="A176" t="inlineStr">
        <is>
          <t>Xiphias gladius</t>
        </is>
      </c>
      <c r="B176" t="inlineStr">
        <is>
          <t>Swordfish</t>
        </is>
      </c>
      <c r="C176" t="inlineStr">
        <is>
          <t>Large pelagics (&gt;=90 cm)</t>
        </is>
      </c>
      <c r="D176" t="inlineStr">
        <is>
          <t>Tuna &amp; billfishes</t>
        </is>
      </c>
      <c r="E176" s="9" t="inlineStr">
        <is>
          <t>Unresolved</t>
        </is>
      </c>
      <c r="F176" t="inlineStr"/>
      <c r="G176" t="inlineStr"/>
      <c r="H176" t="inlineStr">
        <is>
          <t>unresolved</t>
        </is>
      </c>
      <c r="I176" t="inlineStr">
        <is>
          <t>none</t>
        </is>
      </c>
      <c r="J176" t="n">
        <v>2801.158</v>
      </c>
      <c r="K176" t="n">
        <v>0.0018</v>
      </c>
      <c r="L176" s="6" t="inlineStr">
        <is>
          <t>Swordfish (Xiphiidae), an oceanic epipelagic species outside the demersal/coastal-pelagic scope of the 1963 Gulf of Thailand shelf model; no billfish compartment exists.</t>
        </is>
      </c>
    </row>
    <row r="177">
      <c r="A177" t="inlineStr">
        <is>
          <t>Haemulidae</t>
        </is>
      </c>
      <c r="B177" t="inlineStr">
        <is>
          <t>Grunts, sweetlips, bonnetmouths</t>
        </is>
      </c>
      <c r="C177" t="inlineStr">
        <is>
          <t>Medium demersals (30 - 89 cm)</t>
        </is>
      </c>
      <c r="D177" t="inlineStr">
        <is>
          <t>Perch-likes</t>
        </is>
      </c>
      <c r="E177" s="7" t="inlineStr">
        <is>
          <t>Med.dem.benth.</t>
        </is>
      </c>
      <c r="F177" t="inlineStr"/>
      <c r="G177" t="inlineStr"/>
      <c r="H177" t="inlineStr">
        <is>
          <t>high</t>
        </is>
      </c>
      <c r="I177" t="inlineStr">
        <is>
          <t>taxonomic_containment</t>
        </is>
      </c>
      <c r="J177" t="n">
        <v>2653.409</v>
      </c>
      <c r="K177" t="n">
        <v>0.0017</v>
      </c>
      <c r="L17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78">
      <c r="A178" t="inlineStr">
        <is>
          <t>Thryssa</t>
        </is>
      </c>
      <c r="B178" t="inlineStr">
        <is>
          <t>Thryssas</t>
        </is>
      </c>
      <c r="C178" t="inlineStr">
        <is>
          <t>Small pelagics (&lt;30 cm)</t>
        </is>
      </c>
      <c r="D178" t="inlineStr">
        <is>
          <t>Anchovies</t>
        </is>
      </c>
      <c r="E178" s="5" t="inlineStr">
        <is>
          <t>Sm. pelagics</t>
        </is>
      </c>
      <c r="F178" t="inlineStr"/>
      <c r="G178" t="inlineStr"/>
      <c r="H178" t="inlineStr">
        <is>
          <t>medium</t>
        </is>
      </c>
      <c r="I178" t="inlineStr">
        <is>
          <t>habitat_size_guild</t>
        </is>
      </c>
      <c r="J178" t="n">
        <v>2597.241</v>
      </c>
      <c r="K178" t="n">
        <v>0.0017</v>
      </c>
      <c r="L178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79">
      <c r="A179" t="inlineStr">
        <is>
          <t>Hilsa kelee</t>
        </is>
      </c>
      <c r="B179" t="inlineStr">
        <is>
          <t>Kelee shad</t>
        </is>
      </c>
      <c r="C179" t="inlineStr">
        <is>
          <t>Small pelagics (&lt;30 cm)</t>
        </is>
      </c>
      <c r="D179" t="inlineStr">
        <is>
          <t>Herring-likes</t>
        </is>
      </c>
      <c r="E179" s="5" t="inlineStr">
        <is>
          <t>Sm. pelagics</t>
        </is>
      </c>
      <c r="F179" t="inlineStr"/>
      <c r="G179" t="inlineStr"/>
      <c r="H179" t="inlineStr">
        <is>
          <t>medium</t>
        </is>
      </c>
      <c r="I179" t="inlineStr">
        <is>
          <t>habitat_size_guild</t>
        </is>
      </c>
      <c r="J179" t="n">
        <v>2397.876</v>
      </c>
      <c r="K179" t="n">
        <v>0.0016</v>
      </c>
      <c r="L179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180">
      <c r="A180" t="inlineStr">
        <is>
          <t>Octopus</t>
        </is>
      </c>
      <c r="B180" t="inlineStr">
        <is>
          <t>Octopuses, pikas</t>
        </is>
      </c>
      <c r="C180" t="inlineStr">
        <is>
          <t>Cephalopods</t>
        </is>
      </c>
      <c r="D180" t="inlineStr">
        <is>
          <t>Other fishes &amp; inverts</t>
        </is>
      </c>
      <c r="E180" s="7" t="inlineStr">
        <is>
          <t>Cephalopods</t>
        </is>
      </c>
      <c r="F180" t="inlineStr"/>
      <c r="G180" t="inlineStr"/>
      <c r="H180" t="inlineStr">
        <is>
          <t>high</t>
        </is>
      </c>
      <c r="I180" t="inlineStr">
        <is>
          <t>taxonomic_containment</t>
        </is>
      </c>
      <c r="J180" t="n">
        <v>2190.909</v>
      </c>
      <c r="K180" t="n">
        <v>0.0014</v>
      </c>
      <c r="L180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181">
      <c r="A181" t="inlineStr">
        <is>
          <t>Lethrinidae</t>
        </is>
      </c>
      <c r="B181" t="inlineStr">
        <is>
          <t>Emperors, scavengers</t>
        </is>
      </c>
      <c r="C181" t="inlineStr">
        <is>
          <t>Medium reef assoc. fish (30 - 89 cm)</t>
        </is>
      </c>
      <c r="D181" t="inlineStr">
        <is>
          <t>Perch-likes</t>
        </is>
      </c>
      <c r="E181" s="7" t="inlineStr">
        <is>
          <t>Med.dem.pisc.</t>
        </is>
      </c>
      <c r="F181" t="inlineStr"/>
      <c r="G181" t="inlineStr"/>
      <c r="H181" t="inlineStr">
        <is>
          <t>high</t>
        </is>
      </c>
      <c r="I181" t="inlineStr">
        <is>
          <t>taxonomic_containment</t>
        </is>
      </c>
      <c r="J181" t="n">
        <v>1991.544</v>
      </c>
      <c r="K181" t="n">
        <v>0.0013</v>
      </c>
      <c r="L18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82">
      <c r="A182" t="inlineStr">
        <is>
          <t>Pampus</t>
        </is>
      </c>
      <c r="B182" t="inlineStr">
        <is>
          <t>Silver pomfrets</t>
        </is>
      </c>
      <c r="C182" t="inlineStr">
        <is>
          <t>Medium benthopelagics (30 - 89 cm)</t>
        </is>
      </c>
      <c r="D182" t="inlineStr">
        <is>
          <t>Perch-likes</t>
        </is>
      </c>
      <c r="E182" s="7" t="inlineStr">
        <is>
          <t>Med.dem.benth.</t>
        </is>
      </c>
      <c r="F182" t="inlineStr"/>
      <c r="G182" t="inlineStr"/>
      <c r="H182" t="inlineStr">
        <is>
          <t>high</t>
        </is>
      </c>
      <c r="I182" t="inlineStr">
        <is>
          <t>explicit_member</t>
        </is>
      </c>
      <c r="J182" t="n">
        <v>1990.444</v>
      </c>
      <c r="K182" t="n">
        <v>0.0013</v>
      </c>
      <c r="L18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183">
      <c r="A183" t="inlineStr">
        <is>
          <t>Platycaranx malabaricus</t>
        </is>
      </c>
      <c r="B183" t="inlineStr">
        <is>
          <t>Malabar trevally</t>
        </is>
      </c>
      <c r="C183" t="inlineStr">
        <is>
          <t>Medium reef assoc. fish (30 - 89 cm)</t>
        </is>
      </c>
      <c r="D183" t="inlineStr">
        <is>
          <t>Perch-likes</t>
        </is>
      </c>
      <c r="E183" s="5" t="inlineStr">
        <is>
          <t>Lg. piscivores | Juv.Lg.Pisciv.</t>
        </is>
      </c>
      <c r="F183" t="inlineStr">
        <is>
          <t>1.000 | 0.000</t>
        </is>
      </c>
      <c r="G183" t="inlineStr">
        <is>
          <t>model_catch</t>
        </is>
      </c>
      <c r="H183" t="inlineStr">
        <is>
          <t>medium</t>
        </is>
      </c>
      <c r="I183" t="inlineStr">
        <is>
          <t>composite_split</t>
        </is>
      </c>
      <c r="J183" t="n">
        <v>1824.127</v>
      </c>
      <c r="K183" t="n">
        <v>0.0012</v>
      </c>
      <c r="L183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184">
      <c r="A184" t="inlineStr">
        <is>
          <t>Crassostrea</t>
        </is>
      </c>
      <c r="B184" t="inlineStr">
        <is>
          <t>Cupped oysters</t>
        </is>
      </c>
      <c r="C184" t="inlineStr">
        <is>
          <t>Other demersal invertebrates</t>
        </is>
      </c>
      <c r="D184" t="inlineStr">
        <is>
          <t>Molluscs</t>
        </is>
      </c>
      <c r="E184" s="7" t="inlineStr">
        <is>
          <t>Molluscs</t>
        </is>
      </c>
      <c r="F184" t="inlineStr"/>
      <c r="G184" t="inlineStr"/>
      <c r="H184" t="inlineStr">
        <is>
          <t>high</t>
        </is>
      </c>
      <c r="I184" t="inlineStr">
        <is>
          <t>taxonomic_containment</t>
        </is>
      </c>
      <c r="J184" t="n">
        <v>1676.511</v>
      </c>
      <c r="K184" t="n">
        <v>0.0011</v>
      </c>
      <c r="L184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185">
      <c r="A185" t="inlineStr">
        <is>
          <t>Gnathanodon speciosus</t>
        </is>
      </c>
      <c r="B185" t="inlineStr">
        <is>
          <t>Golden trevally</t>
        </is>
      </c>
      <c r="C185" t="inlineStr">
        <is>
          <t>Large reef assoc. fish (&gt;=90 cm)</t>
        </is>
      </c>
      <c r="D185" t="inlineStr">
        <is>
          <t>Perch-likes</t>
        </is>
      </c>
      <c r="E185" s="5" t="inlineStr">
        <is>
          <t>Lg. piscivores | Juv.Lg.Pisciv.</t>
        </is>
      </c>
      <c r="F185" t="inlineStr">
        <is>
          <t>1.000 | 0.000</t>
        </is>
      </c>
      <c r="G185" t="inlineStr">
        <is>
          <t>model_catch</t>
        </is>
      </c>
      <c r="H185" t="inlineStr">
        <is>
          <t>medium</t>
        </is>
      </c>
      <c r="I185" t="inlineStr">
        <is>
          <t>composite_split</t>
        </is>
      </c>
      <c r="J185" t="n">
        <v>1594.457</v>
      </c>
      <c r="K185" t="n">
        <v>0.001</v>
      </c>
      <c r="L185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186">
      <c r="A186" t="inlineStr">
        <is>
          <t>Aluterus</t>
        </is>
      </c>
      <c r="B186" t="inlineStr">
        <is>
          <t>Aluterid filefishes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s="8" t="inlineStr">
        <is>
          <t>Med.dem.benth.</t>
        </is>
      </c>
      <c r="F186" t="inlineStr"/>
      <c r="G186" t="inlineStr"/>
      <c r="H186" t="inlineStr">
        <is>
          <t>low</t>
        </is>
      </c>
      <c r="I186" t="inlineStr">
        <is>
          <t>analogue</t>
        </is>
      </c>
      <c r="J186" t="n">
        <v>1369.928</v>
      </c>
      <c r="K186" t="n">
        <v>0.0009</v>
      </c>
      <c r="L186" s="6" t="inlineStr">
        <is>
          <t>Filefishes consume benthic organisms including invertebrates; provisional analogue to the benthivore pool used for Monacanthidae, with species-level diet variation unresolved.</t>
        </is>
      </c>
    </row>
    <row r="187">
      <c r="A187" t="inlineStr">
        <is>
          <t>Scatophagus</t>
        </is>
      </c>
      <c r="B187" t="inlineStr">
        <is>
          <t>Scats</t>
        </is>
      </c>
      <c r="C187" t="inlineStr">
        <is>
          <t>Medium demersals (30 - 89 cm)</t>
        </is>
      </c>
      <c r="D187" t="inlineStr">
        <is>
          <t>Perch-likes</t>
        </is>
      </c>
      <c r="E187" s="8" t="inlineStr">
        <is>
          <t>O.fish</t>
        </is>
      </c>
      <c r="F187" t="inlineStr"/>
      <c r="G187" t="inlineStr"/>
      <c r="H187" t="inlineStr">
        <is>
          <t>low</t>
        </is>
      </c>
      <c r="I187" t="inlineStr">
        <is>
          <t>analogue</t>
        </is>
      </c>
      <c r="J187" t="n">
        <v>1295.047</v>
      </c>
      <c r="K187" t="n">
        <v>0.0009</v>
      </c>
      <c r="L187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188">
      <c r="A188" t="inlineStr">
        <is>
          <t>Panulirus polyphagus</t>
        </is>
      </c>
      <c r="B188" t="inlineStr">
        <is>
          <t>Mud spiny lobster</t>
        </is>
      </c>
      <c r="C188" t="inlineStr">
        <is>
          <t>Lobsters, crabs</t>
        </is>
      </c>
      <c r="D188" t="inlineStr">
        <is>
          <t>Crustaceans</t>
        </is>
      </c>
      <c r="E188" s="7" t="inlineStr">
        <is>
          <t>Crab, lobster</t>
        </is>
      </c>
      <c r="F188" t="inlineStr"/>
      <c r="G188" t="inlineStr"/>
      <c r="H188" t="inlineStr">
        <is>
          <t>high</t>
        </is>
      </c>
      <c r="I188" t="inlineStr">
        <is>
          <t>taxonomic_containment</t>
        </is>
      </c>
      <c r="J188" t="n">
        <v>1294.74</v>
      </c>
      <c r="K188" t="n">
        <v>0.0009</v>
      </c>
      <c r="L188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189">
      <c r="A189" t="inlineStr">
        <is>
          <t>Makaira mazara</t>
        </is>
      </c>
      <c r="B189" t="inlineStr">
        <is>
          <t>Indo-Pacific blue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s="9" t="inlineStr">
        <is>
          <t>Unresolved</t>
        </is>
      </c>
      <c r="F189" t="inlineStr"/>
      <c r="G189" t="inlineStr"/>
      <c r="H189" t="inlineStr">
        <is>
          <t>unresolved</t>
        </is>
      </c>
      <c r="I189" t="inlineStr">
        <is>
          <t>none</t>
        </is>
      </c>
      <c r="J189" t="n">
        <v>1283.147</v>
      </c>
      <c r="K189" t="n">
        <v>0.0008</v>
      </c>
      <c r="L189" s="6" t="inlineStr">
        <is>
          <t>Blue marlin (Istiophoridae); no billfish compartment in this model.</t>
        </is>
      </c>
    </row>
    <row r="190">
      <c r="A190" t="inlineStr">
        <is>
          <t>Miscellaneous marine crustaceans</t>
        </is>
      </c>
      <c r="B190" t="inlineStr">
        <is>
          <t>Marine crabs, shrimps, lobsters nei</t>
        </is>
      </c>
      <c r="C190" t="inlineStr">
        <is>
          <t>Shrimps</t>
        </is>
      </c>
      <c r="D190" t="inlineStr">
        <is>
          <t>Crustaceans</t>
        </is>
      </c>
      <c r="E190" s="7" t="inlineStr">
        <is>
          <t>Shrimps</t>
        </is>
      </c>
      <c r="F190" t="inlineStr"/>
      <c r="G190" t="inlineStr"/>
      <c r="H190" t="inlineStr">
        <is>
          <t>high</t>
        </is>
      </c>
      <c r="I190" t="inlineStr">
        <is>
          <t>taxonomic_containment</t>
        </is>
      </c>
      <c r="J190" t="n">
        <v>1137.66</v>
      </c>
      <c r="K190" t="n">
        <v>0.0007</v>
      </c>
      <c r="L190" s="6" t="inlineStr">
        <is>
          <t>Unidentified/broad crustacean catch record that Sea Around Us has itself classified under the "Shrimps" functional_group, though the higher taxon nominally also spans crabs and lobsters. Reviewed against the Ecobase group name and diet; the original paper p.130 lists important components but does not settle this taxon.</t>
        </is>
      </c>
    </row>
    <row r="191">
      <c r="A191" t="inlineStr">
        <is>
          <t>Platycephalus indicus</t>
        </is>
      </c>
      <c r="B191" t="inlineStr">
        <is>
          <t>Bartail flathead</t>
        </is>
      </c>
      <c r="C191" t="inlineStr">
        <is>
          <t>Medium demersals (30 - 89 cm)</t>
        </is>
      </c>
      <c r="D191" t="inlineStr">
        <is>
          <t>Scorpionfishes</t>
        </is>
      </c>
      <c r="E191" s="5" t="inlineStr">
        <is>
          <t>Med.dem.pisc.</t>
        </is>
      </c>
      <c r="F191" t="inlineStr"/>
      <c r="G191" t="inlineStr"/>
      <c r="H191" t="inlineStr">
        <is>
          <t>medium</t>
        </is>
      </c>
      <c r="I191" t="inlineStr">
        <is>
          <t>habitat_size_guild</t>
        </is>
      </c>
      <c r="J191" t="n">
        <v>1000.343</v>
      </c>
      <c r="K191" t="n">
        <v>0.0007</v>
      </c>
      <c r="L191" s="6" t="inlineStr">
        <is>
          <t>Bartail flathead; same ambush-piscivore guild as Platycephalidae. Reviewed against the Ecobase group name and diet; the original paper p.130 lists important components but does not settle this taxon.</t>
        </is>
      </c>
    </row>
    <row r="192">
      <c r="A192" t="inlineStr">
        <is>
          <t>Holothuriidae</t>
        </is>
      </c>
      <c r="B192" t="inlineStr">
        <is>
          <t>Fleshy sea cucumbers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s="5" t="inlineStr">
        <is>
          <t>Benthos</t>
        </is>
      </c>
      <c r="F192" t="inlineStr"/>
      <c r="G192" t="inlineStr"/>
      <c r="H192" t="inlineStr">
        <is>
          <t>medium</t>
        </is>
      </c>
      <c r="I192" t="inlineStr">
        <is>
          <t>habitat_size_guild</t>
        </is>
      </c>
      <c r="J192" t="n">
        <v>930.987</v>
      </c>
      <c r="K192" t="n">
        <v>0.0005999999999999999</v>
      </c>
      <c r="L192" s="6" t="inlineStr">
        <is>
          <t>Sea cucumbers are unambiguously benthic invertebrates, the taxonomic scope of the Benthos compartment. Reviewed against the Ecobase group name and diet; the original paper p.130 lists important components but does not settle this taxon.</t>
        </is>
      </c>
    </row>
    <row r="193">
      <c r="A193" t="inlineStr">
        <is>
          <t>Istiompax indica</t>
        </is>
      </c>
      <c r="B193" t="inlineStr">
        <is>
          <t>Black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s="9" t="inlineStr">
        <is>
          <t>Unresolved</t>
        </is>
      </c>
      <c r="F193" t="inlineStr"/>
      <c r="G193" t="inlineStr"/>
      <c r="H193" t="inlineStr">
        <is>
          <t>unresolved</t>
        </is>
      </c>
      <c r="I193" t="inlineStr">
        <is>
          <t>none</t>
        </is>
      </c>
      <c r="J193" t="n">
        <v>851.096</v>
      </c>
      <c r="K193" t="n">
        <v>0.0005999999999999999</v>
      </c>
      <c r="L193" s="6" t="inlineStr">
        <is>
          <t>Black marlin (Istiophoridae); no billfish compartment in this model.</t>
        </is>
      </c>
    </row>
    <row r="194">
      <c r="A194" t="inlineStr">
        <is>
          <t>Menidae</t>
        </is>
      </c>
      <c r="B194" t="inlineStr">
        <is>
          <t>Moonfishes</t>
        </is>
      </c>
      <c r="C194" t="inlineStr">
        <is>
          <t>Medium reef assoc. fish (30 - 89 cm)</t>
        </is>
      </c>
      <c r="D194" t="inlineStr">
        <is>
          <t>Perch-likes</t>
        </is>
      </c>
      <c r="E194" s="5" t="inlineStr">
        <is>
          <t>Med.dem.benth.</t>
        </is>
      </c>
      <c r="F194" t="inlineStr"/>
      <c r="G194" t="inlineStr"/>
      <c r="H194" t="inlineStr">
        <is>
          <t>medium</t>
        </is>
      </c>
      <c r="I194" t="inlineStr">
        <is>
          <t>habitat_size_guild</t>
        </is>
      </c>
      <c r="J194" t="n">
        <v>665.819</v>
      </c>
      <c r="K194" t="n">
        <v>0.0004</v>
      </c>
      <c r="L194" s="6" t="inlineStr">
        <is>
          <t>Moonfish/mono are schooling zooplanktivores in estuaries; mapped to the closest bottom-associated bucket absent a dedicated compartment. Reviewed against the Ecobase group name and diet; the original paper p.130 lists important components but does not settle this taxon.</t>
        </is>
      </c>
    </row>
    <row r="195">
      <c r="A195" t="inlineStr">
        <is>
          <t>Hyporhamphus</t>
        </is>
      </c>
      <c r="B195" t="inlineStr">
        <is>
          <t>Sea garfishes</t>
        </is>
      </c>
      <c r="C195" t="inlineStr">
        <is>
          <t>Small reef assoc. fish (&lt;30 cm)</t>
        </is>
      </c>
      <c r="D195" t="inlineStr">
        <is>
          <t>Other fishes &amp; inverts</t>
        </is>
      </c>
      <c r="E195" s="5" t="inlineStr">
        <is>
          <t>Sm. pelagics</t>
        </is>
      </c>
      <c r="F195" t="inlineStr"/>
      <c r="G195" t="inlineStr"/>
      <c r="H195" t="inlineStr">
        <is>
          <t>medium</t>
        </is>
      </c>
      <c r="I195" t="inlineStr">
        <is>
          <t>habitat_size_guild</t>
        </is>
      </c>
      <c r="J195" t="n">
        <v>605.279</v>
      </c>
      <c r="K195" t="n">
        <v>0.0004</v>
      </c>
      <c r="L195" s="6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</row>
    <row r="196">
      <c r="A196" t="inlineStr">
        <is>
          <t>Caranx sexfasciatus</t>
        </is>
      </c>
      <c r="B196" t="inlineStr">
        <is>
          <t>Bigeye trevally</t>
        </is>
      </c>
      <c r="C196" t="inlineStr">
        <is>
          <t>Large reef assoc. fish (&gt;=90 cm)</t>
        </is>
      </c>
      <c r="D196" t="inlineStr">
        <is>
          <t>Perch-likes</t>
        </is>
      </c>
      <c r="E196" s="5" t="inlineStr">
        <is>
          <t>Lg. piscivores | Juv.Lg.Pisciv.</t>
        </is>
      </c>
      <c r="F196" t="inlineStr">
        <is>
          <t>1.000 | 0.000</t>
        </is>
      </c>
      <c r="G196" t="inlineStr">
        <is>
          <t>model_catch</t>
        </is>
      </c>
      <c r="H196" t="inlineStr">
        <is>
          <t>medium</t>
        </is>
      </c>
      <c r="I196" t="inlineStr">
        <is>
          <t>composite_split</t>
        </is>
      </c>
      <c r="J196" t="n">
        <v>538.636</v>
      </c>
      <c r="K196" t="n">
        <v>0.0004</v>
      </c>
      <c r="L196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197">
      <c r="A197" t="inlineStr">
        <is>
          <t>Megalops cyprinoides</t>
        </is>
      </c>
      <c r="B197" t="inlineStr">
        <is>
          <t>Indo-Pacific tarpon</t>
        </is>
      </c>
      <c r="C197" t="inlineStr">
        <is>
          <t>Large pelagics (&gt;=90 cm)</t>
        </is>
      </c>
      <c r="D197" t="inlineStr">
        <is>
          <t>Other fishes &amp; inverts</t>
        </is>
      </c>
      <c r="E197" s="5" t="inlineStr">
        <is>
          <t>Lg. piscivores | Juv.Lg.Pisciv.</t>
        </is>
      </c>
      <c r="F197" t="inlineStr">
        <is>
          <t>1.000 | 0.000</t>
        </is>
      </c>
      <c r="G197" t="inlineStr">
        <is>
          <t>model_catch</t>
        </is>
      </c>
      <c r="H197" t="inlineStr">
        <is>
          <t>medium</t>
        </is>
      </c>
      <c r="I197" t="inlineStr">
        <is>
          <t>composite_split</t>
        </is>
      </c>
      <c r="J197" t="n">
        <v>422.413</v>
      </c>
      <c r="K197" t="n">
        <v>0.0003</v>
      </c>
      <c r="L197" s="6" t="inlineStr">
        <is>
          <t>Indo-Pacific tarpon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</row>
    <row r="198">
      <c r="A198" t="inlineStr">
        <is>
          <t>Spratelloides</t>
        </is>
      </c>
      <c r="B198" t="inlineStr">
        <is>
          <t>Round herrings</t>
        </is>
      </c>
      <c r="C198" t="inlineStr">
        <is>
          <t>Small reef assoc. fish (&lt;30 cm)</t>
        </is>
      </c>
      <c r="D198" t="inlineStr">
        <is>
          <t>Herring-likes</t>
        </is>
      </c>
      <c r="E198" s="5" t="inlineStr">
        <is>
          <t>Sm. pelagics</t>
        </is>
      </c>
      <c r="F198" t="inlineStr"/>
      <c r="G198" t="inlineStr"/>
      <c r="H198" t="inlineStr">
        <is>
          <t>medium</t>
        </is>
      </c>
      <c r="I198" t="inlineStr">
        <is>
          <t>habitat_size_guild</t>
        </is>
      </c>
      <c r="J198" t="n">
        <v>392.614</v>
      </c>
      <c r="K198" t="n">
        <v>0.0003</v>
      </c>
      <c r="L198" s="6" t="inlineStr">
        <is>
          <t>Round herrings (Dussumieriidae/Clupeidae) are open-water schooling clupeiforms despite the SAU "reef assoc." tag; treated by taxonomic/ecological identity as small schooling pelagics. Reviewed against the Ecobase group name and diet; the original paper p.130 lists important components but does not settle this taxon.</t>
        </is>
      </c>
    </row>
    <row r="199">
      <c r="A199" t="inlineStr">
        <is>
          <t>Marine pelagic fishes not identified</t>
        </is>
      </c>
      <c r="B199" t="inlineStr">
        <is>
          <t>Pelagic 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s="8" t="inlineStr">
        <is>
          <t>Sm. pelagics | Scad</t>
        </is>
      </c>
      <c r="F199" t="inlineStr">
        <is>
          <t>0.677 | 0.323</t>
        </is>
      </c>
      <c r="G199" t="inlineStr">
        <is>
          <t>catch_composition</t>
        </is>
      </c>
      <c r="H199" t="inlineStr">
        <is>
          <t>low</t>
        </is>
      </c>
      <c r="I199" t="inlineStr">
        <is>
          <t>composite_split</t>
        </is>
      </c>
      <c r="J199" t="n">
        <v>331.328</v>
      </c>
      <c r="K199" t="n">
        <v>0.0002</v>
      </c>
      <c r="L199" s="6" t="inlineStr">
        <is>
          <t>Unidentified pelagic catch spans the broad schooling pelagic and scad pools; exclude the exclusively benthic/omnivorous O.fish pool and named tuna/mackerel stocks.</t>
        </is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263.415</v>
      </c>
      <c r="K200" t="n">
        <v>0.0002</v>
      </c>
      <c r="L200" s="6" t="inlineStr">
        <is>
          <t>Marlin genus (Istiophoridae); no billfish compartment in this model.</t>
        </is>
      </c>
    </row>
    <row r="201">
      <c r="A201" t="inlineStr">
        <is>
          <t>Thunnus alalunga</t>
        </is>
      </c>
      <c r="B201" t="inlineStr">
        <is>
          <t>Albacore</t>
        </is>
      </c>
      <c r="C201" t="inlineStr">
        <is>
          <t>Large pelagics (&gt;=90 cm)</t>
        </is>
      </c>
      <c r="D201" t="inlineStr">
        <is>
          <t>Tuna &amp; billfishes</t>
        </is>
      </c>
      <c r="E201" s="5" t="inlineStr">
        <is>
          <t>Tuna</t>
        </is>
      </c>
      <c r="F201" t="inlineStr"/>
      <c r="G201" t="inlineStr"/>
      <c r="H201" t="inlineStr">
        <is>
          <t>medium</t>
        </is>
      </c>
      <c r="I201" t="inlineStr">
        <is>
          <t>habitat_size_guild</t>
        </is>
      </c>
      <c r="J201" t="n">
        <v>248.976</v>
      </c>
      <c r="K201" t="n">
        <v>0.0002</v>
      </c>
      <c r="L201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</row>
    <row r="202">
      <c r="A202" t="inlineStr">
        <is>
          <t>Scatophagus argus</t>
        </is>
      </c>
      <c r="B202" t="inlineStr">
        <is>
          <t>Spotted scat</t>
        </is>
      </c>
      <c r="C202" t="inlineStr">
        <is>
          <t>Medium demersals (30 - 89 cm)</t>
        </is>
      </c>
      <c r="D202" t="inlineStr">
        <is>
          <t>Perch-likes</t>
        </is>
      </c>
      <c r="E202" s="8" t="inlineStr">
        <is>
          <t>O.fish</t>
        </is>
      </c>
      <c r="F202" t="inlineStr"/>
      <c r="G202" t="inlineStr"/>
      <c r="H202" t="inlineStr">
        <is>
          <t>low</t>
        </is>
      </c>
      <c r="I202" t="inlineStr">
        <is>
          <t>analogue</t>
        </is>
      </c>
      <c r="J202" t="n">
        <v>174.131</v>
      </c>
      <c r="K202" t="n">
        <v>0.0001</v>
      </c>
      <c r="L202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</row>
    <row r="203">
      <c r="A203" t="inlineStr">
        <is>
          <t>Panulirus</t>
        </is>
      </c>
      <c r="B203" t="inlineStr">
        <is>
          <t>Spiny lobsters</t>
        </is>
      </c>
      <c r="C203" t="inlineStr">
        <is>
          <t>Lobsters, crabs</t>
        </is>
      </c>
      <c r="D203" t="inlineStr">
        <is>
          <t>Crustaceans</t>
        </is>
      </c>
      <c r="E203" s="7" t="inlineStr">
        <is>
          <t>Crab, lobster</t>
        </is>
      </c>
      <c r="F203" t="inlineStr"/>
      <c r="G203" t="inlineStr"/>
      <c r="H203" t="inlineStr">
        <is>
          <t>high</t>
        </is>
      </c>
      <c r="I203" t="inlineStr">
        <is>
          <t>taxonomic_containment</t>
        </is>
      </c>
      <c r="J203" t="n">
        <v>169.883</v>
      </c>
      <c r="K203" t="n">
        <v>0.0001</v>
      </c>
      <c r="L203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</row>
    <row r="204">
      <c r="A204" t="inlineStr">
        <is>
          <t>Istiophorus platypterus</t>
        </is>
      </c>
      <c r="B204" t="inlineStr">
        <is>
          <t>Indo-Pacific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s="9" t="inlineStr">
        <is>
          <t>Unresolved</t>
        </is>
      </c>
      <c r="F204" t="inlineStr"/>
      <c r="G204" t="inlineStr"/>
      <c r="H204" t="inlineStr">
        <is>
          <t>unresolved</t>
        </is>
      </c>
      <c r="I204" t="inlineStr">
        <is>
          <t>none</t>
        </is>
      </c>
      <c r="J204" t="n">
        <v>164.275</v>
      </c>
      <c r="K204" t="n">
        <v>0.0001</v>
      </c>
      <c r="L204" s="6" t="inlineStr">
        <is>
          <t>Sailfish (Istiophoridae), not Scombridae; no billfish compartment exists in this 1963 coastal-shelf model.</t>
        </is>
      </c>
    </row>
    <row r="205">
      <c r="A205" t="inlineStr">
        <is>
          <t>Ostreidae</t>
        </is>
      </c>
      <c r="B205" t="inlineStr">
        <is>
          <t>True oysters</t>
        </is>
      </c>
      <c r="C205" t="inlineStr">
        <is>
          <t>Other demersal invertebrates</t>
        </is>
      </c>
      <c r="D205" t="inlineStr">
        <is>
          <t>Molluscs</t>
        </is>
      </c>
      <c r="E205" s="7" t="inlineStr">
        <is>
          <t>Molluscs</t>
        </is>
      </c>
      <c r="F205" t="inlineStr"/>
      <c r="G205" t="inlineStr"/>
      <c r="H205" t="inlineStr">
        <is>
          <t>high</t>
        </is>
      </c>
      <c r="I205" t="inlineStr">
        <is>
          <t>taxonomic_containment</t>
        </is>
      </c>
      <c r="J205" t="n">
        <v>153.208</v>
      </c>
      <c r="K205" t="n">
        <v>0.0001</v>
      </c>
      <c r="L205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206">
      <c r="A206" t="inlineStr">
        <is>
          <t>Stromateidae</t>
        </is>
      </c>
      <c r="B206" t="inlineStr">
        <is>
          <t>Butterfishes</t>
        </is>
      </c>
      <c r="C206" t="inlineStr">
        <is>
          <t>Small benthopelagics (&lt;30 cm)</t>
        </is>
      </c>
      <c r="D206" t="inlineStr">
        <is>
          <t>Perch-likes</t>
        </is>
      </c>
      <c r="E206" s="7" t="inlineStr">
        <is>
          <t>Med.dem.benth.</t>
        </is>
      </c>
      <c r="F206" t="inlineStr"/>
      <c r="G206" t="inlineStr"/>
      <c r="H206" t="inlineStr">
        <is>
          <t>high</t>
        </is>
      </c>
      <c r="I206" t="inlineStr">
        <is>
          <t>taxonomic_containment</t>
        </is>
      </c>
      <c r="J206" t="n">
        <v>131.578</v>
      </c>
      <c r="K206" t="n">
        <v>0.0001</v>
      </c>
      <c r="L20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07">
      <c r="A207" t="inlineStr">
        <is>
          <t>Aluterus monoceros</t>
        </is>
      </c>
      <c r="B207" t="inlineStr">
        <is>
          <t>Unicorn leatherjacket filefish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s="5" t="inlineStr">
        <is>
          <t>Med.dem.benth.</t>
        </is>
      </c>
      <c r="F207" t="inlineStr"/>
      <c r="G207" t="inlineStr"/>
      <c r="H207" t="inlineStr">
        <is>
          <t>medium</t>
        </is>
      </c>
      <c r="I207" t="inlineStr">
        <is>
          <t>habitat_size_guild</t>
        </is>
      </c>
      <c r="J207" t="n">
        <v>88.80800000000001</v>
      </c>
      <c r="K207" t="n">
        <v>0.0001</v>
      </c>
      <c r="L207" s="6" t="inlineStr">
        <is>
          <t>Unicorn filefish; same benthic invertivore/omnivore guild as Monacanthidae. Reviewed against the Ecobase group name and diet; the original paper p.130 lists important components but does not settle this taxon.</t>
        </is>
      </c>
    </row>
    <row r="208">
      <c r="A208" t="inlineStr">
        <is>
          <t>Chondrichthyes</t>
        </is>
      </c>
      <c r="B208" t="inlineStr">
        <is>
          <t>Sharks, rays, chimaeras</t>
        </is>
      </c>
      <c r="C208" t="inlineStr">
        <is>
          <t>Large sharks (&gt;=90 cm)</t>
        </is>
      </c>
      <c r="D208" t="inlineStr">
        <is>
          <t>Sharks &amp; rays</t>
        </is>
      </c>
      <c r="E208" s="8" t="inlineStr">
        <is>
          <t>Sharks | Juv. sharks | Rays</t>
        </is>
      </c>
      <c r="F208" t="inlineStr">
        <is>
          <t>0.000 | 0.000 | 1.000</t>
        </is>
      </c>
      <c r="G208" t="inlineStr">
        <is>
          <t>catch_composition</t>
        </is>
      </c>
      <c r="H208" t="inlineStr">
        <is>
          <t>low</t>
        </is>
      </c>
      <c r="I208" t="inlineStr">
        <is>
          <t>composite_split</t>
        </is>
      </c>
      <c r="J208" t="n">
        <v>84.401</v>
      </c>
      <c r="K208" t="n">
        <v>0.0001</v>
      </c>
      <c r="L208" s="6" t="inlineStr">
        <is>
          <t>The coarse cartilaginous-fish catch is allocated across modeled sharks and rays; any chimaera component is unsupported by this shelf model.</t>
        </is>
      </c>
    </row>
    <row r="209">
      <c r="A209" t="inlineStr">
        <is>
          <t>Echinodermata</t>
        </is>
      </c>
      <c r="B209" t="inlineStr">
        <is>
          <t>Sea urchins, stars, cucumbers</t>
        </is>
      </c>
      <c r="C209" t="inlineStr">
        <is>
          <t>Other demersal invertebrates</t>
        </is>
      </c>
      <c r="D209" t="inlineStr">
        <is>
          <t>Other fishes &amp; inverts</t>
        </is>
      </c>
      <c r="E209" s="5" t="inlineStr">
        <is>
          <t>Benthos</t>
        </is>
      </c>
      <c r="F209" t="inlineStr"/>
      <c r="G209" t="inlineStr"/>
      <c r="H209" t="inlineStr">
        <is>
          <t>medium</t>
        </is>
      </c>
      <c r="I209" t="inlineStr">
        <is>
          <t>habitat_size_guild</t>
        </is>
      </c>
      <c r="J209" t="n">
        <v>45.294</v>
      </c>
      <c r="K209" t="n">
        <v>0</v>
      </c>
      <c r="L209" s="6" t="inlineStr">
        <is>
          <t>Echinoderm phylum (urchins, stars, cucumbers) are unambiguously benthic invertebrates, matching Benthos directly. Reviewed against the Ecobase group name and diet; the original paper p.130 lists important components but does not settle this taxon.</t>
        </is>
      </c>
    </row>
    <row r="210">
      <c r="A210" t="inlineStr">
        <is>
          <t>Caranx</t>
        </is>
      </c>
      <c r="B210" t="inlineStr">
        <is>
          <t>Jacks</t>
        </is>
      </c>
      <c r="C210" t="inlineStr">
        <is>
          <t>Medium reef assoc. fish (30 - 89 cm)</t>
        </is>
      </c>
      <c r="D210" t="inlineStr">
        <is>
          <t>Perch-likes</t>
        </is>
      </c>
      <c r="E210" s="5" t="inlineStr">
        <is>
          <t>Lg. piscivores | Juv.Lg.Pisciv.</t>
        </is>
      </c>
      <c r="F210" t="inlineStr">
        <is>
          <t>1.000 | 0.000</t>
        </is>
      </c>
      <c r="G210" t="inlineStr">
        <is>
          <t>model_catch</t>
        </is>
      </c>
      <c r="H210" t="inlineStr">
        <is>
          <t>medium</t>
        </is>
      </c>
      <c r="I210" t="inlineStr">
        <is>
          <t>composite_split</t>
        </is>
      </c>
      <c r="J210" t="n">
        <v>39.75</v>
      </c>
      <c r="K210" t="n">
        <v>0</v>
      </c>
      <c r="L210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</row>
    <row r="211">
      <c r="A211" t="inlineStr">
        <is>
          <t>Pellona ditchela</t>
        </is>
      </c>
      <c r="B211" t="inlineStr">
        <is>
          <t>Indian pellona</t>
        </is>
      </c>
      <c r="C211" t="inlineStr">
        <is>
          <t>Small pelagics (&lt;30 cm)</t>
        </is>
      </c>
      <c r="D211" t="inlineStr">
        <is>
          <t>Herring-likes</t>
        </is>
      </c>
      <c r="E211" s="5" t="inlineStr">
        <is>
          <t>Sm. pelagics</t>
        </is>
      </c>
      <c r="F211" t="inlineStr"/>
      <c r="G211" t="inlineStr"/>
      <c r="H211" t="inlineStr">
        <is>
          <t>medium</t>
        </is>
      </c>
      <c r="I211" t="inlineStr">
        <is>
          <t>habitat_size_guild</t>
        </is>
      </c>
      <c r="J211" t="n">
        <v>30.364</v>
      </c>
      <c r="K211" t="n">
        <v>0</v>
      </c>
      <c r="L211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212">
      <c r="A212" t="inlineStr">
        <is>
          <t>Carcharhinus falciformis</t>
        </is>
      </c>
      <c r="B212" t="inlineStr">
        <is>
          <t>Silky shark</t>
        </is>
      </c>
      <c r="C212" t="inlineStr">
        <is>
          <t>Large sharks (&gt;=90 cm)</t>
        </is>
      </c>
      <c r="D212" t="inlineStr">
        <is>
          <t>Sharks &amp; rays</t>
        </is>
      </c>
      <c r="E212" s="5" t="inlineStr">
        <is>
          <t>Sharks | Juv. sharks</t>
        </is>
      </c>
      <c r="F212" t="inlineStr">
        <is>
          <t>1.000 | 0.000</t>
        </is>
      </c>
      <c r="G212" t="inlineStr">
        <is>
          <t>model_catch</t>
        </is>
      </c>
      <c r="H212" t="inlineStr">
        <is>
          <t>medium</t>
        </is>
      </c>
      <c r="I212" t="inlineStr">
        <is>
          <t>composite_split</t>
        </is>
      </c>
      <c r="J212" t="n">
        <v>22.869</v>
      </c>
      <c r="K212" t="n">
        <v>0</v>
      </c>
      <c r="L212" s="6" t="inlineStr">
        <is>
          <t>The Ecobase model splits sharks by life stage; catch has no stage split. Model catch is recorded only on Sharks.</t>
        </is>
      </c>
    </row>
    <row r="213">
      <c r="A213" t="inlineStr">
        <is>
          <t>Scyphozoa</t>
        </is>
      </c>
      <c r="B213" t="inlineStr">
        <is>
          <t>True jellyfishes</t>
        </is>
      </c>
      <c r="C213" t="inlineStr">
        <is>
          <t>Jellyfish</t>
        </is>
      </c>
      <c r="D213" t="inlineStr">
        <is>
          <t>Other fishes &amp; inverts</t>
        </is>
      </c>
      <c r="E213" s="7" t="inlineStr">
        <is>
          <t>Jellyfish</t>
        </is>
      </c>
      <c r="F213" t="inlineStr"/>
      <c r="G213" t="inlineStr"/>
      <c r="H213" t="inlineStr">
        <is>
          <t>high</t>
        </is>
      </c>
      <c r="I213" t="inlineStr">
        <is>
          <t>taxonomic_containment</t>
        </is>
      </c>
      <c r="J213" t="n">
        <v>22.4</v>
      </c>
      <c r="K213" t="n">
        <v>0</v>
      </c>
      <c r="L213" s="6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</row>
    <row r="214">
      <c r="A214" t="inlineStr">
        <is>
          <t>Coryphaena hippurus</t>
        </is>
      </c>
      <c r="B214" t="inlineStr">
        <is>
          <t>Common dolphinfish</t>
        </is>
      </c>
      <c r="C214" t="inlineStr">
        <is>
          <t>Large pelagics (&gt;=90 cm)</t>
        </is>
      </c>
      <c r="D214" t="inlineStr">
        <is>
          <t>Perch-likes</t>
        </is>
      </c>
      <c r="E214" s="5" t="inlineStr">
        <is>
          <t>Lg. piscivores | Juv.Lg.Pisciv.</t>
        </is>
      </c>
      <c r="F214" t="inlineStr">
        <is>
          <t>1.000 | 0.000</t>
        </is>
      </c>
      <c r="G214" t="inlineStr">
        <is>
          <t>model_catch</t>
        </is>
      </c>
      <c r="H214" t="inlineStr">
        <is>
          <t>medium</t>
        </is>
      </c>
      <c r="I214" t="inlineStr">
        <is>
          <t>composite_split</t>
        </is>
      </c>
      <c r="J214" t="n">
        <v>22.145</v>
      </c>
      <c r="K214" t="n">
        <v>0</v>
      </c>
      <c r="L214" s="6" t="inlineStr">
        <is>
          <t>Dolphinfish is a large, fast pelagic piscivore; closest ecological analogue absent a dedicated compartment. Reviewed against the Ecobase group name and diet; the original paper p.130 lists important components but does not settle this taxon. Catch has no age split; model catch assigns no catch to the juvenile pool.</t>
        </is>
      </c>
    </row>
    <row r="215">
      <c r="A215" t="inlineStr">
        <is>
          <t>Labridae</t>
        </is>
      </c>
      <c r="B215" t="inlineStr">
        <is>
          <t>Wrasses, gropers, tuskfishes</t>
        </is>
      </c>
      <c r="C215" t="inlineStr">
        <is>
          <t>Medium reef assoc. fish (30 - 89 cm)</t>
        </is>
      </c>
      <c r="D215" t="inlineStr">
        <is>
          <t>Perch-likes</t>
        </is>
      </c>
      <c r="E215" s="5" t="inlineStr">
        <is>
          <t>Med.dem.benth.</t>
        </is>
      </c>
      <c r="F215" t="inlineStr"/>
      <c r="G215" t="inlineStr"/>
      <c r="H215" t="inlineStr">
        <is>
          <t>medium</t>
        </is>
      </c>
      <c r="I215" t="inlineStr">
        <is>
          <t>habitat_size_guild</t>
        </is>
      </c>
      <c r="J215" t="n">
        <v>4.968</v>
      </c>
      <c r="K215" t="n">
        <v>0</v>
      </c>
      <c r="L215" s="6" t="inlineStr">
        <is>
          <t>Wrasse feed on benthic invertebrates (crustaceans, molluscs). Reviewed against the Ecobase group name and diet; the original paper p.130 lists important components but does not settle this taxon.</t>
        </is>
      </c>
    </row>
    <row r="216">
      <c r="A216" t="inlineStr">
        <is>
          <t>Decapoda</t>
        </is>
      </c>
      <c r="B216" t="inlineStr">
        <is>
          <t>Crabs, lobsters, shrimps</t>
        </is>
      </c>
      <c r="C216" t="inlineStr">
        <is>
          <t>Lobsters, crabs</t>
        </is>
      </c>
      <c r="D216" t="inlineStr">
        <is>
          <t>Crustaceans</t>
        </is>
      </c>
      <c r="E216" s="5" t="inlineStr">
        <is>
          <t>Shrimps | Crab, lobster</t>
        </is>
      </c>
      <c r="F216" t="inlineStr">
        <is>
          <t>0.773 | 0.227</t>
        </is>
      </c>
      <c r="G216" t="inlineStr">
        <is>
          <t>catch_composition</t>
        </is>
      </c>
      <c r="H216" t="inlineStr">
        <is>
          <t>medium</t>
        </is>
      </c>
      <c r="I216" t="inlineStr">
        <is>
          <t>composite_split</t>
        </is>
      </c>
      <c r="J216" t="n">
        <v>4.152</v>
      </c>
      <c r="K216" t="n">
        <v>0</v>
      </c>
      <c r="L216" s="6" t="inlineStr">
        <is>
          <t>Decapoda contains shrimp, crabs and lobsters; both named model compartments are candidates.</t>
        </is>
      </c>
    </row>
    <row r="217">
      <c r="A217" t="inlineStr">
        <is>
          <t>Netuma thalassina</t>
        </is>
      </c>
      <c r="B217" t="inlineStr">
        <is>
          <t>Giant catfish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s="5" t="inlineStr">
        <is>
          <t>Med.dem.benth.</t>
        </is>
      </c>
      <c r="F217" t="inlineStr"/>
      <c r="G217" t="inlineStr"/>
      <c r="H217" t="inlineStr">
        <is>
          <t>medium</t>
        </is>
      </c>
      <c r="I217" t="inlineStr">
        <is>
          <t>habitat_size_guild</t>
        </is>
      </c>
      <c r="J217" t="n">
        <v>3.825</v>
      </c>
      <c r="K217" t="n">
        <v>0</v>
      </c>
      <c r="L217" s="6" t="inlineStr">
        <is>
          <t>Source p.130 includes Arius in medium demersal benthivores. The broader sea-catfish family and Netuma are inferred to that guild; no historical genus synonym is asserted.</t>
        </is>
      </c>
    </row>
    <row r="218">
      <c r="A218" t="inlineStr">
        <is>
          <t>Sardinella lemuru</t>
        </is>
      </c>
      <c r="B218" t="inlineStr">
        <is>
          <t>Bali sardinella</t>
        </is>
      </c>
      <c r="C218" t="inlineStr">
        <is>
          <t>Small pelagics (&lt;30 cm)</t>
        </is>
      </c>
      <c r="D218" t="inlineStr">
        <is>
          <t>Herring-likes</t>
        </is>
      </c>
      <c r="E218" s="5" t="inlineStr">
        <is>
          <t>Sm. pelagics</t>
        </is>
      </c>
      <c r="F218" t="inlineStr"/>
      <c r="G218" t="inlineStr"/>
      <c r="H218" t="inlineStr">
        <is>
          <t>medium</t>
        </is>
      </c>
      <c r="I218" t="inlineStr">
        <is>
          <t>habitat_size_guild</t>
        </is>
      </c>
      <c r="J218" t="n">
        <v>3.107</v>
      </c>
      <c r="K218" t="n">
        <v>0</v>
      </c>
      <c r="L218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219">
      <c r="A219" t="inlineStr">
        <is>
          <t>Teuthida</t>
        </is>
      </c>
      <c r="B219" t="inlineStr">
        <is>
          <t>Squids</t>
        </is>
      </c>
      <c r="C219" t="inlineStr">
        <is>
          <t>Cephalopods</t>
        </is>
      </c>
      <c r="D219" t="inlineStr">
        <is>
          <t>Other fishes &amp; inverts</t>
        </is>
      </c>
      <c r="E219" s="7" t="inlineStr">
        <is>
          <t>Cephalopods</t>
        </is>
      </c>
      <c r="F219" t="inlineStr"/>
      <c r="G219" t="inlineStr"/>
      <c r="H219" t="inlineStr">
        <is>
          <t>high</t>
        </is>
      </c>
      <c r="I219" t="inlineStr">
        <is>
          <t>taxonomic_containment</t>
        </is>
      </c>
      <c r="J219" t="n">
        <v>3.062</v>
      </c>
      <c r="K219" t="n">
        <v>0</v>
      </c>
      <c r="L219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220">
      <c r="A220" t="inlineStr">
        <is>
          <t>Acetes japonicus</t>
        </is>
      </c>
      <c r="B220" t="inlineStr">
        <is>
          <t>Akiami paste shrimp</t>
        </is>
      </c>
      <c r="C220" t="inlineStr">
        <is>
          <t>Shrimps</t>
        </is>
      </c>
      <c r="D220" t="inlineStr">
        <is>
          <t>Crustaceans</t>
        </is>
      </c>
      <c r="E220" s="7" t="inlineStr">
        <is>
          <t>Shrimps</t>
        </is>
      </c>
      <c r="F220" t="inlineStr"/>
      <c r="G220" t="inlineStr"/>
      <c r="H220" t="inlineStr">
        <is>
          <t>high</t>
        </is>
      </c>
      <c r="I220" t="inlineStr">
        <is>
          <t>taxonomic_containment</t>
        </is>
      </c>
      <c r="J220" t="n">
        <v>2.818</v>
      </c>
      <c r="K220" t="n">
        <v>0</v>
      </c>
      <c r="L220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221">
      <c r="A221" t="inlineStr">
        <is>
          <t>Lutjanus argentimaculatus</t>
        </is>
      </c>
      <c r="B221" t="inlineStr">
        <is>
          <t>Mangrove red snapper</t>
        </is>
      </c>
      <c r="C221" t="inlineStr">
        <is>
          <t>Large reef assoc. fish (&gt;=90 cm)</t>
        </is>
      </c>
      <c r="D221" t="inlineStr">
        <is>
          <t>Perch-likes</t>
        </is>
      </c>
      <c r="E221" s="5" t="inlineStr">
        <is>
          <t>Grouper/snapper | Juv. groupers</t>
        </is>
      </c>
      <c r="F221" t="inlineStr">
        <is>
          <t>1.000 | 0.000</t>
        </is>
      </c>
      <c r="G221" t="inlineStr">
        <is>
          <t>model_catch</t>
        </is>
      </c>
      <c r="H221" t="inlineStr">
        <is>
          <t>medium</t>
        </is>
      </c>
      <c r="I221" t="inlineStr">
        <is>
          <t>composite_split</t>
        </is>
      </c>
      <c r="J221" t="n">
        <v>2.71</v>
      </c>
      <c r="K221" t="n">
        <v>0</v>
      </c>
      <c r="L22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22">
      <c r="A222" t="inlineStr">
        <is>
          <t>Penaeus indicus</t>
        </is>
      </c>
      <c r="B222" t="inlineStr">
        <is>
          <t>Indian white prawn</t>
        </is>
      </c>
      <c r="C222" t="inlineStr">
        <is>
          <t>Shrimps</t>
        </is>
      </c>
      <c r="D222" t="inlineStr">
        <is>
          <t>Crustaceans</t>
        </is>
      </c>
      <c r="E222" s="7" t="inlineStr">
        <is>
          <t>Shrimps</t>
        </is>
      </c>
      <c r="F222" t="inlineStr"/>
      <c r="G222" t="inlineStr"/>
      <c r="H222" t="inlineStr">
        <is>
          <t>high</t>
        </is>
      </c>
      <c r="I222" t="inlineStr">
        <is>
          <t>taxonomic_containment</t>
        </is>
      </c>
      <c r="J222" t="n">
        <v>2.579</v>
      </c>
      <c r="K222" t="n">
        <v>0</v>
      </c>
      <c r="L222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</row>
    <row r="223">
      <c r="A223" t="inlineStr">
        <is>
          <t>Nemipterus hexodon</t>
        </is>
      </c>
      <c r="B223" t="inlineStr">
        <is>
          <t>Ornate threadfin bream</t>
        </is>
      </c>
      <c r="C223" t="inlineStr">
        <is>
          <t>Small demersals (&lt;30 cm)</t>
        </is>
      </c>
      <c r="D223" t="inlineStr">
        <is>
          <t>Perch-likes</t>
        </is>
      </c>
      <c r="E223" s="7" t="inlineStr">
        <is>
          <t>Sm.dem.benth.</t>
        </is>
      </c>
      <c r="F223" t="inlineStr"/>
      <c r="G223" t="inlineStr"/>
      <c r="H223" t="inlineStr">
        <is>
          <t>high</t>
        </is>
      </c>
      <c r="I223" t="inlineStr">
        <is>
          <t>taxonomic_containment</t>
        </is>
      </c>
      <c r="J223" t="n">
        <v>1.705</v>
      </c>
      <c r="K223" t="n">
        <v>0</v>
      </c>
      <c r="L22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24">
      <c r="A224" t="inlineStr">
        <is>
          <t>Cephalopholis boenak</t>
        </is>
      </c>
      <c r="B224" t="inlineStr">
        <is>
          <t>Chocolate hind</t>
        </is>
      </c>
      <c r="C224" t="inlineStr">
        <is>
          <t>Small reef assoc. fish (&lt;30 cm)</t>
        </is>
      </c>
      <c r="D224" t="inlineStr">
        <is>
          <t>Perch-likes</t>
        </is>
      </c>
      <c r="E224" s="5" t="inlineStr">
        <is>
          <t>Grouper/snapper | Juv. groupers</t>
        </is>
      </c>
      <c r="F224" t="inlineStr">
        <is>
          <t>1.000 | 0.000</t>
        </is>
      </c>
      <c r="G224" t="inlineStr">
        <is>
          <t>model_catch</t>
        </is>
      </c>
      <c r="H224" t="inlineStr">
        <is>
          <t>medium</t>
        </is>
      </c>
      <c r="I224" t="inlineStr">
        <is>
          <t>composite_split</t>
        </is>
      </c>
      <c r="J224" t="n">
        <v>0.986</v>
      </c>
      <c r="K224" t="n">
        <v>0</v>
      </c>
      <c r="L224" s="6" t="inlineStr">
        <is>
          <t>Groupers have juvenile and adult compartments; catch lacks life-stage detail. Use reported model catch, which assigns no catch to juveniles.</t>
        </is>
      </c>
    </row>
    <row r="225">
      <c r="A225" t="inlineStr">
        <is>
          <t>Dussumieria acuta</t>
        </is>
      </c>
      <c r="B225" t="inlineStr">
        <is>
          <t>Rainbow sardine</t>
        </is>
      </c>
      <c r="C225" t="inlineStr">
        <is>
          <t>Small pelagics (&lt;30 cm)</t>
        </is>
      </c>
      <c r="D225" t="inlineStr">
        <is>
          <t>Herring-likes</t>
        </is>
      </c>
      <c r="E225" s="5" t="inlineStr">
        <is>
          <t>Sm. pelagics</t>
        </is>
      </c>
      <c r="F225" t="inlineStr"/>
      <c r="G225" t="inlineStr"/>
      <c r="H225" t="inlineStr">
        <is>
          <t>medium</t>
        </is>
      </c>
      <c r="I225" t="inlineStr">
        <is>
          <t>habitat_size_guild</t>
        </is>
      </c>
      <c r="J225" t="n">
        <v>0.8100000000000001</v>
      </c>
      <c r="K225" t="n">
        <v>0</v>
      </c>
      <c r="L225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</row>
    <row r="226">
      <c r="A226" t="inlineStr">
        <is>
          <t>Sphyrna lewini</t>
        </is>
      </c>
      <c r="B226" t="inlineStr">
        <is>
          <t>Scalloped hammerhead</t>
        </is>
      </c>
      <c r="C226" t="inlineStr">
        <is>
          <t>Large sharks (&gt;=90 cm)</t>
        </is>
      </c>
      <c r="D226" t="inlineStr">
        <is>
          <t>Sharks &amp; rays</t>
        </is>
      </c>
      <c r="E226" s="5" t="inlineStr">
        <is>
          <t>Sharks | Juv. sharks</t>
        </is>
      </c>
      <c r="F226" t="inlineStr">
        <is>
          <t>1.000 | 0.000</t>
        </is>
      </c>
      <c r="G226" t="inlineStr">
        <is>
          <t>model_catch</t>
        </is>
      </c>
      <c r="H226" t="inlineStr">
        <is>
          <t>medium</t>
        </is>
      </c>
      <c r="I226" t="inlineStr">
        <is>
          <t>composite_split</t>
        </is>
      </c>
      <c r="J226" t="n">
        <v>0.658</v>
      </c>
      <c r="K226" t="n">
        <v>0</v>
      </c>
      <c r="L226" s="6" t="inlineStr">
        <is>
          <t>The Ecobase model splits sharks by life stage; catch has no stage split. Model catch is recorded only on Sharks.</t>
        </is>
      </c>
    </row>
    <row r="227">
      <c r="A227" t="inlineStr">
        <is>
          <t>Trichiuridae</t>
        </is>
      </c>
      <c r="B227" t="inlineStr">
        <is>
          <t>Cutlassfishes</t>
        </is>
      </c>
      <c r="C227" t="inlineStr">
        <is>
          <t>Large benthopelagics (&gt;=90 cm)</t>
        </is>
      </c>
      <c r="D227" t="inlineStr">
        <is>
          <t>Perch-likes</t>
        </is>
      </c>
      <c r="E227" s="5" t="inlineStr">
        <is>
          <t>Juv.Lg.Pisciv. | Lg. piscivores</t>
        </is>
      </c>
      <c r="F227" t="inlineStr">
        <is>
          <t>0.000 | 1.000</t>
        </is>
      </c>
      <c r="G227" t="inlineStr">
        <is>
          <t>model_catch</t>
        </is>
      </c>
      <c r="H227" t="inlineStr">
        <is>
          <t>medium</t>
        </is>
      </c>
      <c r="I227" t="inlineStr">
        <is>
          <t>composite_split</t>
        </is>
      </c>
      <c r="J227" t="n">
        <v>0.447</v>
      </c>
      <c r="K227" t="n">
        <v>0</v>
      </c>
      <c r="L22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28">
      <c r="A228" t="inlineStr">
        <is>
          <t>Auxis rochei</t>
        </is>
      </c>
      <c r="B228" t="inlineStr">
        <is>
          <t>Bullet tuna</t>
        </is>
      </c>
      <c r="C228" t="inlineStr">
        <is>
          <t>Medium pelagics (30 - 89 cm)</t>
        </is>
      </c>
      <c r="D228" t="inlineStr">
        <is>
          <t>Tuna &amp; billfishes</t>
        </is>
      </c>
      <c r="E228" s="5" t="inlineStr">
        <is>
          <t>Tuna</t>
        </is>
      </c>
      <c r="F228" t="inlineStr"/>
      <c r="G228" t="inlineStr"/>
      <c r="H228" t="inlineStr">
        <is>
          <t>medium</t>
        </is>
      </c>
      <c r="I228" t="inlineStr">
        <is>
          <t>habitat_size_guild</t>
        </is>
      </c>
      <c r="J228" t="n">
        <v>0.317</v>
      </c>
      <c r="K228" t="n">
        <v>0</v>
      </c>
      <c r="L228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s="5" t="inlineStr">
        <is>
          <t>Sm. pelagics</t>
        </is>
      </c>
      <c r="F229" t="inlineStr"/>
      <c r="G229" t="inlineStr"/>
      <c r="H229" t="inlineStr">
        <is>
          <t>medium</t>
        </is>
      </c>
      <c r="I229" t="inlineStr">
        <is>
          <t>habitat_size_guild</t>
        </is>
      </c>
      <c r="J229" t="n">
        <v>0.257</v>
      </c>
      <c r="K229" t="n">
        <v>0</v>
      </c>
      <c r="L229" s="6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</row>
    <row r="230">
      <c r="A230" t="inlineStr">
        <is>
          <t>Tetrapturus angustirostris</t>
        </is>
      </c>
      <c r="B230" t="inlineStr">
        <is>
          <t>Shortbill spearfish</t>
        </is>
      </c>
      <c r="C230" t="inlineStr">
        <is>
          <t>Large pelagics (&gt;=90 cm)</t>
        </is>
      </c>
      <c r="D230" t="inlineStr">
        <is>
          <t>Tuna &amp; billfishes</t>
        </is>
      </c>
      <c r="E230" s="9" t="inlineStr">
        <is>
          <t>Unresolved</t>
        </is>
      </c>
      <c r="F230" t="inlineStr"/>
      <c r="G230" t="inlineStr"/>
      <c r="H230" t="inlineStr">
        <is>
          <t>unresolved</t>
        </is>
      </c>
      <c r="I230" t="inlineStr">
        <is>
          <t>none</t>
        </is>
      </c>
      <c r="J230" t="n">
        <v>0.143</v>
      </c>
      <c r="K230" t="n">
        <v>0</v>
      </c>
      <c r="L230" s="6" t="inlineStr">
        <is>
          <t>Shortbill spearfish (Istiophoridae), an oceanic species with no counterpart compartment in this shallow-shelf 1963 model.</t>
        </is>
      </c>
    </row>
    <row r="231">
      <c r="A231" t="inlineStr">
        <is>
          <t>Kajikia audax</t>
        </is>
      </c>
      <c r="B231" t="inlineStr">
        <is>
          <t>Striped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s="9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0.052</v>
      </c>
      <c r="K231" t="n">
        <v>0</v>
      </c>
      <c r="L231" s="6" t="inlineStr">
        <is>
          <t>Striped marlin (Istiophoridae), an oceanic species with no counterpart compartment in this shallow-shelf 1963 model.</t>
        </is>
      </c>
    </row>
    <row r="232">
      <c r="A232" t="inlineStr">
        <is>
          <t>Prionace glauca</t>
        </is>
      </c>
      <c r="B232" t="inlineStr">
        <is>
          <t>Blue shark</t>
        </is>
      </c>
      <c r="C232" t="inlineStr">
        <is>
          <t>Large sharks (&gt;=90 cm)</t>
        </is>
      </c>
      <c r="D232" t="inlineStr">
        <is>
          <t>Sharks &amp; rays</t>
        </is>
      </c>
      <c r="E232" s="5" t="inlineStr">
        <is>
          <t>Sharks | Juv. sharks</t>
        </is>
      </c>
      <c r="F232" t="inlineStr">
        <is>
          <t>1.000 | 0.000</t>
        </is>
      </c>
      <c r="G232" t="inlineStr">
        <is>
          <t>model_catch</t>
        </is>
      </c>
      <c r="H232" t="inlineStr">
        <is>
          <t>medium</t>
        </is>
      </c>
      <c r="I232" t="inlineStr">
        <is>
          <t>composite_split</t>
        </is>
      </c>
      <c r="J232" t="n">
        <v>0.022</v>
      </c>
      <c r="K232" t="n">
        <v>0</v>
      </c>
      <c r="L232" s="6" t="inlineStr">
        <is>
          <t>The Ecobase model splits sharks by life stage; catch has no stage split. Model catch is recorded only on Sharks.</t>
        </is>
      </c>
    </row>
    <row r="233">
      <c r="A233" t="inlineStr">
        <is>
          <t>Dasyatidae</t>
        </is>
      </c>
      <c r="B233" t="inlineStr">
        <is>
          <t>Whiptail stingrays</t>
        </is>
      </c>
      <c r="C233" t="inlineStr">
        <is>
          <t>Large rays (&gt;=90 cm)</t>
        </is>
      </c>
      <c r="D233" t="inlineStr">
        <is>
          <t>Sharks &amp; rays</t>
        </is>
      </c>
      <c r="E233" s="7" t="inlineStr">
        <is>
          <t>Rays</t>
        </is>
      </c>
      <c r="F233" t="inlineStr"/>
      <c r="G233" t="inlineStr"/>
      <c r="H233" t="inlineStr">
        <is>
          <t>high</t>
        </is>
      </c>
      <c r="I233" t="inlineStr">
        <is>
          <t>taxonomic_containment</t>
        </is>
      </c>
      <c r="J233" t="n">
        <v>0.021</v>
      </c>
      <c r="K233" t="n">
        <v>0</v>
      </c>
      <c r="L233" s="6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</row>
    <row r="234">
      <c r="A234" t="inlineStr">
        <is>
          <t>Cypselurus poecilopterus</t>
        </is>
      </c>
      <c r="B234" t="inlineStr">
        <is>
          <t>Yellowing flyingfish</t>
        </is>
      </c>
      <c r="C234" t="inlineStr">
        <is>
          <t>Small pelagics (&lt;30 cm)</t>
        </is>
      </c>
      <c r="D234" t="inlineStr">
        <is>
          <t>Other fishes &amp; inverts</t>
        </is>
      </c>
      <c r="E234" s="5" t="inlineStr">
        <is>
          <t>Sm. pelagics</t>
        </is>
      </c>
      <c r="F234" t="inlineStr"/>
      <c r="G234" t="inlineStr"/>
      <c r="H234" t="inlineStr">
        <is>
          <t>medium</t>
        </is>
      </c>
      <c r="I234" t="inlineStr">
        <is>
          <t>habitat_size_guild</t>
        </is>
      </c>
      <c r="J234" t="n">
        <v>0.011</v>
      </c>
      <c r="K234" t="n">
        <v>0</v>
      </c>
      <c r="L234" s="6" t="inlineStr">
        <is>
          <t>Flyingfish: a small epipelagic surface-schooling fish, ecologically the closest match to Sm. pelagics though not a clupeiform. Reviewed against the Ecobase group name and diet; the original paper p.130 lists important components but does not settle this taxon.</t>
        </is>
      </c>
    </row>
    <row r="235">
      <c r="A235" t="inlineStr">
        <is>
          <t>Carcharhinus longimanus</t>
        </is>
      </c>
      <c r="B235" t="inlineStr">
        <is>
          <t>Oceanic whitetip shark</t>
        </is>
      </c>
      <c r="C235" t="inlineStr">
        <is>
          <t>Large sharks (&gt;=90 cm)</t>
        </is>
      </c>
      <c r="D235" t="inlineStr">
        <is>
          <t>Sharks &amp; rays</t>
        </is>
      </c>
      <c r="E235" s="5" t="inlineStr">
        <is>
          <t>Sharks | Juv. sharks</t>
        </is>
      </c>
      <c r="F235" t="inlineStr">
        <is>
          <t>1.000 | 0.000</t>
        </is>
      </c>
      <c r="G235" t="inlineStr">
        <is>
          <t>model_catch</t>
        </is>
      </c>
      <c r="H235" t="inlineStr">
        <is>
          <t>medium</t>
        </is>
      </c>
      <c r="I235" t="inlineStr">
        <is>
          <t>composite_split</t>
        </is>
      </c>
      <c r="J235" t="n">
        <v>0.002</v>
      </c>
      <c r="K235" t="n">
        <v>0</v>
      </c>
      <c r="L235" s="6" t="inlineStr">
        <is>
          <t>The Ecobase model splits sharks by life stage; catch has no stage split. Model catch is recorded only on Sharks.</t>
        </is>
      </c>
    </row>
    <row r="236">
      <c r="A236" t="inlineStr">
        <is>
          <t>Latidae</t>
        </is>
      </c>
      <c r="B236" t="inlineStr">
        <is>
          <t>Lates perches</t>
        </is>
      </c>
      <c r="C236" t="inlineStr">
        <is>
          <t>Large demersals (&gt;=90 cm)</t>
        </is>
      </c>
      <c r="D236" t="inlineStr">
        <is>
          <t>Perch-likes</t>
        </is>
      </c>
      <c r="E236" s="5" t="inlineStr">
        <is>
          <t>Lg. piscivores | Juv.Lg.Pisciv.</t>
        </is>
      </c>
      <c r="F236" t="inlineStr">
        <is>
          <t>1.000 | 0.000</t>
        </is>
      </c>
      <c r="G236" t="inlineStr">
        <is>
          <t>model_catch</t>
        </is>
      </c>
      <c r="H236" t="inlineStr">
        <is>
          <t>medium</t>
        </is>
      </c>
      <c r="I236" t="inlineStr">
        <is>
          <t>composite_split</t>
        </is>
      </c>
      <c r="J236" t="n">
        <v>0.001</v>
      </c>
      <c r="K236" t="n">
        <v>0</v>
      </c>
      <c r="L236" s="6" t="inlineStr">
        <is>
          <t>Lates-perch family; same apex-piscivore identity as Lates calcarifer. Reviewed against the Ecobase group name and diet; the original paper p.130 lists important components but does not settle this taxon. Catch has no age split; model catch assigns no catch to the juvenile pool.</t>
        </is>
      </c>
    </row>
    <row r="237">
      <c r="A237" t="inlineStr">
        <is>
          <t>Pleuronectiformes</t>
        </is>
      </c>
      <c r="B237" t="inlineStr">
        <is>
          <t>Flatfishes</t>
        </is>
      </c>
      <c r="C237" t="inlineStr">
        <is>
          <t>Small to medium flatfishes (&lt;90 cm)</t>
        </is>
      </c>
      <c r="D237" t="inlineStr">
        <is>
          <t>Flatfishes</t>
        </is>
      </c>
      <c r="E237" s="5" t="inlineStr">
        <is>
          <t>Flatfish | Med.dem.pisc.</t>
        </is>
      </c>
      <c r="F237" t="inlineStr">
        <is>
          <t>0.005 | 0.995</t>
        </is>
      </c>
      <c r="G237" t="inlineStr">
        <is>
          <t>catch_composition</t>
        </is>
      </c>
      <c r="H237" t="inlineStr">
        <is>
          <t>medium</t>
        </is>
      </c>
      <c r="I237" t="inlineStr">
        <is>
          <t>composite_split</t>
        </is>
      </c>
      <c r="J237" t="n">
        <v>0.001</v>
      </c>
      <c r="K237" t="n">
        <v>0</v>
      </c>
      <c r="L23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38">
      <c r="A238" t="inlineStr">
        <is>
          <t>Octopoda</t>
        </is>
      </c>
      <c r="B238" t="inlineStr">
        <is>
          <t>Octopuses, argonauts</t>
        </is>
      </c>
      <c r="C238" t="inlineStr">
        <is>
          <t>Cephalopods</t>
        </is>
      </c>
      <c r="D238" t="inlineStr">
        <is>
          <t>Other fishes &amp; inverts</t>
        </is>
      </c>
      <c r="E238" s="7" t="inlineStr">
        <is>
          <t>Cephalopods</t>
        </is>
      </c>
      <c r="F238" t="inlineStr"/>
      <c r="G238" t="inlineStr"/>
      <c r="H238" t="inlineStr">
        <is>
          <t>high</t>
        </is>
      </c>
      <c r="I238" t="inlineStr">
        <is>
          <t>taxonomic_containment</t>
        </is>
      </c>
      <c r="J238" t="n">
        <v>0.001</v>
      </c>
      <c r="K238" t="n">
        <v>0</v>
      </c>
      <c r="L238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</row>
    <row r="239">
      <c r="A239" t="inlineStr">
        <is>
          <t>Isurus oxyrinchus</t>
        </is>
      </c>
      <c r="B239" t="inlineStr">
        <is>
          <t>Shortfin mako</t>
        </is>
      </c>
      <c r="C239" t="inlineStr">
        <is>
          <t>Large sharks (&gt;=90 cm)</t>
        </is>
      </c>
      <c r="D239" t="inlineStr">
        <is>
          <t>Sharks &amp; rays</t>
        </is>
      </c>
      <c r="E239" s="5" t="inlineStr">
        <is>
          <t>Sharks | Juv. sharks</t>
        </is>
      </c>
      <c r="F239" t="inlineStr">
        <is>
          <t>1.000 | 0.000</t>
        </is>
      </c>
      <c r="G239" t="inlineStr">
        <is>
          <t>model_catch</t>
        </is>
      </c>
      <c r="H239" t="inlineStr">
        <is>
          <t>medium</t>
        </is>
      </c>
      <c r="I239" t="inlineStr">
        <is>
          <t>composite_split</t>
        </is>
      </c>
      <c r="J239" t="n">
        <v>0.001</v>
      </c>
      <c r="K239" t="n">
        <v>0</v>
      </c>
      <c r="L239" s="6" t="inlineStr">
        <is>
          <t>The Ecobase model splits sharks by life stage; catch has no stage split. Model catch is recorded only on Sharks.</t>
        </is>
      </c>
    </row>
    <row r="240">
      <c r="A240" t="inlineStr">
        <is>
          <t>Exocoetidae</t>
        </is>
      </c>
      <c r="B240" t="inlineStr">
        <is>
          <t>Flyingfishes</t>
        </is>
      </c>
      <c r="C240" t="inlineStr">
        <is>
          <t>Small pelagics (&lt;30 cm)</t>
        </is>
      </c>
      <c r="D240" t="inlineStr">
        <is>
          <t>Other fishes &amp; inverts</t>
        </is>
      </c>
      <c r="E240" s="5" t="inlineStr">
        <is>
          <t>Sm. pelagics</t>
        </is>
      </c>
      <c r="F240" t="inlineStr"/>
      <c r="G240" t="inlineStr"/>
      <c r="H240" t="inlineStr">
        <is>
          <t>medium</t>
        </is>
      </c>
      <c r="I240" t="inlineStr">
        <is>
          <t>habitat_size_guild</t>
        </is>
      </c>
      <c r="J240" t="n">
        <v>0</v>
      </c>
      <c r="K240" t="n">
        <v>0</v>
      </c>
      <c r="L240" s="6" t="inlineStr">
        <is>
          <t>Flyingfish: a small epipelagic surface-schooling fish, ecologically the closest match to Sm. pelagics though not a clupeiform. Reviewed against the Ecobase group name and diet; the original paper p.130 lists important components but does not settle this taxon.</t>
        </is>
      </c>
    </row>
    <row r="241">
      <c r="A241" t="inlineStr">
        <is>
          <t>Hemiramphidae</t>
        </is>
      </c>
      <c r="B241" t="inlineStr">
        <is>
          <t>Halfbeaks, garfishes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s="5" t="inlineStr">
        <is>
          <t>Sm. pelagics</t>
        </is>
      </c>
      <c r="F241" t="inlineStr"/>
      <c r="G241" t="inlineStr"/>
      <c r="H241" t="inlineStr">
        <is>
          <t>medium</t>
        </is>
      </c>
      <c r="I241" t="inlineStr">
        <is>
          <t>habitat_size_guild</t>
        </is>
      </c>
      <c r="J241" t="n">
        <v>0</v>
      </c>
      <c r="K241" t="n">
        <v>0</v>
      </c>
      <c r="L241" s="6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</row>
    <row r="242">
      <c r="A242" t="inlineStr">
        <is>
          <t>Sphyraena barracuda</t>
        </is>
      </c>
      <c r="B242" t="inlineStr">
        <is>
          <t>Great barracuda</t>
        </is>
      </c>
      <c r="C242" t="inlineStr">
        <is>
          <t>Large pelagics (&gt;=90 cm)</t>
        </is>
      </c>
      <c r="D242" t="inlineStr">
        <is>
          <t>Perch-likes</t>
        </is>
      </c>
      <c r="E242" s="5" t="inlineStr">
        <is>
          <t>Lg. piscivores | Juv.Lg.Pisciv.</t>
        </is>
      </c>
      <c r="F242" t="inlineStr">
        <is>
          <t>1.000 | 0.000</t>
        </is>
      </c>
      <c r="G242" t="inlineStr">
        <is>
          <t>model_catch</t>
        </is>
      </c>
      <c r="H242" t="inlineStr">
        <is>
          <t>medium</t>
        </is>
      </c>
      <c r="I242" t="inlineStr">
        <is>
          <t>composite_split</t>
        </is>
      </c>
      <c r="J242" t="n">
        <v>0</v>
      </c>
      <c r="K242" t="n">
        <v>0</v>
      </c>
      <c r="L242" s="6" t="inlineStr">
        <is>
          <t>Great barracuda; same apex-piscivore identity. Reviewed against the Ecobase group name and diet; the original paper p.130 lists important components but does not settle this taxon. Catch has no age split; model catch assigns no catch to the juvenile pool.</t>
        </is>
      </c>
    </row>
    <row r="243">
      <c r="A243" t="inlineStr">
        <is>
          <t>Tenualosa toli</t>
        </is>
      </c>
      <c r="B243" t="inlineStr">
        <is>
          <t>Toli shad</t>
        </is>
      </c>
      <c r="C243" t="inlineStr">
        <is>
          <t>Medium pelagics (30 - 89 cm)</t>
        </is>
      </c>
      <c r="D243" t="inlineStr">
        <is>
          <t>Herring-likes</t>
        </is>
      </c>
      <c r="E243" s="5" t="inlineStr">
        <is>
          <t>Sm. pelagics</t>
        </is>
      </c>
      <c r="F243" t="inlineStr"/>
      <c r="G243" t="inlineStr"/>
      <c r="H243" t="inlineStr">
        <is>
          <t>medium</t>
        </is>
      </c>
      <c r="I243" t="inlineStr">
        <is>
          <t>habitat_size_guild</t>
        </is>
      </c>
      <c r="J243" t="n">
        <v>0</v>
      </c>
      <c r="K243" t="n">
        <v>0</v>
      </c>
      <c r="L243" s="6" t="inlineStr">
        <is>
          <t>Clupeidae shad, schooling filter-feeding pelagic; mapped to Sm. pelagics as the model's only generic schooling-pelagic compartment. Reviewed against the Ecobase group name and diet; the original paper p.130 lists important components but does not settle this taxon.</t>
        </is>
      </c>
    </row>
    <row r="244">
      <c r="A244" t="inlineStr">
        <is>
          <t>Alopias</t>
        </is>
      </c>
      <c r="B244" t="inlineStr">
        <is>
          <t>Thresher sharks</t>
        </is>
      </c>
      <c r="C244" t="inlineStr">
        <is>
          <t>Large sharks (&gt;=90 cm)</t>
        </is>
      </c>
      <c r="D244" t="inlineStr">
        <is>
          <t>Sharks &amp; rays</t>
        </is>
      </c>
      <c r="E244" s="5" t="inlineStr">
        <is>
          <t>Sharks | Juv. sharks</t>
        </is>
      </c>
      <c r="F244" t="inlineStr">
        <is>
          <t>1.000 | 0.000</t>
        </is>
      </c>
      <c r="G244" t="inlineStr">
        <is>
          <t>model_catch</t>
        </is>
      </c>
      <c r="H244" t="inlineStr">
        <is>
          <t>medium</t>
        </is>
      </c>
      <c r="I244" t="inlineStr">
        <is>
          <t>composite_split</t>
        </is>
      </c>
      <c r="J244" t="n">
        <v>0</v>
      </c>
      <c r="K244" t="n">
        <v>0</v>
      </c>
      <c r="L244" s="6" t="inlineStr">
        <is>
          <t>The Ecobase model splits sharks by life stage; catch has no stage split. Model catch is recorded only on Sharks.</t>
        </is>
      </c>
    </row>
    <row r="245">
      <c r="A245" t="inlineStr">
        <is>
          <t>Isurus</t>
        </is>
      </c>
      <c r="B245" t="inlineStr">
        <is>
          <t>Mako sharks</t>
        </is>
      </c>
      <c r="C245" t="inlineStr">
        <is>
          <t>Large sharks (&gt;=90 cm)</t>
        </is>
      </c>
      <c r="D245" t="inlineStr">
        <is>
          <t>Sharks &amp; rays</t>
        </is>
      </c>
      <c r="E245" s="5" t="inlineStr">
        <is>
          <t>Sharks | Juv. sharks</t>
        </is>
      </c>
      <c r="F245" t="inlineStr">
        <is>
          <t>1.000 | 0.000</t>
        </is>
      </c>
      <c r="G245" t="inlineStr">
        <is>
          <t>model_catch</t>
        </is>
      </c>
      <c r="H245" t="inlineStr">
        <is>
          <t>medium</t>
        </is>
      </c>
      <c r="I245" t="inlineStr">
        <is>
          <t>composite_split</t>
        </is>
      </c>
      <c r="J245" t="n">
        <v>0</v>
      </c>
      <c r="K245" t="n">
        <v>0</v>
      </c>
      <c r="L245" s="6" t="inlineStr">
        <is>
          <t>The Ecobase model splits sharks by life stage; catch has no stage split. Model catch is recorded only on Sharks.</t>
        </is>
      </c>
    </row>
    <row r="246">
      <c r="A246" t="inlineStr">
        <is>
          <t>Trochus niloticus</t>
        </is>
      </c>
      <c r="B246" t="inlineStr">
        <is>
          <t>Commercial top</t>
        </is>
      </c>
      <c r="C246" t="inlineStr">
        <is>
          <t>Other demersal invertebrates</t>
        </is>
      </c>
      <c r="D246" t="inlineStr">
        <is>
          <t>Molluscs</t>
        </is>
      </c>
      <c r="E246" s="7" t="inlineStr">
        <is>
          <t>Molluscs</t>
        </is>
      </c>
      <c r="F246" t="inlineStr"/>
      <c r="G246" t="inlineStr"/>
      <c r="H246" t="inlineStr">
        <is>
          <t>high</t>
        </is>
      </c>
      <c r="I246" t="inlineStr">
        <is>
          <t>taxonomic_containment</t>
        </is>
      </c>
      <c r="J246" t="n">
        <v>0</v>
      </c>
      <c r="K246" t="n">
        <v>0</v>
      </c>
      <c r="L246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</row>
    <row r="247">
      <c r="A247" t="inlineStr">
        <is>
          <t>Congridae</t>
        </is>
      </c>
      <c r="B247" t="inlineStr">
        <is>
          <t>Conger, garden eels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s="5" t="inlineStr">
        <is>
          <t>Lg. piscivores | Juv.Lg.Pisciv.</t>
        </is>
      </c>
      <c r="F247" t="inlineStr">
        <is>
          <t>1.000 | 0.000</t>
        </is>
      </c>
      <c r="G247" t="inlineStr">
        <is>
          <t>model_catch</t>
        </is>
      </c>
      <c r="H247" t="inlineStr">
        <is>
          <t>medium</t>
        </is>
      </c>
      <c r="I247" t="inlineStr">
        <is>
          <t>composite_split</t>
        </is>
      </c>
      <c r="J247" t="n">
        <v>0</v>
      </c>
      <c r="K247" t="n">
        <v>0</v>
      </c>
      <c r="L247" s="6" t="inlineStr">
        <is>
          <t>Conger/garden-eel family; same piscivorous-eel reasoning. Reviewed against the Ecobase group name and diet; the original paper p.130 lists important components but does not settle this taxon. Catch has no age split; model catch assigns no catch to the juvenile pool.</t>
        </is>
      </c>
    </row>
    <row r="248">
      <c r="A248" t="inlineStr">
        <is>
          <t>Pomadasys argenteus</t>
        </is>
      </c>
      <c r="B248" t="inlineStr">
        <is>
          <t>Silver grunt</t>
        </is>
      </c>
      <c r="C248" t="inlineStr">
        <is>
          <t>Medium demersals (30 - 89 cm)</t>
        </is>
      </c>
      <c r="D248" t="inlineStr">
        <is>
          <t>Perch-likes</t>
        </is>
      </c>
      <c r="E248" s="7" t="inlineStr">
        <is>
          <t>Med.dem.benth.</t>
        </is>
      </c>
      <c r="F248" t="inlineStr"/>
      <c r="G248" t="inlineStr"/>
      <c r="H248" t="inlineStr">
        <is>
          <t>high</t>
        </is>
      </c>
      <c r="I248" t="inlineStr">
        <is>
          <t>taxonomic_containment</t>
        </is>
      </c>
      <c r="J248" t="n">
        <v>0</v>
      </c>
      <c r="K248" t="n">
        <v>0</v>
      </c>
      <c r="L24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</row>
    <row r="249">
      <c r="A249" t="inlineStr">
        <is>
          <t>Seriola</t>
        </is>
      </c>
      <c r="B249" t="inlineStr">
        <is>
          <t>Amberjacks</t>
        </is>
      </c>
      <c r="C249" t="inlineStr">
        <is>
          <t>Large benthopelagics (&gt;=90 cm)</t>
        </is>
      </c>
      <c r="D249" t="inlineStr">
        <is>
          <t>Perch-likes</t>
        </is>
      </c>
      <c r="E249" s="5" t="inlineStr">
        <is>
          <t>Lg. piscivores | Juv.Lg.Pisciv.</t>
        </is>
      </c>
      <c r="F249" t="inlineStr">
        <is>
          <t>1.000 | 0.000</t>
        </is>
      </c>
      <c r="G249" t="inlineStr">
        <is>
          <t>model_catch</t>
        </is>
      </c>
      <c r="H249" t="inlineStr">
        <is>
          <t>medium</t>
        </is>
      </c>
      <c r="I249" t="inlineStr">
        <is>
          <t>composite_split</t>
        </is>
      </c>
      <c r="J249" t="n">
        <v>0</v>
      </c>
      <c r="K249" t="n">
        <v>0</v>
      </c>
      <c r="L249" s="6" t="inlineStr">
        <is>
          <t>Amberjack (Carangidae) is a large-bodied apex piscivorous predator, ecologically a large piscivore rather than a small schooling scad. Reviewed against the Ecobase group name and diet; the original paper p.130 lists important components but does not settle this taxon. Catch has no age split; model catch assigns no catch to the juvenile pool.</t>
        </is>
      </c>
    </row>
    <row r="250">
      <c r="A250" t="inlineStr">
        <is>
          <t>Sphyrnidae</t>
        </is>
      </c>
      <c r="B250" t="inlineStr">
        <is>
          <t>Hammer, bonnet, scoophead sharks</t>
        </is>
      </c>
      <c r="C250" t="inlineStr">
        <is>
          <t>Large sharks (&gt;=90 cm)</t>
        </is>
      </c>
      <c r="D250" t="inlineStr">
        <is>
          <t>Sharks &amp; rays</t>
        </is>
      </c>
      <c r="E250" s="5" t="inlineStr">
        <is>
          <t>Sharks | Juv. sharks</t>
        </is>
      </c>
      <c r="F250" t="inlineStr">
        <is>
          <t>1.000 | 0.000</t>
        </is>
      </c>
      <c r="G250" t="inlineStr">
        <is>
          <t>model_catch</t>
        </is>
      </c>
      <c r="H250" t="inlineStr">
        <is>
          <t>medium</t>
        </is>
      </c>
      <c r="I250" t="inlineStr">
        <is>
          <t>composite_split</t>
        </is>
      </c>
      <c r="J250" t="n">
        <v>0</v>
      </c>
      <c r="K250" t="n">
        <v>0</v>
      </c>
      <c r="L250" s="6" t="inlineStr">
        <is>
          <t>The Ecobase model splits sharks by life stage; catch has no stage split. Model catch is recorded only on Sharks.</t>
        </is>
      </c>
    </row>
    <row r="251">
      <c r="A251" t="inlineStr">
        <is>
          <t>Sphyrna</t>
        </is>
      </c>
      <c r="B251" t="inlineStr">
        <is>
          <t>Hammerhead sharks</t>
        </is>
      </c>
      <c r="C251" t="inlineStr">
        <is>
          <t>Large sharks (&gt;=90 cm)</t>
        </is>
      </c>
      <c r="D251" t="inlineStr">
        <is>
          <t>Sharks &amp; rays</t>
        </is>
      </c>
      <c r="E251" s="5" t="inlineStr">
        <is>
          <t>Sharks | Juv. sharks</t>
        </is>
      </c>
      <c r="F251" t="inlineStr">
        <is>
          <t>1.000 | 0.000</t>
        </is>
      </c>
      <c r="G251" t="inlineStr">
        <is>
          <t>model_catch</t>
        </is>
      </c>
      <c r="H251" t="inlineStr">
        <is>
          <t>medium</t>
        </is>
      </c>
      <c r="I251" t="inlineStr">
        <is>
          <t>composite_split</t>
        </is>
      </c>
      <c r="J251" t="n">
        <v>0</v>
      </c>
      <c r="K251" t="n">
        <v>0</v>
      </c>
      <c r="L251" s="6" t="inlineStr">
        <is>
          <t>The Ecobase model splits sharks by life stage; catch has no stage split. Model catch is recorded only on Sharks.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51" customHeight="1">
      <c r="A5" s="10" t="inlineStr">
        <is>
          <t>LME_035</t>
        </is>
      </c>
      <c r="B5" s="11" t="inlineStr">
        <is>
          <t>35_412_Gulf_of_Thailande_(1963)</t>
        </is>
      </c>
      <c r="C5" s="11" t="inlineStr">
        <is>
          <t>Nemipteridae</t>
        </is>
      </c>
      <c r="D5" s="10" t="inlineStr">
        <is>
          <t>Threadfins, whiptail breams</t>
        </is>
      </c>
      <c r="E5" s="10" t="inlineStr">
        <is>
          <t>Small demersals (&lt;30 cm)</t>
        </is>
      </c>
      <c r="F5" s="10" t="inlineStr">
        <is>
          <t>Perch-likes</t>
        </is>
      </c>
      <c r="G5" s="11" t="inlineStr">
        <is>
          <t>Med.dem.benth.</t>
        </is>
      </c>
      <c r="H5" s="12" t="n">
        <v>0.5899069210171257</v>
      </c>
      <c r="I5" s="10" t="inlineStr">
        <is>
          <t>catch_composition</t>
        </is>
      </c>
      <c r="J5" s="13" t="inlineStr">
        <is>
          <t>medium</t>
        </is>
      </c>
      <c r="K5" s="10" t="inlineStr">
        <is>
          <t>composite_split</t>
        </is>
      </c>
      <c r="L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5" s="10" t="n">
        <v>14865556.824</v>
      </c>
    </row>
    <row r="6" ht="51" customHeight="1">
      <c r="A6" s="10" t="inlineStr">
        <is>
          <t>LME_035</t>
        </is>
      </c>
      <c r="B6" s="11" t="inlineStr">
        <is>
          <t>35_412_Gulf_of_Thailande_(1963)</t>
        </is>
      </c>
      <c r="C6" s="11" t="inlineStr">
        <is>
          <t>Nemipteridae</t>
        </is>
      </c>
      <c r="D6" s="10" t="inlineStr">
        <is>
          <t>Threadfins, whiptail breams</t>
        </is>
      </c>
      <c r="E6" s="10" t="inlineStr">
        <is>
          <t>Small demersals (&lt;30 cm)</t>
        </is>
      </c>
      <c r="F6" s="10" t="inlineStr">
        <is>
          <t>Perch-likes</t>
        </is>
      </c>
      <c r="G6" s="11" t="inlineStr">
        <is>
          <t>Sm.dem.benth.</t>
        </is>
      </c>
      <c r="H6" s="12" t="n">
        <v>0.4100930789828742</v>
      </c>
      <c r="I6" s="10" t="inlineStr">
        <is>
          <t>catch_composition</t>
        </is>
      </c>
      <c r="J6" s="13" t="inlineStr">
        <is>
          <t>medium</t>
        </is>
      </c>
      <c r="K6" s="10" t="inlineStr">
        <is>
          <t>composite_split</t>
        </is>
      </c>
      <c r="L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" s="10" t="n">
        <v>14865556.824</v>
      </c>
    </row>
    <row r="7" ht="51" customHeight="1">
      <c r="A7" s="10" t="inlineStr">
        <is>
          <t>LME_035</t>
        </is>
      </c>
      <c r="B7" s="11" t="inlineStr">
        <is>
          <t>35_412_Gulf_of_Thailande_(1963)</t>
        </is>
      </c>
      <c r="C7" s="11" t="inlineStr">
        <is>
          <t>Synodontidae</t>
        </is>
      </c>
      <c r="D7" s="10" t="inlineStr">
        <is>
          <t>Lizardfishes, sauries</t>
        </is>
      </c>
      <c r="E7" s="10" t="inlineStr">
        <is>
          <t>Medium demersals (30 - 89 cm)</t>
        </is>
      </c>
      <c r="F7" s="10" t="inlineStr">
        <is>
          <t>Other fishes &amp; inverts</t>
        </is>
      </c>
      <c r="G7" s="11" t="inlineStr">
        <is>
          <t>Med.dem.pisc.</t>
        </is>
      </c>
      <c r="H7" s="12" t="n">
        <v>1</v>
      </c>
      <c r="I7" s="10" t="inlineStr">
        <is>
          <t>single</t>
        </is>
      </c>
      <c r="J7" s="13" t="inlineStr">
        <is>
          <t>medium</t>
        </is>
      </c>
      <c r="K7" s="10" t="inlineStr">
        <is>
          <t>habitat_size_guild</t>
        </is>
      </c>
      <c r="L7" s="11" t="inlineStr">
        <is>
          <t>Lizardfish are voracious ambush piscivores on the demersal trawl grounds. Reviewed against the Ecobase group name and diet; the original paper p.130 lists important components but does not settle this taxon.</t>
        </is>
      </c>
      <c r="M7" s="10" t="n">
        <v>12027857.597</v>
      </c>
    </row>
    <row r="8" ht="51" customHeight="1">
      <c r="A8" s="10" t="inlineStr">
        <is>
          <t>LME_035</t>
        </is>
      </c>
      <c r="B8" s="11" t="inlineStr">
        <is>
          <t>35_412_Gulf_of_Thailande_(1963)</t>
        </is>
      </c>
      <c r="C8" s="11" t="inlineStr">
        <is>
          <t>Leiognathidae</t>
        </is>
      </c>
      <c r="D8" s="10" t="inlineStr">
        <is>
          <t>Slipmouths, ponyfishes</t>
        </is>
      </c>
      <c r="E8" s="10" t="inlineStr">
        <is>
          <t>Small benthopelagics (&lt;30 cm)</t>
        </is>
      </c>
      <c r="F8" s="10" t="inlineStr">
        <is>
          <t>Perch-likes</t>
        </is>
      </c>
      <c r="G8" s="11" t="inlineStr">
        <is>
          <t>Ponyfishes</t>
        </is>
      </c>
      <c r="H8" s="12" t="n">
        <v>1</v>
      </c>
      <c r="I8" s="10" t="inlineStr">
        <is>
          <t>single</t>
        </is>
      </c>
      <c r="J8" s="14" t="inlineStr">
        <is>
          <t>high</t>
        </is>
      </c>
      <c r="K8" s="10" t="inlineStr">
        <is>
          <t>taxonomic_containment</t>
        </is>
      </c>
      <c r="L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" s="10" t="n">
        <v>10490184.633</v>
      </c>
    </row>
    <row r="9" ht="51" customHeight="1">
      <c r="A9" s="10" t="inlineStr">
        <is>
          <t>LME_035</t>
        </is>
      </c>
      <c r="B9" s="11" t="inlineStr">
        <is>
          <t>35_412_Gulf_of_Thailande_(1963)</t>
        </is>
      </c>
      <c r="C9" s="11" t="inlineStr">
        <is>
          <t>Rastrelliger kanagurta</t>
        </is>
      </c>
      <c r="D9" s="10" t="inlineStr">
        <is>
          <t>Indian mackerel</t>
        </is>
      </c>
      <c r="E9" s="10" t="inlineStr">
        <is>
          <t>Medium pelagics (30 - 89 cm)</t>
        </is>
      </c>
      <c r="F9" s="10" t="inlineStr">
        <is>
          <t>Perch-likes</t>
        </is>
      </c>
      <c r="G9" s="11" t="inlineStr">
        <is>
          <t>Mackerel</t>
        </is>
      </c>
      <c r="H9" s="12" t="n">
        <v>1</v>
      </c>
      <c r="I9" s="10" t="inlineStr">
        <is>
          <t>single</t>
        </is>
      </c>
      <c r="J9" s="14" t="inlineStr">
        <is>
          <t>high</t>
        </is>
      </c>
      <c r="K9" s="10" t="inlineStr">
        <is>
          <t>taxonomic_containment</t>
        </is>
      </c>
      <c r="L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" s="10" t="n">
        <v>8776892.336999999</v>
      </c>
    </row>
    <row r="10" ht="51" customHeight="1">
      <c r="A10" s="10" t="inlineStr">
        <is>
          <t>LME_035</t>
        </is>
      </c>
      <c r="B10" s="11" t="inlineStr">
        <is>
          <t>35_412_Gulf_of_Thailande_(1963)</t>
        </is>
      </c>
      <c r="C10" s="11" t="inlineStr">
        <is>
          <t>Carangidae</t>
        </is>
      </c>
      <c r="D10" s="10" t="inlineStr">
        <is>
          <t>Jacks, pompanos</t>
        </is>
      </c>
      <c r="E10" s="10" t="inlineStr">
        <is>
          <t>Medium pelagics (30 - 89 cm)</t>
        </is>
      </c>
      <c r="F10" s="10" t="inlineStr">
        <is>
          <t>Perch-likes</t>
        </is>
      </c>
      <c r="G10" s="11" t="inlineStr">
        <is>
          <t>Juv.Lg.Pisciv.</t>
        </is>
      </c>
      <c r="H10" s="12" t="n">
        <v>0</v>
      </c>
      <c r="I10" s="10" t="inlineStr">
        <is>
          <t>model_catch</t>
        </is>
      </c>
      <c r="J10" s="13" t="inlineStr">
        <is>
          <t>medium</t>
        </is>
      </c>
      <c r="K10" s="10" t="inlineStr">
        <is>
          <t>composite_split</t>
        </is>
      </c>
      <c r="L1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" s="10" t="n">
        <v>8571168.696</v>
      </c>
    </row>
    <row r="11" ht="51" customHeight="1">
      <c r="A11" s="10" t="inlineStr">
        <is>
          <t>LME_035</t>
        </is>
      </c>
      <c r="B11" s="11" t="inlineStr">
        <is>
          <t>35_412_Gulf_of_Thailande_(1963)</t>
        </is>
      </c>
      <c r="C11" s="11" t="inlineStr">
        <is>
          <t>Carangidae</t>
        </is>
      </c>
      <c r="D11" s="10" t="inlineStr">
        <is>
          <t>Jacks, pompanos</t>
        </is>
      </c>
      <c r="E11" s="10" t="inlineStr">
        <is>
          <t>Medium pelagics (30 - 89 cm)</t>
        </is>
      </c>
      <c r="F11" s="10" t="inlineStr">
        <is>
          <t>Perch-likes</t>
        </is>
      </c>
      <c r="G11" s="11" t="inlineStr">
        <is>
          <t>Lg. piscivores</t>
        </is>
      </c>
      <c r="H11" s="12" t="n">
        <v>0.1489001692047377</v>
      </c>
      <c r="I11" s="10" t="inlineStr">
        <is>
          <t>model_catch</t>
        </is>
      </c>
      <c r="J11" s="13" t="inlineStr">
        <is>
          <t>medium</t>
        </is>
      </c>
      <c r="K11" s="10" t="inlineStr">
        <is>
          <t>composite_split</t>
        </is>
      </c>
      <c r="L1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1" s="10" t="n">
        <v>8571168.696</v>
      </c>
    </row>
    <row r="12" ht="51" customHeight="1">
      <c r="A12" s="10" t="inlineStr">
        <is>
          <t>LME_035</t>
        </is>
      </c>
      <c r="B12" s="11" t="inlineStr">
        <is>
          <t>35_412_Gulf_of_Thailande_(1963)</t>
        </is>
      </c>
      <c r="C12" s="11" t="inlineStr">
        <is>
          <t>Carangidae</t>
        </is>
      </c>
      <c r="D12" s="10" t="inlineStr">
        <is>
          <t>Jacks, pompanos</t>
        </is>
      </c>
      <c r="E12" s="10" t="inlineStr">
        <is>
          <t>Medium pelagics (30 - 89 cm)</t>
        </is>
      </c>
      <c r="F12" s="10" t="inlineStr">
        <is>
          <t>Perch-likes</t>
        </is>
      </c>
      <c r="G12" s="11" t="inlineStr">
        <is>
          <t>Scad</t>
        </is>
      </c>
      <c r="H12" s="12" t="n">
        <v>0.8510998307952623</v>
      </c>
      <c r="I12" s="10" t="inlineStr">
        <is>
          <t>model_catch</t>
        </is>
      </c>
      <c r="J12" s="13" t="inlineStr">
        <is>
          <t>medium</t>
        </is>
      </c>
      <c r="K12" s="10" t="inlineStr">
        <is>
          <t>composite_split</t>
        </is>
      </c>
      <c r="L1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" s="10" t="n">
        <v>8571168.696</v>
      </c>
    </row>
    <row r="13" ht="66" customHeight="1">
      <c r="A13" s="10" t="inlineStr">
        <is>
          <t>LME_035</t>
        </is>
      </c>
      <c r="B13" s="11" t="inlineStr">
        <is>
          <t>35_412_Gulf_of_Thailande_(1963)</t>
        </is>
      </c>
      <c r="C13" s="11" t="inlineStr">
        <is>
          <t>Marine fishes not identified</t>
        </is>
      </c>
      <c r="D13" s="10" t="inlineStr">
        <is>
          <t>Marine fishes nei</t>
        </is>
      </c>
      <c r="E13" s="10" t="inlineStr">
        <is>
          <t>Medium demersals (30 - 89 cm)</t>
        </is>
      </c>
      <c r="F13" s="10" t="inlineStr">
        <is>
          <t>Other fishes &amp; inverts</t>
        </is>
      </c>
      <c r="G13" s="11" t="inlineStr">
        <is>
          <t>Med.dem.benth.</t>
        </is>
      </c>
      <c r="H13" s="12" t="n">
        <v>0.1081472107235337</v>
      </c>
      <c r="I13" s="10" t="inlineStr">
        <is>
          <t>catch_composition</t>
        </is>
      </c>
      <c r="J13" s="15" t="inlineStr">
        <is>
          <t>low</t>
        </is>
      </c>
      <c r="K13" s="10" t="inlineStr">
        <is>
          <t>composite_split</t>
        </is>
      </c>
      <c r="L13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3" s="10" t="n">
        <v>7914678.51</v>
      </c>
    </row>
    <row r="14" ht="66" customHeight="1">
      <c r="A14" s="10" t="inlineStr">
        <is>
          <t>LME_035</t>
        </is>
      </c>
      <c r="B14" s="11" t="inlineStr">
        <is>
          <t>35_412_Gulf_of_Thailande_(1963)</t>
        </is>
      </c>
      <c r="C14" s="11" t="inlineStr">
        <is>
          <t>Marine fishes not identified</t>
        </is>
      </c>
      <c r="D14" s="10" t="inlineStr">
        <is>
          <t>Marine fishes nei</t>
        </is>
      </c>
      <c r="E14" s="10" t="inlineStr">
        <is>
          <t>Medium demersals (30 - 89 cm)</t>
        </is>
      </c>
      <c r="F14" s="10" t="inlineStr">
        <is>
          <t>Other fishes &amp; inverts</t>
        </is>
      </c>
      <c r="G14" s="11" t="inlineStr">
        <is>
          <t>Med.dem.pisc.</t>
        </is>
      </c>
      <c r="H14" s="12" t="n">
        <v>0.6906807210749666</v>
      </c>
      <c r="I14" s="10" t="inlineStr">
        <is>
          <t>catch_composition</t>
        </is>
      </c>
      <c r="J14" s="15" t="inlineStr">
        <is>
          <t>low</t>
        </is>
      </c>
      <c r="K14" s="10" t="inlineStr">
        <is>
          <t>composite_split</t>
        </is>
      </c>
      <c r="L14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" s="10" t="n">
        <v>7914678.51</v>
      </c>
    </row>
    <row r="15" ht="66" customHeight="1">
      <c r="A15" s="10" t="inlineStr">
        <is>
          <t>LME_035</t>
        </is>
      </c>
      <c r="B15" s="11" t="inlineStr">
        <is>
          <t>35_412_Gulf_of_Thailande_(1963)</t>
        </is>
      </c>
      <c r="C15" s="11" t="inlineStr">
        <is>
          <t>Marine fishes not identified</t>
        </is>
      </c>
      <c r="D15" s="10" t="inlineStr">
        <is>
          <t>Marine fishes nei</t>
        </is>
      </c>
      <c r="E15" s="10" t="inlineStr">
        <is>
          <t>Medium demersals (30 - 89 cm)</t>
        </is>
      </c>
      <c r="F15" s="10" t="inlineStr">
        <is>
          <t>Other fishes &amp; inverts</t>
        </is>
      </c>
      <c r="G15" s="11" t="inlineStr">
        <is>
          <t>Sm.dem.benth.</t>
        </is>
      </c>
      <c r="H15" s="12" t="n">
        <v>0.07518206864322603</v>
      </c>
      <c r="I15" s="10" t="inlineStr">
        <is>
          <t>catch_composition</t>
        </is>
      </c>
      <c r="J15" s="15" t="inlineStr">
        <is>
          <t>low</t>
        </is>
      </c>
      <c r="K15" s="10" t="inlineStr">
        <is>
          <t>composite_split</t>
        </is>
      </c>
      <c r="L15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5" s="10" t="n">
        <v>7914678.51</v>
      </c>
    </row>
    <row r="16" ht="66" customHeight="1">
      <c r="A16" s="10" t="inlineStr">
        <is>
          <t>LME_035</t>
        </is>
      </c>
      <c r="B16" s="11" t="inlineStr">
        <is>
          <t>35_412_Gulf_of_Thailande_(1963)</t>
        </is>
      </c>
      <c r="C16" s="11" t="inlineStr">
        <is>
          <t>Marine fishes not identified</t>
        </is>
      </c>
      <c r="D16" s="10" t="inlineStr">
        <is>
          <t>Marine fishes nei</t>
        </is>
      </c>
      <c r="E16" s="10" t="inlineStr">
        <is>
          <t>Medium demersals (30 - 89 cm)</t>
        </is>
      </c>
      <c r="F16" s="10" t="inlineStr">
        <is>
          <t>Other fishes &amp; inverts</t>
        </is>
      </c>
      <c r="G16" s="11" t="inlineStr">
        <is>
          <t>Sm.dem.pisc.</t>
        </is>
      </c>
      <c r="H16" s="12" t="n">
        <v>0.09016775210067045</v>
      </c>
      <c r="I16" s="10" t="inlineStr">
        <is>
          <t>catch_composition</t>
        </is>
      </c>
      <c r="J16" s="15" t="inlineStr">
        <is>
          <t>low</t>
        </is>
      </c>
      <c r="K16" s="10" t="inlineStr">
        <is>
          <t>composite_split</t>
        </is>
      </c>
      <c r="L16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6" s="10" t="n">
        <v>7914678.51</v>
      </c>
    </row>
    <row r="17" ht="66" customHeight="1">
      <c r="A17" s="10" t="inlineStr">
        <is>
          <t>LME_035</t>
        </is>
      </c>
      <c r="B17" s="11" t="inlineStr">
        <is>
          <t>35_412_Gulf_of_Thailande_(1963)</t>
        </is>
      </c>
      <c r="C17" s="11" t="inlineStr">
        <is>
          <t>Marine fishes not identified</t>
        </is>
      </c>
      <c r="D17" s="10" t="inlineStr">
        <is>
          <t>Marine fishes nei</t>
        </is>
      </c>
      <c r="E17" s="10" t="inlineStr">
        <is>
          <t>Medium demersals (30 - 89 cm)</t>
        </is>
      </c>
      <c r="F17" s="10" t="inlineStr">
        <is>
          <t>Other fishes &amp; inverts</t>
        </is>
      </c>
      <c r="G17" s="11" t="inlineStr">
        <is>
          <t>O.fish</t>
        </is>
      </c>
      <c r="H17" s="12" t="n">
        <v>0.03582224745760314</v>
      </c>
      <c r="I17" s="10" t="inlineStr">
        <is>
          <t>catch_composition</t>
        </is>
      </c>
      <c r="J17" s="15" t="inlineStr">
        <is>
          <t>low</t>
        </is>
      </c>
      <c r="K17" s="10" t="inlineStr">
        <is>
          <t>composite_split</t>
        </is>
      </c>
      <c r="L17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7" s="10" t="n">
        <v>7914678.51</v>
      </c>
    </row>
    <row r="18" ht="51" customHeight="1">
      <c r="A18" s="10" t="inlineStr">
        <is>
          <t>LME_035</t>
        </is>
      </c>
      <c r="B18" s="11" t="inlineStr">
        <is>
          <t>35_412_Gulf_of_Thailande_(1963)</t>
        </is>
      </c>
      <c r="C18" s="11" t="inlineStr">
        <is>
          <t>Engraulidae</t>
        </is>
      </c>
      <c r="D18" s="10" t="inlineStr">
        <is>
          <t>Anchovies, round herrings</t>
        </is>
      </c>
      <c r="E18" s="10" t="inlineStr">
        <is>
          <t>Small pelagics (&lt;30 cm)</t>
        </is>
      </c>
      <c r="F18" s="10" t="inlineStr">
        <is>
          <t>Anchovies</t>
        </is>
      </c>
      <c r="G18" s="11" t="inlineStr">
        <is>
          <t>Sm. pelagics</t>
        </is>
      </c>
      <c r="H18" s="12" t="n">
        <v>1</v>
      </c>
      <c r="I18" s="10" t="inlineStr">
        <is>
          <t>single</t>
        </is>
      </c>
      <c r="J18" s="13" t="inlineStr">
        <is>
          <t>medium</t>
        </is>
      </c>
      <c r="K18" s="10" t="inlineStr">
        <is>
          <t>habitat_size_guild</t>
        </is>
      </c>
      <c r="L18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18" s="10" t="n">
        <v>6360940.08</v>
      </c>
    </row>
    <row r="19" ht="51" customHeight="1">
      <c r="A19" s="10" t="inlineStr">
        <is>
          <t>LME_035</t>
        </is>
      </c>
      <c r="B19" s="11" t="inlineStr">
        <is>
          <t>35_412_Gulf_of_Thailande_(1963)</t>
        </is>
      </c>
      <c r="C19" s="11" t="inlineStr">
        <is>
          <t>Sciaenidae</t>
        </is>
      </c>
      <c r="D19" s="10" t="inlineStr">
        <is>
          <t>Drums, croakers</t>
        </is>
      </c>
      <c r="E19" s="10" t="inlineStr">
        <is>
          <t>Medium demersals (30 - 89 cm)</t>
        </is>
      </c>
      <c r="F19" s="10" t="inlineStr">
        <is>
          <t>Perch-likes</t>
        </is>
      </c>
      <c r="G19" s="11" t="inlineStr">
        <is>
          <t>Med.dem.pisc.</t>
        </is>
      </c>
      <c r="H19" s="12" t="n">
        <v>1</v>
      </c>
      <c r="I19" s="10" t="inlineStr">
        <is>
          <t>single</t>
        </is>
      </c>
      <c r="J19" s="14" t="inlineStr">
        <is>
          <t>high</t>
        </is>
      </c>
      <c r="K19" s="10" t="inlineStr">
        <is>
          <t>explicit_member</t>
        </is>
      </c>
      <c r="L1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9" s="10" t="n">
        <v>6300173.465</v>
      </c>
    </row>
    <row r="20" ht="51" customHeight="1">
      <c r="A20" s="10" t="inlineStr">
        <is>
          <t>LME_035</t>
        </is>
      </c>
      <c r="B20" s="11" t="inlineStr">
        <is>
          <t>35_412_Gulf_of_Thailande_(1963)</t>
        </is>
      </c>
      <c r="C20" s="11" t="inlineStr">
        <is>
          <t>Sardinella</t>
        </is>
      </c>
      <c r="D20" s="10" t="inlineStr">
        <is>
          <t>Sardinellas</t>
        </is>
      </c>
      <c r="E20" s="10" t="inlineStr">
        <is>
          <t>Small pelagics (&lt;30 cm)</t>
        </is>
      </c>
      <c r="F20" s="10" t="inlineStr">
        <is>
          <t>Herring-likes</t>
        </is>
      </c>
      <c r="G20" s="11" t="inlineStr">
        <is>
          <t>Sm. pelagics</t>
        </is>
      </c>
      <c r="H20" s="12" t="n">
        <v>1</v>
      </c>
      <c r="I20" s="10" t="inlineStr">
        <is>
          <t>single</t>
        </is>
      </c>
      <c r="J20" s="13" t="inlineStr">
        <is>
          <t>medium</t>
        </is>
      </c>
      <c r="K20" s="10" t="inlineStr">
        <is>
          <t>habitat_size_guild</t>
        </is>
      </c>
      <c r="L20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0" s="10" t="n">
        <v>5991391.711</v>
      </c>
    </row>
    <row r="21" ht="51" customHeight="1">
      <c r="A21" s="10" t="inlineStr">
        <is>
          <t>LME_035</t>
        </is>
      </c>
      <c r="B21" s="11" t="inlineStr">
        <is>
          <t>35_412_Gulf_of_Thailande_(1963)</t>
        </is>
      </c>
      <c r="C21" s="11" t="inlineStr">
        <is>
          <t>Platycephalidae</t>
        </is>
      </c>
      <c r="D21" s="10" t="inlineStr">
        <is>
          <t>Flatheads</t>
        </is>
      </c>
      <c r="E21" s="10" t="inlineStr">
        <is>
          <t>Medium demersals (30 - 89 cm)</t>
        </is>
      </c>
      <c r="F21" s="10" t="inlineStr">
        <is>
          <t>Scorpionfishes</t>
        </is>
      </c>
      <c r="G21" s="11" t="inlineStr">
        <is>
          <t>Med.dem.pisc.</t>
        </is>
      </c>
      <c r="H21" s="12" t="n">
        <v>1</v>
      </c>
      <c r="I21" s="10" t="inlineStr">
        <is>
          <t>single</t>
        </is>
      </c>
      <c r="J21" s="13" t="inlineStr">
        <is>
          <t>medium</t>
        </is>
      </c>
      <c r="K21" s="10" t="inlineStr">
        <is>
          <t>habitat_size_guild</t>
        </is>
      </c>
      <c r="L21" s="11" t="inlineStr">
        <is>
          <t>Flathead ambush-predators eat fish and crustaceans while camouflaged on the bottom. Reviewed against the Ecobase group name and diet; the original paper p.130 lists important components but does not settle this taxon.</t>
        </is>
      </c>
      <c r="M21" s="10" t="n">
        <v>4759039.068</v>
      </c>
    </row>
    <row r="22" ht="51" customHeight="1">
      <c r="A22" s="10" t="inlineStr">
        <is>
          <t>LME_035</t>
        </is>
      </c>
      <c r="B22" s="11" t="inlineStr">
        <is>
          <t>35_412_Gulf_of_Thailande_(1963)</t>
        </is>
      </c>
      <c r="C22" s="11" t="inlineStr">
        <is>
          <t>Loliginidae</t>
        </is>
      </c>
      <c r="D22" s="10" t="inlineStr">
        <is>
          <t>Common pencil squids</t>
        </is>
      </c>
      <c r="E22" s="10" t="inlineStr">
        <is>
          <t>Cephalopods</t>
        </is>
      </c>
      <c r="F22" s="10" t="inlineStr">
        <is>
          <t>Other fishes &amp; inverts</t>
        </is>
      </c>
      <c r="G22" s="11" t="inlineStr">
        <is>
          <t>Cephalopods</t>
        </is>
      </c>
      <c r="H22" s="12" t="n">
        <v>1</v>
      </c>
      <c r="I22" s="10" t="inlineStr">
        <is>
          <t>single</t>
        </is>
      </c>
      <c r="J22" s="14" t="inlineStr">
        <is>
          <t>high</t>
        </is>
      </c>
      <c r="K22" s="10" t="inlineStr">
        <is>
          <t>taxonomic_containment</t>
        </is>
      </c>
      <c r="L22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2" s="10" t="n">
        <v>4426593.748</v>
      </c>
    </row>
    <row r="23" ht="66" customHeight="1">
      <c r="A23" s="10" t="inlineStr">
        <is>
          <t>LME_035</t>
        </is>
      </c>
      <c r="B23" s="11" t="inlineStr">
        <is>
          <t>35_412_Gulf_of_Thailande_(1963)</t>
        </is>
      </c>
      <c r="C23" s="11" t="inlineStr">
        <is>
          <t>Perna viridis</t>
        </is>
      </c>
      <c r="D23" s="10" t="inlineStr">
        <is>
          <t>Brown mussel</t>
        </is>
      </c>
      <c r="E23" s="10" t="inlineStr">
        <is>
          <t>Other demersal invertebrates</t>
        </is>
      </c>
      <c r="F23" s="10" t="inlineStr">
        <is>
          <t>Molluscs</t>
        </is>
      </c>
      <c r="G23" s="11" t="inlineStr">
        <is>
          <t>Molluscs</t>
        </is>
      </c>
      <c r="H23" s="12" t="n">
        <v>1</v>
      </c>
      <c r="I23" s="10" t="inlineStr">
        <is>
          <t>single</t>
        </is>
      </c>
      <c r="J23" s="14" t="inlineStr">
        <is>
          <t>high</t>
        </is>
      </c>
      <c r="K23" s="10" t="inlineStr">
        <is>
          <t>taxonomic_containment</t>
        </is>
      </c>
      <c r="L23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3" s="10" t="n">
        <v>3617746.592</v>
      </c>
    </row>
    <row r="24" ht="51" customHeight="1">
      <c r="A24" s="10" t="inlineStr">
        <is>
          <t>LME_035</t>
        </is>
      </c>
      <c r="B24" s="11" t="inlineStr">
        <is>
          <t>35_412_Gulf_of_Thailande_(1963)</t>
        </is>
      </c>
      <c r="C24" s="11" t="inlineStr">
        <is>
          <t>Penaeus</t>
        </is>
      </c>
      <c r="D24" s="10" t="inlineStr">
        <is>
          <t>Tiger prawns</t>
        </is>
      </c>
      <c r="E24" s="10" t="inlineStr">
        <is>
          <t>Shrimps</t>
        </is>
      </c>
      <c r="F24" s="10" t="inlineStr">
        <is>
          <t>Crustaceans</t>
        </is>
      </c>
      <c r="G24" s="11" t="inlineStr">
        <is>
          <t>Shrimps</t>
        </is>
      </c>
      <c r="H24" s="12" t="n">
        <v>1</v>
      </c>
      <c r="I24" s="10" t="inlineStr">
        <is>
          <t>single</t>
        </is>
      </c>
      <c r="J24" s="14" t="inlineStr">
        <is>
          <t>high</t>
        </is>
      </c>
      <c r="K24" s="10" t="inlineStr">
        <is>
          <t>taxonomic_containment</t>
        </is>
      </c>
      <c r="L24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24" s="10" t="n">
        <v>3391062.628</v>
      </c>
    </row>
    <row r="25" ht="51" customHeight="1">
      <c r="A25" s="10" t="inlineStr">
        <is>
          <t>LME_035</t>
        </is>
      </c>
      <c r="B25" s="11" t="inlineStr">
        <is>
          <t>35_412_Gulf_of_Thailande_(1963)</t>
        </is>
      </c>
      <c r="C25" s="11" t="inlineStr">
        <is>
          <t>Scombridae</t>
        </is>
      </c>
      <c r="D25" s="10" t="inlineStr">
        <is>
          <t>Mackerels, tunas, bonitos</t>
        </is>
      </c>
      <c r="E25" s="10" t="inlineStr">
        <is>
          <t>Medium pelagics (30 - 89 cm)</t>
        </is>
      </c>
      <c r="F25" s="10" t="inlineStr">
        <is>
          <t>Perch-likes</t>
        </is>
      </c>
      <c r="G25" s="11" t="inlineStr">
        <is>
          <t>Mackerel</t>
        </is>
      </c>
      <c r="H25" s="12" t="n">
        <v>0.737697008780092</v>
      </c>
      <c r="I25" s="10" t="inlineStr">
        <is>
          <t>catch_composition</t>
        </is>
      </c>
      <c r="J25" s="13" t="inlineStr">
        <is>
          <t>medium</t>
        </is>
      </c>
      <c r="K25" s="10" t="inlineStr">
        <is>
          <t>composite_split</t>
        </is>
      </c>
      <c r="L2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5" s="10" t="n">
        <v>3199376.989</v>
      </c>
    </row>
    <row r="26" ht="51" customHeight="1">
      <c r="A26" s="10" t="inlineStr">
        <is>
          <t>LME_035</t>
        </is>
      </c>
      <c r="B26" s="11" t="inlineStr">
        <is>
          <t>35_412_Gulf_of_Thailande_(1963)</t>
        </is>
      </c>
      <c r="C26" s="11" t="inlineStr">
        <is>
          <t>Scombridae</t>
        </is>
      </c>
      <c r="D26" s="10" t="inlineStr">
        <is>
          <t>Mackerels, tunas, bonitos</t>
        </is>
      </c>
      <c r="E26" s="10" t="inlineStr">
        <is>
          <t>Medium pelagics (30 - 89 cm)</t>
        </is>
      </c>
      <c r="F26" s="10" t="inlineStr">
        <is>
          <t>Perch-likes</t>
        </is>
      </c>
      <c r="G26" s="11" t="inlineStr">
        <is>
          <t>Scomberomorus</t>
        </is>
      </c>
      <c r="H26" s="12" t="n">
        <v>0.1515378757773203</v>
      </c>
      <c r="I26" s="10" t="inlineStr">
        <is>
          <t>catch_composition</t>
        </is>
      </c>
      <c r="J26" s="13" t="inlineStr">
        <is>
          <t>medium</t>
        </is>
      </c>
      <c r="K26" s="10" t="inlineStr">
        <is>
          <t>composite_split</t>
        </is>
      </c>
      <c r="L2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6" s="10" t="n">
        <v>3199376.989</v>
      </c>
    </row>
    <row r="27" ht="51" customHeight="1">
      <c r="A27" s="10" t="inlineStr">
        <is>
          <t>LME_035</t>
        </is>
      </c>
      <c r="B27" s="11" t="inlineStr">
        <is>
          <t>35_412_Gulf_of_Thailande_(1963)</t>
        </is>
      </c>
      <c r="C27" s="11" t="inlineStr">
        <is>
          <t>Scombridae</t>
        </is>
      </c>
      <c r="D27" s="10" t="inlineStr">
        <is>
          <t>Mackerels, tunas, bonitos</t>
        </is>
      </c>
      <c r="E27" s="10" t="inlineStr">
        <is>
          <t>Medium pelagics (30 - 89 cm)</t>
        </is>
      </c>
      <c r="F27" s="10" t="inlineStr">
        <is>
          <t>Perch-likes</t>
        </is>
      </c>
      <c r="G27" s="11" t="inlineStr">
        <is>
          <t>Tuna</t>
        </is>
      </c>
      <c r="H27" s="12" t="n">
        <v>0.1107651154425877</v>
      </c>
      <c r="I27" s="10" t="inlineStr">
        <is>
          <t>catch_composition</t>
        </is>
      </c>
      <c r="J27" s="13" t="inlineStr">
        <is>
          <t>medium</t>
        </is>
      </c>
      <c r="K27" s="10" t="inlineStr">
        <is>
          <t>composite_split</t>
        </is>
      </c>
      <c r="L2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7" s="10" t="n">
        <v>3199376.989</v>
      </c>
    </row>
    <row r="28" ht="51" customHeight="1">
      <c r="A28" s="10" t="inlineStr">
        <is>
          <t>LME_035</t>
        </is>
      </c>
      <c r="B28" s="11" t="inlineStr">
        <is>
          <t>35_412_Gulf_of_Thailande_(1963)</t>
        </is>
      </c>
      <c r="C28" s="11" t="inlineStr">
        <is>
          <t>Sepiidae</t>
        </is>
      </c>
      <c r="D28" s="10" t="inlineStr">
        <is>
          <t>Cuttlefishes</t>
        </is>
      </c>
      <c r="E28" s="10" t="inlineStr">
        <is>
          <t>Cephalopods</t>
        </is>
      </c>
      <c r="F28" s="10" t="inlineStr">
        <is>
          <t>Other fishes &amp; inverts</t>
        </is>
      </c>
      <c r="G28" s="11" t="inlineStr">
        <is>
          <t>Cephalopods</t>
        </is>
      </c>
      <c r="H28" s="12" t="n">
        <v>1</v>
      </c>
      <c r="I28" s="10" t="inlineStr">
        <is>
          <t>single</t>
        </is>
      </c>
      <c r="J28" s="14" t="inlineStr">
        <is>
          <t>high</t>
        </is>
      </c>
      <c r="K28" s="10" t="inlineStr">
        <is>
          <t>taxonomic_containment</t>
        </is>
      </c>
      <c r="L28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8" s="10" t="n">
        <v>2761997.458</v>
      </c>
    </row>
    <row r="29" ht="51" customHeight="1">
      <c r="A29" s="10" t="inlineStr">
        <is>
          <t>LME_035</t>
        </is>
      </c>
      <c r="B29" s="11" t="inlineStr">
        <is>
          <t>35_412_Gulf_of_Thailande_(1963)</t>
        </is>
      </c>
      <c r="C29" s="11" t="inlineStr">
        <is>
          <t>Priacanthus</t>
        </is>
      </c>
      <c r="D29" s="10" t="inlineStr">
        <is>
          <t>Bigeyes</t>
        </is>
      </c>
      <c r="E29" s="10" t="inlineStr">
        <is>
          <t>Medium reef assoc. fish (30 - 89 cm)</t>
        </is>
      </c>
      <c r="F29" s="10" t="inlineStr">
        <is>
          <t>Perch-likes</t>
        </is>
      </c>
      <c r="G29" s="11" t="inlineStr">
        <is>
          <t>Sm.dem.pisc.</t>
        </is>
      </c>
      <c r="H29" s="12" t="n">
        <v>1</v>
      </c>
      <c r="I29" s="10" t="inlineStr">
        <is>
          <t>single</t>
        </is>
      </c>
      <c r="J29" s="14" t="inlineStr">
        <is>
          <t>high</t>
        </is>
      </c>
      <c r="K29" s="10" t="inlineStr">
        <is>
          <t>explicit_member</t>
        </is>
      </c>
      <c r="L2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" s="10" t="n">
        <v>2526380.405</v>
      </c>
    </row>
    <row r="30" ht="51" customHeight="1">
      <c r="A30" s="10" t="inlineStr">
        <is>
          <t>LME_035</t>
        </is>
      </c>
      <c r="B30" s="11" t="inlineStr">
        <is>
          <t>35_412_Gulf_of_Thailande_(1963)</t>
        </is>
      </c>
      <c r="C30" s="11" t="inlineStr">
        <is>
          <t>Penaeidae</t>
        </is>
      </c>
      <c r="D30" s="10" t="inlineStr">
        <is>
          <t>Commercial shrimps and prawns</t>
        </is>
      </c>
      <c r="E30" s="10" t="inlineStr">
        <is>
          <t>Shrimps</t>
        </is>
      </c>
      <c r="F30" s="10" t="inlineStr">
        <is>
          <t>Crustaceans</t>
        </is>
      </c>
      <c r="G30" s="11" t="inlineStr">
        <is>
          <t>Shrimps</t>
        </is>
      </c>
      <c r="H30" s="12" t="n">
        <v>1</v>
      </c>
      <c r="I30" s="10" t="inlineStr">
        <is>
          <t>single</t>
        </is>
      </c>
      <c r="J30" s="14" t="inlineStr">
        <is>
          <t>high</t>
        </is>
      </c>
      <c r="K30" s="10" t="inlineStr">
        <is>
          <t>taxonomic_containment</t>
        </is>
      </c>
      <c r="L30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30" s="10" t="n">
        <v>2144515.951</v>
      </c>
    </row>
    <row r="31" ht="51" customHeight="1">
      <c r="A31" s="10" t="inlineStr">
        <is>
          <t>LME_035</t>
        </is>
      </c>
      <c r="B31" s="11" t="inlineStr">
        <is>
          <t>35_412_Gulf_of_Thailande_(1963)</t>
        </is>
      </c>
      <c r="C31" s="11" t="inlineStr">
        <is>
          <t>Rastrelliger</t>
        </is>
      </c>
      <c r="D31" s="10" t="inlineStr">
        <is>
          <t>Indian mackerels</t>
        </is>
      </c>
      <c r="E31" s="10" t="inlineStr">
        <is>
          <t>Medium pelagics (30 - 89 cm)</t>
        </is>
      </c>
      <c r="F31" s="10" t="inlineStr">
        <is>
          <t>Perch-likes</t>
        </is>
      </c>
      <c r="G31" s="11" t="inlineStr">
        <is>
          <t>Mackerel</t>
        </is>
      </c>
      <c r="H31" s="12" t="n">
        <v>1</v>
      </c>
      <c r="I31" s="10" t="inlineStr">
        <is>
          <t>single</t>
        </is>
      </c>
      <c r="J31" s="14" t="inlineStr">
        <is>
          <t>high</t>
        </is>
      </c>
      <c r="K31" s="10" t="inlineStr">
        <is>
          <t>explicit_member</t>
        </is>
      </c>
      <c r="L3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1" s="10" t="n">
        <v>2143132.51</v>
      </c>
    </row>
    <row r="32" ht="51" customHeight="1">
      <c r="A32" s="10" t="inlineStr">
        <is>
          <t>LME_035</t>
        </is>
      </c>
      <c r="B32" s="11" t="inlineStr">
        <is>
          <t>35_412_Gulf_of_Thailande_(1963)</t>
        </is>
      </c>
      <c r="C32" s="11" t="inlineStr">
        <is>
          <t>Decapterus russelli</t>
        </is>
      </c>
      <c r="D32" s="10" t="inlineStr">
        <is>
          <t>Indian scad</t>
        </is>
      </c>
      <c r="E32" s="10" t="inlineStr">
        <is>
          <t>Medium pelagics (30 - 89 cm)</t>
        </is>
      </c>
      <c r="F32" s="10" t="inlineStr">
        <is>
          <t>Perch-likes</t>
        </is>
      </c>
      <c r="G32" s="11" t="inlineStr">
        <is>
          <t>Scad</t>
        </is>
      </c>
      <c r="H32" s="12" t="n">
        <v>1</v>
      </c>
      <c r="I32" s="10" t="inlineStr">
        <is>
          <t>single</t>
        </is>
      </c>
      <c r="J32" s="14" t="inlineStr">
        <is>
          <t>high</t>
        </is>
      </c>
      <c r="K32" s="10" t="inlineStr">
        <is>
          <t>taxonomic_containment</t>
        </is>
      </c>
      <c r="L3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2" s="10" t="n">
        <v>1991346.13</v>
      </c>
    </row>
    <row r="33" ht="51" customHeight="1">
      <c r="A33" s="10" t="inlineStr">
        <is>
          <t>LME_035</t>
        </is>
      </c>
      <c r="B33" s="11" t="inlineStr">
        <is>
          <t>35_412_Gulf_of_Thailande_(1963)</t>
        </is>
      </c>
      <c r="C33" s="11" t="inlineStr">
        <is>
          <t>Nemipterus</t>
        </is>
      </c>
      <c r="D33" s="10" t="inlineStr">
        <is>
          <t>Threadfin breams</t>
        </is>
      </c>
      <c r="E33" s="10" t="inlineStr">
        <is>
          <t>Small demersals (&lt;30 cm)</t>
        </is>
      </c>
      <c r="F33" s="10" t="inlineStr">
        <is>
          <t>Perch-likes</t>
        </is>
      </c>
      <c r="G33" s="11" t="inlineStr">
        <is>
          <t>Sm.dem.benth.</t>
        </is>
      </c>
      <c r="H33" s="12" t="n">
        <v>1</v>
      </c>
      <c r="I33" s="10" t="inlineStr">
        <is>
          <t>single</t>
        </is>
      </c>
      <c r="J33" s="14" t="inlineStr">
        <is>
          <t>high</t>
        </is>
      </c>
      <c r="K33" s="10" t="inlineStr">
        <is>
          <t>explicit_member</t>
        </is>
      </c>
      <c r="L3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3" s="10" t="n">
        <v>1966532.604</v>
      </c>
    </row>
    <row r="34" ht="51" customHeight="1">
      <c r="A34" s="10" t="inlineStr">
        <is>
          <t>LME_035</t>
        </is>
      </c>
      <c r="B34" s="11" t="inlineStr">
        <is>
          <t>35_412_Gulf_of_Thailande_(1963)</t>
        </is>
      </c>
      <c r="C34" s="11" t="inlineStr">
        <is>
          <t>Portunus pelagicus</t>
        </is>
      </c>
      <c r="D34" s="10" t="inlineStr">
        <is>
          <t>Blue swimming crab</t>
        </is>
      </c>
      <c r="E34" s="10" t="inlineStr">
        <is>
          <t>Lobsters, crabs</t>
        </is>
      </c>
      <c r="F34" s="10" t="inlineStr">
        <is>
          <t>Crustaceans</t>
        </is>
      </c>
      <c r="G34" s="11" t="inlineStr">
        <is>
          <t>Crab, lobster</t>
        </is>
      </c>
      <c r="H34" s="12" t="n">
        <v>1</v>
      </c>
      <c r="I34" s="10" t="inlineStr">
        <is>
          <t>single</t>
        </is>
      </c>
      <c r="J34" s="14" t="inlineStr">
        <is>
          <t>high</t>
        </is>
      </c>
      <c r="K34" s="10" t="inlineStr">
        <is>
          <t>taxonomic_containment</t>
        </is>
      </c>
      <c r="L34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34" s="10" t="n">
        <v>1941136.104</v>
      </c>
    </row>
    <row r="35" ht="66" customHeight="1">
      <c r="A35" s="10" t="inlineStr">
        <is>
          <t>LME_035</t>
        </is>
      </c>
      <c r="B35" s="11" t="inlineStr">
        <is>
          <t>35_412_Gulf_of_Thailande_(1963)</t>
        </is>
      </c>
      <c r="C35" s="11" t="inlineStr">
        <is>
          <t>Veneridae</t>
        </is>
      </c>
      <c r="D35" s="10" t="inlineStr">
        <is>
          <t>Venus clams</t>
        </is>
      </c>
      <c r="E35" s="10" t="inlineStr">
        <is>
          <t>Other demersal invertebrates</t>
        </is>
      </c>
      <c r="F35" s="10" t="inlineStr">
        <is>
          <t>Molluscs</t>
        </is>
      </c>
      <c r="G35" s="11" t="inlineStr">
        <is>
          <t>Molluscs</t>
        </is>
      </c>
      <c r="H35" s="12" t="n">
        <v>1</v>
      </c>
      <c r="I35" s="10" t="inlineStr">
        <is>
          <t>single</t>
        </is>
      </c>
      <c r="J35" s="14" t="inlineStr">
        <is>
          <t>high</t>
        </is>
      </c>
      <c r="K35" s="10" t="inlineStr">
        <is>
          <t>taxonomic_containment</t>
        </is>
      </c>
      <c r="L35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35" s="10" t="n">
        <v>1853315.098</v>
      </c>
    </row>
    <row r="36" ht="51" customHeight="1">
      <c r="A36" s="10" t="inlineStr">
        <is>
          <t>LME_035</t>
        </is>
      </c>
      <c r="B36" s="11" t="inlineStr">
        <is>
          <t>35_412_Gulf_of_Thailande_(1963)</t>
        </is>
      </c>
      <c r="C36" s="11" t="inlineStr">
        <is>
          <t>Saurida</t>
        </is>
      </c>
      <c r="D36" s="10" t="inlineStr">
        <is>
          <t>Lizardfishes</t>
        </is>
      </c>
      <c r="E36" s="10" t="inlineStr">
        <is>
          <t>Medium demersals (30 - 89 cm)</t>
        </is>
      </c>
      <c r="F36" s="10" t="inlineStr">
        <is>
          <t>Other fishes &amp; inverts</t>
        </is>
      </c>
      <c r="G36" s="11" t="inlineStr">
        <is>
          <t>Med.dem.pisc.</t>
        </is>
      </c>
      <c r="H36" s="12" t="n">
        <v>1</v>
      </c>
      <c r="I36" s="10" t="inlineStr">
        <is>
          <t>single</t>
        </is>
      </c>
      <c r="J36" s="14" t="inlineStr">
        <is>
          <t>high</t>
        </is>
      </c>
      <c r="K36" s="10" t="inlineStr">
        <is>
          <t>explicit_member</t>
        </is>
      </c>
      <c r="L3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6" s="10" t="n">
        <v>1732948.152</v>
      </c>
    </row>
    <row r="37" ht="51" customHeight="1">
      <c r="A37" s="10" t="inlineStr">
        <is>
          <t>LME_035</t>
        </is>
      </c>
      <c r="B37" s="11" t="inlineStr">
        <is>
          <t>35_412_Gulf_of_Thailande_(1963)</t>
        </is>
      </c>
      <c r="C37" s="11" t="inlineStr">
        <is>
          <t>Decapterus</t>
        </is>
      </c>
      <c r="D37" s="10" t="inlineStr">
        <is>
          <t>Scads</t>
        </is>
      </c>
      <c r="E37" s="10" t="inlineStr">
        <is>
          <t>Medium pelagics (30 - 89 cm)</t>
        </is>
      </c>
      <c r="F37" s="10" t="inlineStr">
        <is>
          <t>Perch-likes</t>
        </is>
      </c>
      <c r="G37" s="11" t="inlineStr">
        <is>
          <t>Scad</t>
        </is>
      </c>
      <c r="H37" s="12" t="n">
        <v>1</v>
      </c>
      <c r="I37" s="10" t="inlineStr">
        <is>
          <t>single</t>
        </is>
      </c>
      <c r="J37" s="14" t="inlineStr">
        <is>
          <t>high</t>
        </is>
      </c>
      <c r="K37" s="10" t="inlineStr">
        <is>
          <t>explicit_member</t>
        </is>
      </c>
      <c r="L3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7" s="10" t="n">
        <v>1580033.002</v>
      </c>
    </row>
    <row r="38" ht="51" customHeight="1">
      <c r="A38" s="10" t="inlineStr">
        <is>
          <t>LME_035</t>
        </is>
      </c>
      <c r="B38" s="11" t="inlineStr">
        <is>
          <t>35_412_Gulf_of_Thailande_(1963)</t>
        </is>
      </c>
      <c r="C38" s="11" t="inlineStr">
        <is>
          <t>Stolephorus</t>
        </is>
      </c>
      <c r="D38" s="10" t="inlineStr">
        <is>
          <t>Garment anchovies</t>
        </is>
      </c>
      <c r="E38" s="10" t="inlineStr">
        <is>
          <t>Small pelagics (&lt;30 cm)</t>
        </is>
      </c>
      <c r="F38" s="10" t="inlineStr">
        <is>
          <t>Anchovies</t>
        </is>
      </c>
      <c r="G38" s="11" t="inlineStr">
        <is>
          <t>Sm. pelagics</t>
        </is>
      </c>
      <c r="H38" s="12" t="n">
        <v>1</v>
      </c>
      <c r="I38" s="10" t="inlineStr">
        <is>
          <t>single</t>
        </is>
      </c>
      <c r="J38" s="13" t="inlineStr">
        <is>
          <t>medium</t>
        </is>
      </c>
      <c r="K38" s="10" t="inlineStr">
        <is>
          <t>habitat_size_guild</t>
        </is>
      </c>
      <c r="L38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38" s="10" t="n">
        <v>1447770.23</v>
      </c>
    </row>
    <row r="39" ht="51" customHeight="1">
      <c r="A39" s="10" t="inlineStr">
        <is>
          <t>LME_035</t>
        </is>
      </c>
      <c r="B39" s="11" t="inlineStr">
        <is>
          <t>35_412_Gulf_of_Thailande_(1963)</t>
        </is>
      </c>
      <c r="C39" s="11" t="inlineStr">
        <is>
          <t>Cephea</t>
        </is>
      </c>
      <c r="D39" s="10" t="inlineStr">
        <is>
          <t>Cepheid jellyfishes</t>
        </is>
      </c>
      <c r="E39" s="10" t="inlineStr">
        <is>
          <t>Jellyfish</t>
        </is>
      </c>
      <c r="F39" s="10" t="inlineStr">
        <is>
          <t>Other fishes &amp; inverts</t>
        </is>
      </c>
      <c r="G39" s="11" t="inlineStr">
        <is>
          <t>Jellyfish</t>
        </is>
      </c>
      <c r="H39" s="12" t="n">
        <v>1</v>
      </c>
      <c r="I39" s="10" t="inlineStr">
        <is>
          <t>single</t>
        </is>
      </c>
      <c r="J39" s="14" t="inlineStr">
        <is>
          <t>high</t>
        </is>
      </c>
      <c r="K39" s="10" t="inlineStr">
        <is>
          <t>taxonomic_containment</t>
        </is>
      </c>
      <c r="L39" s="11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  <c r="M39" s="10" t="n">
        <v>1430939.583</v>
      </c>
    </row>
    <row r="40" ht="51" customHeight="1">
      <c r="A40" s="10" t="inlineStr">
        <is>
          <t>LME_035</t>
        </is>
      </c>
      <c r="B40" s="11" t="inlineStr">
        <is>
          <t>35_412_Gulf_of_Thailande_(1963)</t>
        </is>
      </c>
      <c r="C40" s="11" t="inlineStr">
        <is>
          <t>Scomberomorus guttatus</t>
        </is>
      </c>
      <c r="D40" s="10" t="inlineStr">
        <is>
          <t>Indo-Pacific king mackerel</t>
        </is>
      </c>
      <c r="E40" s="10" t="inlineStr">
        <is>
          <t>Medium pelagics (30 - 89 cm)</t>
        </is>
      </c>
      <c r="F40" s="10" t="inlineStr">
        <is>
          <t>Perch-likes</t>
        </is>
      </c>
      <c r="G40" s="11" t="inlineStr">
        <is>
          <t>Scomberomorus</t>
        </is>
      </c>
      <c r="H40" s="12" t="n">
        <v>1</v>
      </c>
      <c r="I40" s="10" t="inlineStr">
        <is>
          <t>single</t>
        </is>
      </c>
      <c r="J40" s="14" t="inlineStr">
        <is>
          <t>high</t>
        </is>
      </c>
      <c r="K40" s="10" t="inlineStr">
        <is>
          <t>taxonomic_containment</t>
        </is>
      </c>
      <c r="L4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0" s="10" t="n">
        <v>1361132.67</v>
      </c>
    </row>
    <row r="41" ht="51" customHeight="1">
      <c r="A41" s="10" t="inlineStr">
        <is>
          <t>LME_035</t>
        </is>
      </c>
      <c r="B41" s="11" t="inlineStr">
        <is>
          <t>35_412_Gulf_of_Thailande_(1963)</t>
        </is>
      </c>
      <c r="C41" s="11" t="inlineStr">
        <is>
          <t>Sparidae</t>
        </is>
      </c>
      <c r="D41" s="10" t="inlineStr">
        <is>
          <t>Porgies, seabreams</t>
        </is>
      </c>
      <c r="E41" s="10" t="inlineStr">
        <is>
          <t>Medium benthopelagics (30 - 89 cm)</t>
        </is>
      </c>
      <c r="F41" s="10" t="inlineStr">
        <is>
          <t>Perch-likes</t>
        </is>
      </c>
      <c r="G41" s="11" t="inlineStr">
        <is>
          <t>Med.dem.benth.</t>
        </is>
      </c>
      <c r="H41" s="12" t="n">
        <v>1</v>
      </c>
      <c r="I41" s="10" t="inlineStr">
        <is>
          <t>single</t>
        </is>
      </c>
      <c r="J41" s="13" t="inlineStr">
        <is>
          <t>medium</t>
        </is>
      </c>
      <c r="K41" s="10" t="inlineStr">
        <is>
          <t>habitat_size_guild</t>
        </is>
      </c>
      <c r="L41" s="11" t="inlineStr">
        <is>
          <t>Seabream/porgy feed on benthic invertebrates (crustaceans, molluscs). Reviewed against the Ecobase group name and diet; the original paper p.130 lists important components but does not settle this taxon.</t>
        </is>
      </c>
      <c r="M41" s="10" t="n">
        <v>1241411.037</v>
      </c>
    </row>
    <row r="42" ht="66" customHeight="1">
      <c r="A42" s="10" t="inlineStr">
        <is>
          <t>LME_035</t>
        </is>
      </c>
      <c r="B42" s="11" t="inlineStr">
        <is>
          <t>35_412_Gulf_of_Thailande_(1963)</t>
        </is>
      </c>
      <c r="C42" s="11" t="inlineStr">
        <is>
          <t>Megalaspis cordyla</t>
        </is>
      </c>
      <c r="D42" s="10" t="inlineStr">
        <is>
          <t>Torpedo scad</t>
        </is>
      </c>
      <c r="E42" s="10" t="inlineStr">
        <is>
          <t>Medium pelagics (30 - 89 cm)</t>
        </is>
      </c>
      <c r="F42" s="10" t="inlineStr">
        <is>
          <t>Perch-likes</t>
        </is>
      </c>
      <c r="G42" s="11" t="inlineStr">
        <is>
          <t>Scad</t>
        </is>
      </c>
      <c r="H42" s="12" t="n">
        <v>1</v>
      </c>
      <c r="I42" s="10" t="inlineStr">
        <is>
          <t>single</t>
        </is>
      </c>
      <c r="J42" s="13" t="inlineStr">
        <is>
          <t>medium</t>
        </is>
      </c>
      <c r="K42" s="10" t="inlineStr">
        <is>
          <t>habitat_size_guild</t>
        </is>
      </c>
      <c r="L42" s="11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42" s="10" t="n">
        <v>1156975.743</v>
      </c>
    </row>
    <row r="43" ht="66" customHeight="1">
      <c r="A43" s="10" t="inlineStr">
        <is>
          <t>LME_035</t>
        </is>
      </c>
      <c r="B43" s="11" t="inlineStr">
        <is>
          <t>35_412_Gulf_of_Thailande_(1963)</t>
        </is>
      </c>
      <c r="C43" s="11" t="inlineStr">
        <is>
          <t>Mugilidae</t>
        </is>
      </c>
      <c r="D43" s="10" t="inlineStr">
        <is>
          <t>Mullets, grey mullets</t>
        </is>
      </c>
      <c r="E43" s="10" t="inlineStr">
        <is>
          <t>Medium reef assoc. fish (30 - 89 cm)</t>
        </is>
      </c>
      <c r="F43" s="10" t="inlineStr">
        <is>
          <t>Perch-likes</t>
        </is>
      </c>
      <c r="G43" s="11" t="inlineStr">
        <is>
          <t>O.fish</t>
        </is>
      </c>
      <c r="H43" s="12" t="n">
        <v>1</v>
      </c>
      <c r="I43" s="10" t="inlineStr">
        <is>
          <t>single</t>
        </is>
      </c>
      <c r="J43" s="15" t="inlineStr">
        <is>
          <t>low</t>
        </is>
      </c>
      <c r="K43" s="10" t="inlineStr">
        <is>
          <t>analogue</t>
        </is>
      </c>
      <c r="L43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43" s="10" t="n">
        <v>1132474.41</v>
      </c>
    </row>
    <row r="44" ht="51" customHeight="1">
      <c r="A44" s="10" t="inlineStr">
        <is>
          <t>LME_035</t>
        </is>
      </c>
      <c r="B44" s="11" t="inlineStr">
        <is>
          <t>35_412_Gulf_of_Thailande_(1963)</t>
        </is>
      </c>
      <c r="C44" s="11" t="inlineStr">
        <is>
          <t>Thunnus tonggol</t>
        </is>
      </c>
      <c r="D44" s="10" t="inlineStr">
        <is>
          <t>Longtail tuna</t>
        </is>
      </c>
      <c r="E44" s="10" t="inlineStr">
        <is>
          <t>Large pelagics (&gt;=90 cm)</t>
        </is>
      </c>
      <c r="F44" s="10" t="inlineStr">
        <is>
          <t>Tuna &amp; billfishes</t>
        </is>
      </c>
      <c r="G44" s="11" t="inlineStr">
        <is>
          <t>Tuna</t>
        </is>
      </c>
      <c r="H44" s="12" t="n">
        <v>1</v>
      </c>
      <c r="I44" s="10" t="inlineStr">
        <is>
          <t>single</t>
        </is>
      </c>
      <c r="J44" s="14" t="inlineStr">
        <is>
          <t>high</t>
        </is>
      </c>
      <c r="K44" s="10" t="inlineStr">
        <is>
          <t>explicit_member</t>
        </is>
      </c>
      <c r="L4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4" s="10" t="n">
        <v>993202.702</v>
      </c>
    </row>
    <row r="45" ht="66" customHeight="1">
      <c r="A45" s="10" t="inlineStr">
        <is>
          <t>LME_035</t>
        </is>
      </c>
      <c r="B45" s="11" t="inlineStr">
        <is>
          <t>35_412_Gulf_of_Thailande_(1963)</t>
        </is>
      </c>
      <c r="C45" s="11" t="inlineStr">
        <is>
          <t>Selaroides leptolepis</t>
        </is>
      </c>
      <c r="D45" s="10" t="inlineStr">
        <is>
          <t>Yellowstripe scad</t>
        </is>
      </c>
      <c r="E45" s="10" t="inlineStr">
        <is>
          <t>Small pelagics (&lt;30 cm)</t>
        </is>
      </c>
      <c r="F45" s="10" t="inlineStr">
        <is>
          <t>Perch-likes</t>
        </is>
      </c>
      <c r="G45" s="11" t="inlineStr">
        <is>
          <t>Scad</t>
        </is>
      </c>
      <c r="H45" s="12" t="n">
        <v>1</v>
      </c>
      <c r="I45" s="10" t="inlineStr">
        <is>
          <t>single</t>
        </is>
      </c>
      <c r="J45" s="13" t="inlineStr">
        <is>
          <t>medium</t>
        </is>
      </c>
      <c r="K45" s="10" t="inlineStr">
        <is>
          <t>habitat_size_guild</t>
        </is>
      </c>
      <c r="L45" s="11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45" s="10" t="n">
        <v>871595.4</v>
      </c>
    </row>
    <row r="46" ht="51" customHeight="1">
      <c r="A46" s="10" t="inlineStr">
        <is>
          <t>LME_035</t>
        </is>
      </c>
      <c r="B46" s="11" t="inlineStr">
        <is>
          <t>35_412_Gulf_of_Thailande_(1963)</t>
        </is>
      </c>
      <c r="C46" s="11" t="inlineStr">
        <is>
          <t>Dendrobranchiata</t>
        </is>
      </c>
      <c r="D46" s="10" t="inlineStr">
        <is>
          <t>Shrimps and prawns</t>
        </is>
      </c>
      <c r="E46" s="10" t="inlineStr">
        <is>
          <t>Shrimps</t>
        </is>
      </c>
      <c r="F46" s="10" t="inlineStr">
        <is>
          <t>Crustaceans</t>
        </is>
      </c>
      <c r="G46" s="11" t="inlineStr">
        <is>
          <t>Shrimps</t>
        </is>
      </c>
      <c r="H46" s="12" t="n">
        <v>1</v>
      </c>
      <c r="I46" s="10" t="inlineStr">
        <is>
          <t>single</t>
        </is>
      </c>
      <c r="J46" s="14" t="inlineStr">
        <is>
          <t>high</t>
        </is>
      </c>
      <c r="K46" s="10" t="inlineStr">
        <is>
          <t>taxonomic_containment</t>
        </is>
      </c>
      <c r="L46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46" s="10" t="n">
        <v>859207.585</v>
      </c>
    </row>
    <row r="47" ht="36" customHeight="1">
      <c r="A47" s="10" t="inlineStr">
        <is>
          <t>LME_035</t>
        </is>
      </c>
      <c r="B47" s="11" t="inlineStr">
        <is>
          <t>35_412_Gulf_of_Thailande_(1963)</t>
        </is>
      </c>
      <c r="C47" s="11" t="inlineStr">
        <is>
          <t>Ariidae</t>
        </is>
      </c>
      <c r="D47" s="10" t="inlineStr">
        <is>
          <t>Sea catfishes, coblers</t>
        </is>
      </c>
      <c r="E47" s="10" t="inlineStr">
        <is>
          <t>Medium demersals (30 - 89 cm)</t>
        </is>
      </c>
      <c r="F47" s="10" t="inlineStr">
        <is>
          <t>Other fishes &amp; inverts</t>
        </is>
      </c>
      <c r="G47" s="11" t="inlineStr">
        <is>
          <t>Med.dem.benth.</t>
        </is>
      </c>
      <c r="H47" s="12" t="n">
        <v>1</v>
      </c>
      <c r="I47" s="10" t="inlineStr">
        <is>
          <t>single</t>
        </is>
      </c>
      <c r="J47" s="13" t="inlineStr">
        <is>
          <t>medium</t>
        </is>
      </c>
      <c r="K47" s="10" t="inlineStr">
        <is>
          <t>habitat_size_guild</t>
        </is>
      </c>
      <c r="L47" s="11" t="inlineStr">
        <is>
          <t>Source p.130 includes Arius in medium demersal benthivores. The broader sea-catfish family and Netuma are inferred to that guild; no historical genus synonym is asserted.</t>
        </is>
      </c>
      <c r="M47" s="10" t="n">
        <v>856476.2120000001</v>
      </c>
    </row>
    <row r="48" ht="51" customHeight="1">
      <c r="A48" s="10" t="inlineStr">
        <is>
          <t>LME_035</t>
        </is>
      </c>
      <c r="B48" s="11" t="inlineStr">
        <is>
          <t>35_412_Gulf_of_Thailande_(1963)</t>
        </is>
      </c>
      <c r="C48" s="11" t="inlineStr">
        <is>
          <t>Scomberomorus</t>
        </is>
      </c>
      <c r="D48" s="10" t="inlineStr">
        <is>
          <t>Spanish mackerels</t>
        </is>
      </c>
      <c r="E48" s="10" t="inlineStr">
        <is>
          <t>Large pelagics (&gt;=90 cm)</t>
        </is>
      </c>
      <c r="F48" s="10" t="inlineStr">
        <is>
          <t>Perch-likes</t>
        </is>
      </c>
      <c r="G48" s="11" t="inlineStr">
        <is>
          <t>Scomberomorus</t>
        </is>
      </c>
      <c r="H48" s="12" t="n">
        <v>1</v>
      </c>
      <c r="I48" s="10" t="inlineStr">
        <is>
          <t>single</t>
        </is>
      </c>
      <c r="J48" s="14" t="inlineStr">
        <is>
          <t>high</t>
        </is>
      </c>
      <c r="K48" s="10" t="inlineStr">
        <is>
          <t>explicit_member</t>
        </is>
      </c>
      <c r="L4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8" s="10" t="n">
        <v>849251.135</v>
      </c>
    </row>
    <row r="49" ht="51" customHeight="1">
      <c r="A49" s="10" t="inlineStr">
        <is>
          <t>LME_035</t>
        </is>
      </c>
      <c r="B49" s="11" t="inlineStr">
        <is>
          <t>35_412_Gulf_of_Thailande_(1963)</t>
        </is>
      </c>
      <c r="C49" s="11" t="inlineStr">
        <is>
          <t>Priacanthidae</t>
        </is>
      </c>
      <c r="D49" s="10" t="inlineStr">
        <is>
          <t>Bigeyes, catalufas</t>
        </is>
      </c>
      <c r="E49" s="10" t="inlineStr">
        <is>
          <t>Medium reef assoc. fish (30 - 89 cm)</t>
        </is>
      </c>
      <c r="F49" s="10" t="inlineStr">
        <is>
          <t>Perch-likes</t>
        </is>
      </c>
      <c r="G49" s="11" t="inlineStr">
        <is>
          <t>Sm.dem.pisc.</t>
        </is>
      </c>
      <c r="H49" s="12" t="n">
        <v>1</v>
      </c>
      <c r="I49" s="10" t="inlineStr">
        <is>
          <t>single</t>
        </is>
      </c>
      <c r="J49" s="14" t="inlineStr">
        <is>
          <t>high</t>
        </is>
      </c>
      <c r="K49" s="10" t="inlineStr">
        <is>
          <t>taxonomic_containment</t>
        </is>
      </c>
      <c r="L4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9" s="10" t="n">
        <v>813215.9179999999</v>
      </c>
    </row>
    <row r="50" ht="51" customHeight="1">
      <c r="A50" s="10" t="inlineStr">
        <is>
          <t>LME_035</t>
        </is>
      </c>
      <c r="B50" s="11" t="inlineStr">
        <is>
          <t>35_412_Gulf_of_Thailande_(1963)</t>
        </is>
      </c>
      <c r="C50" s="11" t="inlineStr">
        <is>
          <t>Octopodidae</t>
        </is>
      </c>
      <c r="D50" s="10" t="inlineStr">
        <is>
          <t>Octopuses</t>
        </is>
      </c>
      <c r="E50" s="10" t="inlineStr">
        <is>
          <t>Cephalopods</t>
        </is>
      </c>
      <c r="F50" s="10" t="inlineStr">
        <is>
          <t>Other fishes &amp; inverts</t>
        </is>
      </c>
      <c r="G50" s="11" t="inlineStr">
        <is>
          <t>Cephalopods</t>
        </is>
      </c>
      <c r="H50" s="12" t="n">
        <v>1</v>
      </c>
      <c r="I50" s="10" t="inlineStr">
        <is>
          <t>single</t>
        </is>
      </c>
      <c r="J50" s="14" t="inlineStr">
        <is>
          <t>high</t>
        </is>
      </c>
      <c r="K50" s="10" t="inlineStr">
        <is>
          <t>taxonomic_containment</t>
        </is>
      </c>
      <c r="L50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50" s="10" t="n">
        <v>778259.58</v>
      </c>
    </row>
    <row r="51" ht="51" customHeight="1">
      <c r="A51" s="10" t="inlineStr">
        <is>
          <t>LME_035</t>
        </is>
      </c>
      <c r="B51" s="11" t="inlineStr">
        <is>
          <t>35_412_Gulf_of_Thailande_(1963)</t>
        </is>
      </c>
      <c r="C51" s="11" t="inlineStr">
        <is>
          <t>Clupeidae</t>
        </is>
      </c>
      <c r="D51" s="10" t="inlineStr">
        <is>
          <t>Herrings, sardines, menhadens</t>
        </is>
      </c>
      <c r="E51" s="10" t="inlineStr">
        <is>
          <t>Small pelagics (&lt;30 cm)</t>
        </is>
      </c>
      <c r="F51" s="10" t="inlineStr">
        <is>
          <t>Herring-likes</t>
        </is>
      </c>
      <c r="G51" s="11" t="inlineStr">
        <is>
          <t>Sm. pelagics</t>
        </is>
      </c>
      <c r="H51" s="12" t="n">
        <v>1</v>
      </c>
      <c r="I51" s="10" t="inlineStr">
        <is>
          <t>single</t>
        </is>
      </c>
      <c r="J51" s="13" t="inlineStr">
        <is>
          <t>medium</t>
        </is>
      </c>
      <c r="K51" s="10" t="inlineStr">
        <is>
          <t>habitat_size_guild</t>
        </is>
      </c>
      <c r="L51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51" s="10" t="n">
        <v>737748.728</v>
      </c>
    </row>
    <row r="52" ht="51" customHeight="1">
      <c r="A52" s="10" t="inlineStr">
        <is>
          <t>LME_035</t>
        </is>
      </c>
      <c r="B52" s="11" t="inlineStr">
        <is>
          <t>35_412_Gulf_of_Thailande_(1963)</t>
        </is>
      </c>
      <c r="C52" s="11" t="inlineStr">
        <is>
          <t>Sergestidae</t>
        </is>
      </c>
      <c r="D52" s="10" t="inlineStr">
        <is>
          <t>Sergestid shrimp</t>
        </is>
      </c>
      <c r="E52" s="10" t="inlineStr">
        <is>
          <t>Shrimps</t>
        </is>
      </c>
      <c r="F52" s="10" t="inlineStr">
        <is>
          <t>Crustaceans</t>
        </is>
      </c>
      <c r="G52" s="11" t="inlineStr">
        <is>
          <t>Shrimps</t>
        </is>
      </c>
      <c r="H52" s="12" t="n">
        <v>1</v>
      </c>
      <c r="I52" s="10" t="inlineStr">
        <is>
          <t>single</t>
        </is>
      </c>
      <c r="J52" s="14" t="inlineStr">
        <is>
          <t>high</t>
        </is>
      </c>
      <c r="K52" s="10" t="inlineStr">
        <is>
          <t>taxonomic_containment</t>
        </is>
      </c>
      <c r="L52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52" s="10" t="n">
        <v>684727.735</v>
      </c>
    </row>
    <row r="53" ht="66" customHeight="1">
      <c r="A53" s="10" t="inlineStr">
        <is>
          <t>LME_035</t>
        </is>
      </c>
      <c r="B53" s="11" t="inlineStr">
        <is>
          <t>35_412_Gulf_of_Thailande_(1963)</t>
        </is>
      </c>
      <c r="C53" s="11" t="inlineStr">
        <is>
          <t>Alepes</t>
        </is>
      </c>
      <c r="D53" s="10" t="inlineStr">
        <is>
          <t>Crevalles</t>
        </is>
      </c>
      <c r="E53" s="10" t="inlineStr">
        <is>
          <t>Medium reef assoc. fish (30 - 89 cm)</t>
        </is>
      </c>
      <c r="F53" s="10" t="inlineStr">
        <is>
          <t>Perch-likes</t>
        </is>
      </c>
      <c r="G53" s="11" t="inlineStr">
        <is>
          <t>Scad</t>
        </is>
      </c>
      <c r="H53" s="12" t="n">
        <v>1</v>
      </c>
      <c r="I53" s="10" t="inlineStr">
        <is>
          <t>single</t>
        </is>
      </c>
      <c r="J53" s="13" t="inlineStr">
        <is>
          <t>medium</t>
        </is>
      </c>
      <c r="K53" s="10" t="inlineStr">
        <is>
          <t>habitat_size_guild</t>
        </is>
      </c>
      <c r="L53" s="11" t="inlineStr">
        <is>
          <t>Carangidae genus (trevally/jack type); Scad is the model's only carangid compartment even though these are reef-associated predators rather than classic schooling scads. Reviewed against the Ecobase group name and diet; the original paper p.130 lists important components but does not settle this taxon.</t>
        </is>
      </c>
      <c r="M53" s="10" t="n">
        <v>594150.578</v>
      </c>
    </row>
    <row r="54" ht="66" customHeight="1">
      <c r="A54" s="10" t="inlineStr">
        <is>
          <t>LME_035</t>
        </is>
      </c>
      <c r="B54" s="11" t="inlineStr">
        <is>
          <t>35_412_Gulf_of_Thailande_(1963)</t>
        </is>
      </c>
      <c r="C54" s="11" t="inlineStr">
        <is>
          <t>Selar crumenophthalmus</t>
        </is>
      </c>
      <c r="D54" s="10" t="inlineStr">
        <is>
          <t>Bigeye scad</t>
        </is>
      </c>
      <c r="E54" s="10" t="inlineStr">
        <is>
          <t>Medium pelagics (30 - 89 cm)</t>
        </is>
      </c>
      <c r="F54" s="10" t="inlineStr">
        <is>
          <t>Perch-likes</t>
        </is>
      </c>
      <c r="G54" s="11" t="inlineStr">
        <is>
          <t>Scad</t>
        </is>
      </c>
      <c r="H54" s="12" t="n">
        <v>1</v>
      </c>
      <c r="I54" s="10" t="inlineStr">
        <is>
          <t>single</t>
        </is>
      </c>
      <c r="J54" s="13" t="inlineStr">
        <is>
          <t>medium</t>
        </is>
      </c>
      <c r="K54" s="10" t="inlineStr">
        <is>
          <t>habitat_size_guild</t>
        </is>
      </c>
      <c r="L54" s="11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54" s="10" t="n">
        <v>581883.431</v>
      </c>
    </row>
    <row r="55" ht="51" customHeight="1">
      <c r="A55" s="10" t="inlineStr">
        <is>
          <t>LME_035</t>
        </is>
      </c>
      <c r="B55" s="11" t="inlineStr">
        <is>
          <t>35_412_Gulf_of_Thailande_(1963)</t>
        </is>
      </c>
      <c r="C55" s="11" t="inlineStr">
        <is>
          <t>Penaeus merguiensis</t>
        </is>
      </c>
      <c r="D55" s="10" t="inlineStr">
        <is>
          <t>Banana prawn</t>
        </is>
      </c>
      <c r="E55" s="10" t="inlineStr">
        <is>
          <t>Shrimps</t>
        </is>
      </c>
      <c r="F55" s="10" t="inlineStr">
        <is>
          <t>Crustaceans</t>
        </is>
      </c>
      <c r="G55" s="11" t="inlineStr">
        <is>
          <t>Shrimps</t>
        </is>
      </c>
      <c r="H55" s="12" t="n">
        <v>1</v>
      </c>
      <c r="I55" s="10" t="inlineStr">
        <is>
          <t>single</t>
        </is>
      </c>
      <c r="J55" s="14" t="inlineStr">
        <is>
          <t>high</t>
        </is>
      </c>
      <c r="K55" s="10" t="inlineStr">
        <is>
          <t>taxonomic_containment</t>
        </is>
      </c>
      <c r="L55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55" s="10" t="n">
        <v>556590.076</v>
      </c>
    </row>
    <row r="56" ht="51" customHeight="1">
      <c r="A56" s="10" t="inlineStr">
        <is>
          <t>LME_035</t>
        </is>
      </c>
      <c r="B56" s="11" t="inlineStr">
        <is>
          <t>35_412_Gulf_of_Thailande_(1963)</t>
        </is>
      </c>
      <c r="C56" s="11" t="inlineStr">
        <is>
          <t>Metapenaeus</t>
        </is>
      </c>
      <c r="D56" s="10" t="inlineStr">
        <is>
          <t>Indo-Pacific prawns</t>
        </is>
      </c>
      <c r="E56" s="10" t="inlineStr">
        <is>
          <t>Shrimps</t>
        </is>
      </c>
      <c r="F56" s="10" t="inlineStr">
        <is>
          <t>Crustaceans</t>
        </is>
      </c>
      <c r="G56" s="11" t="inlineStr">
        <is>
          <t>Shrimps</t>
        </is>
      </c>
      <c r="H56" s="12" t="n">
        <v>1</v>
      </c>
      <c r="I56" s="10" t="inlineStr">
        <is>
          <t>single</t>
        </is>
      </c>
      <c r="J56" s="14" t="inlineStr">
        <is>
          <t>high</t>
        </is>
      </c>
      <c r="K56" s="10" t="inlineStr">
        <is>
          <t>taxonomic_containment</t>
        </is>
      </c>
      <c r="L56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56" s="10" t="n">
        <v>529364.969</v>
      </c>
    </row>
    <row r="57" ht="51" customHeight="1">
      <c r="A57" s="10" t="inlineStr">
        <is>
          <t>LME_035</t>
        </is>
      </c>
      <c r="B57" s="11" t="inlineStr">
        <is>
          <t>35_412_Gulf_of_Thailande_(1963)</t>
        </is>
      </c>
      <c r="C57" s="11" t="inlineStr">
        <is>
          <t>Apogonidae</t>
        </is>
      </c>
      <c r="D57" s="10" t="inlineStr">
        <is>
          <t>Cardinalfishes</t>
        </is>
      </c>
      <c r="E57" s="10" t="inlineStr">
        <is>
          <t>Small reef assoc. fish (&lt;30 cm)</t>
        </is>
      </c>
      <c r="F57" s="10" t="inlineStr">
        <is>
          <t>Perch-likes</t>
        </is>
      </c>
      <c r="G57" s="11" t="inlineStr">
        <is>
          <t>Sm.dem.benth.</t>
        </is>
      </c>
      <c r="H57" s="12" t="n">
        <v>1</v>
      </c>
      <c r="I57" s="10" t="inlineStr">
        <is>
          <t>single</t>
        </is>
      </c>
      <c r="J57" s="13" t="inlineStr">
        <is>
          <t>medium</t>
        </is>
      </c>
      <c r="K57" s="10" t="inlineStr">
        <is>
          <t>habitat_size_guild</t>
        </is>
      </c>
      <c r="L57" s="11" t="inlineStr">
        <is>
          <t>Cardinalfish are small nocturnal predators on benthic invertebrates/zooplankton near the bottom. Reviewed against the Ecobase group name and diet; the original paper p.130 lists important components but does not settle this taxon.</t>
        </is>
      </c>
      <c r="M57" s="10" t="n">
        <v>515698.56</v>
      </c>
    </row>
    <row r="58" ht="36" customHeight="1">
      <c r="A58" s="10" t="inlineStr">
        <is>
          <t>LME_035</t>
        </is>
      </c>
      <c r="B58" s="11" t="inlineStr">
        <is>
          <t>35_412_Gulf_of_Thailande_(1963)</t>
        </is>
      </c>
      <c r="C58" s="11" t="inlineStr">
        <is>
          <t>Mollusca</t>
        </is>
      </c>
      <c r="D58" s="10" t="inlineStr">
        <is>
          <t>Clams, seasnails, squids, octopuses</t>
        </is>
      </c>
      <c r="E58" s="10" t="inlineStr">
        <is>
          <t>Other demersal invertebrates</t>
        </is>
      </c>
      <c r="F58" s="10" t="inlineStr">
        <is>
          <t>Molluscs</t>
        </is>
      </c>
      <c r="G58" s="11" t="inlineStr">
        <is>
          <t>Molluscs</t>
        </is>
      </c>
      <c r="H58" s="12" t="n">
        <v>0.4125784968491961</v>
      </c>
      <c r="I58" s="10" t="inlineStr">
        <is>
          <t>catch_composition</t>
        </is>
      </c>
      <c r="J58" s="13" t="inlineStr">
        <is>
          <t>medium</t>
        </is>
      </c>
      <c r="K58" s="10" t="inlineStr">
        <is>
          <t>composite_split</t>
        </is>
      </c>
      <c r="L58" s="11" t="inlineStr">
        <is>
          <t>Phylum-level mollusc catch can include the model's benthic molluscs and separate cephalopods; it is broader than the non-cephalopod Molluscs pool.</t>
        </is>
      </c>
      <c r="M58" s="10" t="n">
        <v>493894.968</v>
      </c>
    </row>
    <row r="59" ht="36" customHeight="1">
      <c r="A59" s="10" t="inlineStr">
        <is>
          <t>LME_035</t>
        </is>
      </c>
      <c r="B59" s="11" t="inlineStr">
        <is>
          <t>35_412_Gulf_of_Thailande_(1963)</t>
        </is>
      </c>
      <c r="C59" s="11" t="inlineStr">
        <is>
          <t>Mollusca</t>
        </is>
      </c>
      <c r="D59" s="10" t="inlineStr">
        <is>
          <t>Clams, seasnails, squids, octopuses</t>
        </is>
      </c>
      <c r="E59" s="10" t="inlineStr">
        <is>
          <t>Other demersal invertebrates</t>
        </is>
      </c>
      <c r="F59" s="10" t="inlineStr">
        <is>
          <t>Molluscs</t>
        </is>
      </c>
      <c r="G59" s="11" t="inlineStr">
        <is>
          <t>Cephalopods</t>
        </is>
      </c>
      <c r="H59" s="12" t="n">
        <v>0.5874215031508039</v>
      </c>
      <c r="I59" s="10" t="inlineStr">
        <is>
          <t>catch_composition</t>
        </is>
      </c>
      <c r="J59" s="13" t="inlineStr">
        <is>
          <t>medium</t>
        </is>
      </c>
      <c r="K59" s="10" t="inlineStr">
        <is>
          <t>composite_split</t>
        </is>
      </c>
      <c r="L59" s="11" t="inlineStr">
        <is>
          <t>Phylum-level mollusc catch can include the model's benthic molluscs and separate cephalopods; it is broader than the non-cephalopod Molluscs pool.</t>
        </is>
      </c>
      <c r="M59" s="10" t="n">
        <v>493894.968</v>
      </c>
    </row>
    <row r="60" ht="51" customHeight="1">
      <c r="A60" s="10" t="inlineStr">
        <is>
          <t>LME_035</t>
        </is>
      </c>
      <c r="B60" s="11" t="inlineStr">
        <is>
          <t>35_412_Gulf_of_Thailande_(1963)</t>
        </is>
      </c>
      <c r="C60" s="11" t="inlineStr">
        <is>
          <t>Trichiurus lepturus</t>
        </is>
      </c>
      <c r="D60" s="10" t="inlineStr">
        <is>
          <t>Largehead hairtail</t>
        </is>
      </c>
      <c r="E60" s="10" t="inlineStr">
        <is>
          <t>Large benthopelagics (&gt;=90 cm)</t>
        </is>
      </c>
      <c r="F60" s="10" t="inlineStr">
        <is>
          <t>Perch-likes</t>
        </is>
      </c>
      <c r="G60" s="11" t="inlineStr">
        <is>
          <t>Juv.Lg.Pisciv.</t>
        </is>
      </c>
      <c r="H60" s="12" t="n">
        <v>0</v>
      </c>
      <c r="I60" s="10" t="inlineStr">
        <is>
          <t>model_catch</t>
        </is>
      </c>
      <c r="J60" s="13" t="inlineStr">
        <is>
          <t>medium</t>
        </is>
      </c>
      <c r="K60" s="10" t="inlineStr">
        <is>
          <t>composite_split</t>
        </is>
      </c>
      <c r="L6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0" s="10" t="n">
        <v>490184.483</v>
      </c>
    </row>
    <row r="61" ht="51" customHeight="1">
      <c r="A61" s="10" t="inlineStr">
        <is>
          <t>LME_035</t>
        </is>
      </c>
      <c r="B61" s="11" t="inlineStr">
        <is>
          <t>35_412_Gulf_of_Thailande_(1963)</t>
        </is>
      </c>
      <c r="C61" s="11" t="inlineStr">
        <is>
          <t>Trichiurus lepturus</t>
        </is>
      </c>
      <c r="D61" s="10" t="inlineStr">
        <is>
          <t>Largehead hairtail</t>
        </is>
      </c>
      <c r="E61" s="10" t="inlineStr">
        <is>
          <t>Large benthopelagics (&gt;=90 cm)</t>
        </is>
      </c>
      <c r="F61" s="10" t="inlineStr">
        <is>
          <t>Perch-likes</t>
        </is>
      </c>
      <c r="G61" s="11" t="inlineStr">
        <is>
          <t>Lg. piscivores</t>
        </is>
      </c>
      <c r="H61" s="12" t="n">
        <v>1</v>
      </c>
      <c r="I61" s="10" t="inlineStr">
        <is>
          <t>model_catch</t>
        </is>
      </c>
      <c r="J61" s="13" t="inlineStr">
        <is>
          <t>medium</t>
        </is>
      </c>
      <c r="K61" s="10" t="inlineStr">
        <is>
          <t>composite_split</t>
        </is>
      </c>
      <c r="L6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1" s="10" t="n">
        <v>490184.483</v>
      </c>
    </row>
    <row r="62" ht="51" customHeight="1">
      <c r="A62" s="10" t="inlineStr">
        <is>
          <t>LME_035</t>
        </is>
      </c>
      <c r="B62" s="11" t="inlineStr">
        <is>
          <t>35_412_Gulf_of_Thailande_(1963)</t>
        </is>
      </c>
      <c r="C62" s="11" t="inlineStr">
        <is>
          <t>Euthynnus affinis</t>
        </is>
      </c>
      <c r="D62" s="10" t="inlineStr">
        <is>
          <t>Kawakawa</t>
        </is>
      </c>
      <c r="E62" s="10" t="inlineStr">
        <is>
          <t>Large pelagics (&gt;=90 cm)</t>
        </is>
      </c>
      <c r="F62" s="10" t="inlineStr">
        <is>
          <t>Tuna &amp; billfishes</t>
        </is>
      </c>
      <c r="G62" s="11" t="inlineStr">
        <is>
          <t>Tuna</t>
        </is>
      </c>
      <c r="H62" s="12" t="n">
        <v>1</v>
      </c>
      <c r="I62" s="10" t="inlineStr">
        <is>
          <t>single</t>
        </is>
      </c>
      <c r="J62" s="14" t="inlineStr">
        <is>
          <t>high</t>
        </is>
      </c>
      <c r="K62" s="10" t="inlineStr">
        <is>
          <t>explicit_member</t>
        </is>
      </c>
      <c r="L6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2" s="10" t="n">
        <v>469544.125</v>
      </c>
    </row>
    <row r="63" ht="51" customHeight="1">
      <c r="A63" s="10" t="inlineStr">
        <is>
          <t>LME_035</t>
        </is>
      </c>
      <c r="B63" s="11" t="inlineStr">
        <is>
          <t>35_412_Gulf_of_Thailande_(1963)</t>
        </is>
      </c>
      <c r="C63" s="11" t="inlineStr">
        <is>
          <t>Mullidae</t>
        </is>
      </c>
      <c r="D63" s="10" t="inlineStr">
        <is>
          <t>Goatfishes</t>
        </is>
      </c>
      <c r="E63" s="10" t="inlineStr">
        <is>
          <t>Medium reef assoc. fish (30 - 89 cm)</t>
        </is>
      </c>
      <c r="F63" s="10" t="inlineStr">
        <is>
          <t>Perch-likes</t>
        </is>
      </c>
      <c r="G63" s="11" t="inlineStr">
        <is>
          <t>Med.dem.benth.</t>
        </is>
      </c>
      <c r="H63" s="12" t="n">
        <v>1</v>
      </c>
      <c r="I63" s="10" t="inlineStr">
        <is>
          <t>single</t>
        </is>
      </c>
      <c r="J63" s="14" t="inlineStr">
        <is>
          <t>high</t>
        </is>
      </c>
      <c r="K63" s="10" t="inlineStr">
        <is>
          <t>taxonomic_containment</t>
        </is>
      </c>
      <c r="L6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3" s="10" t="n">
        <v>440058.242</v>
      </c>
    </row>
    <row r="64" ht="51" customHeight="1">
      <c r="A64" s="10" t="inlineStr">
        <is>
          <t>LME_035</t>
        </is>
      </c>
      <c r="B64" s="11" t="inlineStr">
        <is>
          <t>35_412_Gulf_of_Thailande_(1963)</t>
        </is>
      </c>
      <c r="C64" s="11" t="inlineStr">
        <is>
          <t>Batoidea</t>
        </is>
      </c>
      <c r="D64" s="10" t="inlineStr">
        <is>
          <t>Batoids, skates, rays, sawfishes</t>
        </is>
      </c>
      <c r="E64" s="10" t="inlineStr">
        <is>
          <t>Large rays (&gt;=90 cm)</t>
        </is>
      </c>
      <c r="F64" s="10" t="inlineStr">
        <is>
          <t>Sharks &amp; rays</t>
        </is>
      </c>
      <c r="G64" s="11" t="inlineStr">
        <is>
          <t>Rays</t>
        </is>
      </c>
      <c r="H64" s="12" t="n">
        <v>1</v>
      </c>
      <c r="I64" s="10" t="inlineStr">
        <is>
          <t>single</t>
        </is>
      </c>
      <c r="J64" s="14" t="inlineStr">
        <is>
          <t>high</t>
        </is>
      </c>
      <c r="K64" s="10" t="inlineStr">
        <is>
          <t>taxonomic_containment</t>
        </is>
      </c>
      <c r="L64" s="11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  <c r="M64" s="10" t="n">
        <v>438942.924</v>
      </c>
    </row>
    <row r="65" ht="51" customHeight="1">
      <c r="A65" s="10" t="inlineStr">
        <is>
          <t>LME_035</t>
        </is>
      </c>
      <c r="B65" s="11" t="inlineStr">
        <is>
          <t>35_412_Gulf_of_Thailande_(1963)</t>
        </is>
      </c>
      <c r="C65" s="11" t="inlineStr">
        <is>
          <t>Sphyraena</t>
        </is>
      </c>
      <c r="D65" s="10" t="inlineStr">
        <is>
          <t>Barracudas, sennets</t>
        </is>
      </c>
      <c r="E65" s="10" t="inlineStr">
        <is>
          <t>Large pelagics (&gt;=90 cm)</t>
        </is>
      </c>
      <c r="F65" s="10" t="inlineStr">
        <is>
          <t>Perch-likes</t>
        </is>
      </c>
      <c r="G65" s="11" t="inlineStr">
        <is>
          <t>Juv.Lg.Pisciv.</t>
        </is>
      </c>
      <c r="H65" s="12" t="n">
        <v>0</v>
      </c>
      <c r="I65" s="10" t="inlineStr">
        <is>
          <t>model_catch</t>
        </is>
      </c>
      <c r="J65" s="13" t="inlineStr">
        <is>
          <t>medium</t>
        </is>
      </c>
      <c r="K65" s="10" t="inlineStr">
        <is>
          <t>composite_split</t>
        </is>
      </c>
      <c r="L6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5" s="10" t="n">
        <v>436421.463</v>
      </c>
    </row>
    <row r="66" ht="51" customHeight="1">
      <c r="A66" s="10" t="inlineStr">
        <is>
          <t>LME_035</t>
        </is>
      </c>
      <c r="B66" s="11" t="inlineStr">
        <is>
          <t>35_412_Gulf_of_Thailande_(1963)</t>
        </is>
      </c>
      <c r="C66" s="11" t="inlineStr">
        <is>
          <t>Sphyraena</t>
        </is>
      </c>
      <c r="D66" s="10" t="inlineStr">
        <is>
          <t>Barracudas, sennets</t>
        </is>
      </c>
      <c r="E66" s="10" t="inlineStr">
        <is>
          <t>Large pelagics (&gt;=90 cm)</t>
        </is>
      </c>
      <c r="F66" s="10" t="inlineStr">
        <is>
          <t>Perch-likes</t>
        </is>
      </c>
      <c r="G66" s="11" t="inlineStr">
        <is>
          <t>Lg. piscivores</t>
        </is>
      </c>
      <c r="H66" s="12" t="n">
        <v>1</v>
      </c>
      <c r="I66" s="10" t="inlineStr">
        <is>
          <t>model_catch</t>
        </is>
      </c>
      <c r="J66" s="13" t="inlineStr">
        <is>
          <t>medium</t>
        </is>
      </c>
      <c r="K66" s="10" t="inlineStr">
        <is>
          <t>composite_split</t>
        </is>
      </c>
      <c r="L6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6" s="10" t="n">
        <v>436421.463</v>
      </c>
    </row>
    <row r="67" ht="66" customHeight="1">
      <c r="A67" s="10" t="inlineStr">
        <is>
          <t>LME_035</t>
        </is>
      </c>
      <c r="B67" s="11" t="inlineStr">
        <is>
          <t>35_412_Gulf_of_Thailande_(1963)</t>
        </is>
      </c>
      <c r="C67" s="11" t="inlineStr">
        <is>
          <t>Modiolus</t>
        </is>
      </c>
      <c r="D67" s="10" t="inlineStr">
        <is>
          <t>Horse mussels</t>
        </is>
      </c>
      <c r="E67" s="10" t="inlineStr">
        <is>
          <t>Other demersal invertebrates</t>
        </is>
      </c>
      <c r="F67" s="10" t="inlineStr">
        <is>
          <t>Molluscs</t>
        </is>
      </c>
      <c r="G67" s="11" t="inlineStr">
        <is>
          <t>Molluscs</t>
        </is>
      </c>
      <c r="H67" s="12" t="n">
        <v>1</v>
      </c>
      <c r="I67" s="10" t="inlineStr">
        <is>
          <t>single</t>
        </is>
      </c>
      <c r="J67" s="14" t="inlineStr">
        <is>
          <t>high</t>
        </is>
      </c>
      <c r="K67" s="10" t="inlineStr">
        <is>
          <t>taxonomic_containment</t>
        </is>
      </c>
      <c r="L67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67" s="10" t="n">
        <v>423639.282</v>
      </c>
    </row>
    <row r="68" ht="51" customHeight="1">
      <c r="A68" s="10" t="inlineStr">
        <is>
          <t>LME_035</t>
        </is>
      </c>
      <c r="B68" s="11" t="inlineStr">
        <is>
          <t>35_412_Gulf_of_Thailande_(1963)</t>
        </is>
      </c>
      <c r="C68" s="11" t="inlineStr">
        <is>
          <t>Scombroidei</t>
        </is>
      </c>
      <c r="D68" s="10" t="inlineStr">
        <is>
          <t>Tunas, bonitos, billfishes</t>
        </is>
      </c>
      <c r="E68" s="10" t="inlineStr">
        <is>
          <t>Large pelagics (&gt;=90 cm)</t>
        </is>
      </c>
      <c r="F68" s="10" t="inlineStr">
        <is>
          <t>Tuna &amp; billfishes</t>
        </is>
      </c>
      <c r="G68" s="11" t="inlineStr">
        <is>
          <t>Juv.Lg.Pisciv.</t>
        </is>
      </c>
      <c r="H68" s="12" t="n">
        <v>0</v>
      </c>
      <c r="I68" s="10" t="inlineStr">
        <is>
          <t>model_catch</t>
        </is>
      </c>
      <c r="J68" s="13" t="inlineStr">
        <is>
          <t>medium</t>
        </is>
      </c>
      <c r="K68" s="10" t="inlineStr">
        <is>
          <t>composite_split</t>
        </is>
      </c>
      <c r="L6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8" s="10" t="n">
        <v>357625.778</v>
      </c>
    </row>
    <row r="69" ht="51" customHeight="1">
      <c r="A69" s="10" t="inlineStr">
        <is>
          <t>LME_035</t>
        </is>
      </c>
      <c r="B69" s="11" t="inlineStr">
        <is>
          <t>35_412_Gulf_of_Thailande_(1963)</t>
        </is>
      </c>
      <c r="C69" s="11" t="inlineStr">
        <is>
          <t>Scombroidei</t>
        </is>
      </c>
      <c r="D69" s="10" t="inlineStr">
        <is>
          <t>Tunas, bonitos, billfishes</t>
        </is>
      </c>
      <c r="E69" s="10" t="inlineStr">
        <is>
          <t>Large pelagics (&gt;=90 cm)</t>
        </is>
      </c>
      <c r="F69" s="10" t="inlineStr">
        <is>
          <t>Tuna &amp; billfishes</t>
        </is>
      </c>
      <c r="G69" s="11" t="inlineStr">
        <is>
          <t>Lg. piscivores</t>
        </is>
      </c>
      <c r="H69" s="12" t="n">
        <v>0.1682600382409178</v>
      </c>
      <c r="I69" s="10" t="inlineStr">
        <is>
          <t>model_catch</t>
        </is>
      </c>
      <c r="J69" s="13" t="inlineStr">
        <is>
          <t>medium</t>
        </is>
      </c>
      <c r="K69" s="10" t="inlineStr">
        <is>
          <t>composite_split</t>
        </is>
      </c>
      <c r="L6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9" s="10" t="n">
        <v>357625.778</v>
      </c>
    </row>
    <row r="70" ht="51" customHeight="1">
      <c r="A70" s="10" t="inlineStr">
        <is>
          <t>LME_035</t>
        </is>
      </c>
      <c r="B70" s="11" t="inlineStr">
        <is>
          <t>35_412_Gulf_of_Thailande_(1963)</t>
        </is>
      </c>
      <c r="C70" s="11" t="inlineStr">
        <is>
          <t>Scombroidei</t>
        </is>
      </c>
      <c r="D70" s="10" t="inlineStr">
        <is>
          <t>Tunas, bonitos, billfishes</t>
        </is>
      </c>
      <c r="E70" s="10" t="inlineStr">
        <is>
          <t>Large pelagics (&gt;=90 cm)</t>
        </is>
      </c>
      <c r="F70" s="10" t="inlineStr">
        <is>
          <t>Tuna &amp; billfishes</t>
        </is>
      </c>
      <c r="G70" s="11" t="inlineStr">
        <is>
          <t>Mackerel</t>
        </is>
      </c>
      <c r="H70" s="12" t="n">
        <v>0.5946462715105162</v>
      </c>
      <c r="I70" s="10" t="inlineStr">
        <is>
          <t>model_catch</t>
        </is>
      </c>
      <c r="J70" s="13" t="inlineStr">
        <is>
          <t>medium</t>
        </is>
      </c>
      <c r="K70" s="10" t="inlineStr">
        <is>
          <t>composite_split</t>
        </is>
      </c>
      <c r="L7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0" s="10" t="n">
        <v>357625.778</v>
      </c>
    </row>
    <row r="71" ht="51" customHeight="1">
      <c r="A71" s="10" t="inlineStr">
        <is>
          <t>LME_035</t>
        </is>
      </c>
      <c r="B71" s="11" t="inlineStr">
        <is>
          <t>35_412_Gulf_of_Thailande_(1963)</t>
        </is>
      </c>
      <c r="C71" s="11" t="inlineStr">
        <is>
          <t>Scombroidei</t>
        </is>
      </c>
      <c r="D71" s="10" t="inlineStr">
        <is>
          <t>Tunas, bonitos, billfishes</t>
        </is>
      </c>
      <c r="E71" s="10" t="inlineStr">
        <is>
          <t>Large pelagics (&gt;=90 cm)</t>
        </is>
      </c>
      <c r="F71" s="10" t="inlineStr">
        <is>
          <t>Tuna &amp; billfishes</t>
        </is>
      </c>
      <c r="G71" s="11" t="inlineStr">
        <is>
          <t>Scomberomorus</t>
        </is>
      </c>
      <c r="H71" s="12" t="n">
        <v>0.121414913957935</v>
      </c>
      <c r="I71" s="10" t="inlineStr">
        <is>
          <t>model_catch</t>
        </is>
      </c>
      <c r="J71" s="13" t="inlineStr">
        <is>
          <t>medium</t>
        </is>
      </c>
      <c r="K71" s="10" t="inlineStr">
        <is>
          <t>composite_split</t>
        </is>
      </c>
      <c r="L7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1" s="10" t="n">
        <v>357625.778</v>
      </c>
    </row>
    <row r="72" ht="51" customHeight="1">
      <c r="A72" s="10" t="inlineStr">
        <is>
          <t>LME_035</t>
        </is>
      </c>
      <c r="B72" s="11" t="inlineStr">
        <is>
          <t>35_412_Gulf_of_Thailande_(1963)</t>
        </is>
      </c>
      <c r="C72" s="11" t="inlineStr">
        <is>
          <t>Scombroidei</t>
        </is>
      </c>
      <c r="D72" s="10" t="inlineStr">
        <is>
          <t>Tunas, bonitos, billfishes</t>
        </is>
      </c>
      <c r="E72" s="10" t="inlineStr">
        <is>
          <t>Large pelagics (&gt;=90 cm)</t>
        </is>
      </c>
      <c r="F72" s="10" t="inlineStr">
        <is>
          <t>Tuna &amp; billfishes</t>
        </is>
      </c>
      <c r="G72" s="11" t="inlineStr">
        <is>
          <t>Tuna</t>
        </is>
      </c>
      <c r="H72" s="12" t="n">
        <v>0.115678776290631</v>
      </c>
      <c r="I72" s="10" t="inlineStr">
        <is>
          <t>model_catch</t>
        </is>
      </c>
      <c r="J72" s="13" t="inlineStr">
        <is>
          <t>medium</t>
        </is>
      </c>
      <c r="K72" s="10" t="inlineStr">
        <is>
          <t>composite_split</t>
        </is>
      </c>
      <c r="L7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2" s="10" t="n">
        <v>357625.778</v>
      </c>
    </row>
    <row r="73" ht="51" customHeight="1">
      <c r="A73" s="10" t="inlineStr">
        <is>
          <t>LME_035</t>
        </is>
      </c>
      <c r="B73" s="11" t="inlineStr">
        <is>
          <t>35_412_Gulf_of_Thailande_(1963)</t>
        </is>
      </c>
      <c r="C73" s="11" t="inlineStr">
        <is>
          <t>Lutjanidae</t>
        </is>
      </c>
      <c r="D73" s="10" t="inlineStr">
        <is>
          <t>Snappers</t>
        </is>
      </c>
      <c r="E73" s="10" t="inlineStr">
        <is>
          <t>Medium reef assoc. fish (30 - 89 cm)</t>
        </is>
      </c>
      <c r="F73" s="10" t="inlineStr">
        <is>
          <t>Perch-likes</t>
        </is>
      </c>
      <c r="G73" s="11" t="inlineStr">
        <is>
          <t>Grouper/snapper</t>
        </is>
      </c>
      <c r="H73" s="12" t="n">
        <v>1</v>
      </c>
      <c r="I73" s="10" t="inlineStr">
        <is>
          <t>model_catch</t>
        </is>
      </c>
      <c r="J73" s="13" t="inlineStr">
        <is>
          <t>medium</t>
        </is>
      </c>
      <c r="K73" s="10" t="inlineStr">
        <is>
          <t>composite_split</t>
        </is>
      </c>
      <c r="L7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3" s="10" t="n">
        <v>342076.305</v>
      </c>
    </row>
    <row r="74" ht="51" customHeight="1">
      <c r="A74" s="10" t="inlineStr">
        <is>
          <t>LME_035</t>
        </is>
      </c>
      <c r="B74" s="11" t="inlineStr">
        <is>
          <t>35_412_Gulf_of_Thailande_(1963)</t>
        </is>
      </c>
      <c r="C74" s="11" t="inlineStr">
        <is>
          <t>Lutjanidae</t>
        </is>
      </c>
      <c r="D74" s="10" t="inlineStr">
        <is>
          <t>Snappers</t>
        </is>
      </c>
      <c r="E74" s="10" t="inlineStr">
        <is>
          <t>Medium reef assoc. fish (30 - 89 cm)</t>
        </is>
      </c>
      <c r="F74" s="10" t="inlineStr">
        <is>
          <t>Perch-likes</t>
        </is>
      </c>
      <c r="G74" s="11" t="inlineStr">
        <is>
          <t>Juv. groupers</t>
        </is>
      </c>
      <c r="H74" s="12" t="n">
        <v>0</v>
      </c>
      <c r="I74" s="10" t="inlineStr">
        <is>
          <t>model_catch</t>
        </is>
      </c>
      <c r="J74" s="13" t="inlineStr">
        <is>
          <t>medium</t>
        </is>
      </c>
      <c r="K74" s="10" t="inlineStr">
        <is>
          <t>composite_split</t>
        </is>
      </c>
      <c r="L7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4" s="10" t="n">
        <v>342076.305</v>
      </c>
    </row>
    <row r="75" ht="51" customHeight="1">
      <c r="A75" s="10" t="inlineStr">
        <is>
          <t>LME_035</t>
        </is>
      </c>
      <c r="B75" s="11" t="inlineStr">
        <is>
          <t>35_412_Gulf_of_Thailande_(1963)</t>
        </is>
      </c>
      <c r="C75" s="11" t="inlineStr">
        <is>
          <t>Saurida tumbil</t>
        </is>
      </c>
      <c r="D75" s="10" t="inlineStr">
        <is>
          <t>Greater lizardfish</t>
        </is>
      </c>
      <c r="E75" s="10" t="inlineStr">
        <is>
          <t>Medium demersals (30 - 89 cm)</t>
        </is>
      </c>
      <c r="F75" s="10" t="inlineStr">
        <is>
          <t>Other fishes &amp; inverts</t>
        </is>
      </c>
      <c r="G75" s="11" t="inlineStr">
        <is>
          <t>Med.dem.pisc.</t>
        </is>
      </c>
      <c r="H75" s="12" t="n">
        <v>1</v>
      </c>
      <c r="I75" s="10" t="inlineStr">
        <is>
          <t>single</t>
        </is>
      </c>
      <c r="J75" s="14" t="inlineStr">
        <is>
          <t>high</t>
        </is>
      </c>
      <c r="K75" s="10" t="inlineStr">
        <is>
          <t>taxonomic_containment</t>
        </is>
      </c>
      <c r="L7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5" s="10" t="n">
        <v>340722.781</v>
      </c>
    </row>
    <row r="76" ht="51" customHeight="1">
      <c r="A76" s="10" t="inlineStr">
        <is>
          <t>LME_035</t>
        </is>
      </c>
      <c r="B76" s="11" t="inlineStr">
        <is>
          <t>35_412_Gulf_of_Thailande_(1963)</t>
        </is>
      </c>
      <c r="C76" s="11" t="inlineStr">
        <is>
          <t>Scolopsis</t>
        </is>
      </c>
      <c r="D76" s="10" t="inlineStr">
        <is>
          <t>Monocle breams</t>
        </is>
      </c>
      <c r="E76" s="10" t="inlineStr">
        <is>
          <t>Small reef assoc. fish (&lt;30 cm)</t>
        </is>
      </c>
      <c r="F76" s="10" t="inlineStr">
        <is>
          <t>Perch-likes</t>
        </is>
      </c>
      <c r="G76" s="11" t="inlineStr">
        <is>
          <t>Med.dem.benth.</t>
        </is>
      </c>
      <c r="H76" s="12" t="n">
        <v>1</v>
      </c>
      <c r="I76" s="10" t="inlineStr">
        <is>
          <t>single</t>
        </is>
      </c>
      <c r="J76" s="14" t="inlineStr">
        <is>
          <t>high</t>
        </is>
      </c>
      <c r="K76" s="10" t="inlineStr">
        <is>
          <t>explicit_member</t>
        </is>
      </c>
      <c r="L7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6" s="10" t="n">
        <v>330520.037</v>
      </c>
    </row>
    <row r="77" ht="51" customHeight="1">
      <c r="A77" s="10" t="inlineStr">
        <is>
          <t>LME_035</t>
        </is>
      </c>
      <c r="B77" s="11" t="inlineStr">
        <is>
          <t>35_412_Gulf_of_Thailande_(1963)</t>
        </is>
      </c>
      <c r="C77" s="11" t="inlineStr">
        <is>
          <t>Sepia</t>
        </is>
      </c>
      <c r="D77" s="10" t="inlineStr">
        <is>
          <t>Sepia cuttlefishes</t>
        </is>
      </c>
      <c r="E77" s="10" t="inlineStr">
        <is>
          <t>Cephalopods</t>
        </is>
      </c>
      <c r="F77" s="10" t="inlineStr">
        <is>
          <t>Other fishes &amp; inverts</t>
        </is>
      </c>
      <c r="G77" s="11" t="inlineStr">
        <is>
          <t>Cephalopods</t>
        </is>
      </c>
      <c r="H77" s="12" t="n">
        <v>1</v>
      </c>
      <c r="I77" s="10" t="inlineStr">
        <is>
          <t>single</t>
        </is>
      </c>
      <c r="J77" s="14" t="inlineStr">
        <is>
          <t>high</t>
        </is>
      </c>
      <c r="K77" s="10" t="inlineStr">
        <is>
          <t>taxonomic_containment</t>
        </is>
      </c>
      <c r="L77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77" s="10" t="n">
        <v>314474.61</v>
      </c>
    </row>
    <row r="78" ht="51" customHeight="1">
      <c r="A78" s="10" t="inlineStr">
        <is>
          <t>LME_035</t>
        </is>
      </c>
      <c r="B78" s="11" t="inlineStr">
        <is>
          <t>35_412_Gulf_of_Thailande_(1963)</t>
        </is>
      </c>
      <c r="C78" s="11" t="inlineStr">
        <is>
          <t>Portunus</t>
        </is>
      </c>
      <c r="D78" s="10" t="inlineStr">
        <is>
          <t>Swimmer crabs</t>
        </is>
      </c>
      <c r="E78" s="10" t="inlineStr">
        <is>
          <t>Lobsters, crabs</t>
        </is>
      </c>
      <c r="F78" s="10" t="inlineStr">
        <is>
          <t>Crustaceans</t>
        </is>
      </c>
      <c r="G78" s="11" t="inlineStr">
        <is>
          <t>Crab, lobster</t>
        </is>
      </c>
      <c r="H78" s="12" t="n">
        <v>1</v>
      </c>
      <c r="I78" s="10" t="inlineStr">
        <is>
          <t>single</t>
        </is>
      </c>
      <c r="J78" s="14" t="inlineStr">
        <is>
          <t>high</t>
        </is>
      </c>
      <c r="K78" s="10" t="inlineStr">
        <is>
          <t>taxonomic_containment</t>
        </is>
      </c>
      <c r="L78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78" s="10" t="n">
        <v>305193.205</v>
      </c>
    </row>
    <row r="79" ht="51" customHeight="1">
      <c r="A79" s="10" t="inlineStr">
        <is>
          <t>LME_035</t>
        </is>
      </c>
      <c r="B79" s="11" t="inlineStr">
        <is>
          <t>35_412_Gulf_of_Thailande_(1963)</t>
        </is>
      </c>
      <c r="C79" s="11" t="inlineStr">
        <is>
          <t>Parastromateus niger</t>
        </is>
      </c>
      <c r="D79" s="10" t="inlineStr">
        <is>
          <t>Black pomfret</t>
        </is>
      </c>
      <c r="E79" s="10" t="inlineStr">
        <is>
          <t>Medium benthopelagics (30 - 89 cm)</t>
        </is>
      </c>
      <c r="F79" s="10" t="inlineStr">
        <is>
          <t>Perch-likes</t>
        </is>
      </c>
      <c r="G79" s="11" t="inlineStr">
        <is>
          <t>Med.dem.benth.</t>
        </is>
      </c>
      <c r="H79" s="12" t="n">
        <v>1</v>
      </c>
      <c r="I79" s="10" t="inlineStr">
        <is>
          <t>single</t>
        </is>
      </c>
      <c r="J79" s="13" t="inlineStr">
        <is>
          <t>medium</t>
        </is>
      </c>
      <c r="K79" s="10" t="inlineStr">
        <is>
          <t>habitat_size_guild</t>
        </is>
      </c>
      <c r="L79" s="11" t="inlineStr">
        <is>
          <t>Black pomfret; schooling benthopelagic feeder mapped to the closest generic compartment absent a dedicated pomfret group. Reviewed against the Ecobase group name and diet; the original paper p.130 lists important components but does not settle this taxon.</t>
        </is>
      </c>
      <c r="M79" s="10" t="n">
        <v>267982.463</v>
      </c>
    </row>
    <row r="80" ht="51" customHeight="1">
      <c r="A80" s="10" t="inlineStr">
        <is>
          <t>LME_035</t>
        </is>
      </c>
      <c r="B80" s="11" t="inlineStr">
        <is>
          <t>35_412_Gulf_of_Thailande_(1963)</t>
        </is>
      </c>
      <c r="C80" s="11" t="inlineStr">
        <is>
          <t>Himantura</t>
        </is>
      </c>
      <c r="D80" s="10" t="inlineStr">
        <is>
          <t>Whiprays</t>
        </is>
      </c>
      <c r="E80" s="10" t="inlineStr">
        <is>
          <t>Large rays (&gt;=90 cm)</t>
        </is>
      </c>
      <c r="F80" s="10" t="inlineStr">
        <is>
          <t>Sharks &amp; rays</t>
        </is>
      </c>
      <c r="G80" s="11" t="inlineStr">
        <is>
          <t>Rays</t>
        </is>
      </c>
      <c r="H80" s="12" t="n">
        <v>1</v>
      </c>
      <c r="I80" s="10" t="inlineStr">
        <is>
          <t>single</t>
        </is>
      </c>
      <c r="J80" s="14" t="inlineStr">
        <is>
          <t>high</t>
        </is>
      </c>
      <c r="K80" s="10" t="inlineStr">
        <is>
          <t>taxonomic_containment</t>
        </is>
      </c>
      <c r="L80" s="11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  <c r="M80" s="10" t="n">
        <v>262477.381</v>
      </c>
    </row>
    <row r="81" ht="51" customHeight="1">
      <c r="A81" s="10" t="inlineStr">
        <is>
          <t>LME_035</t>
        </is>
      </c>
      <c r="B81" s="11" t="inlineStr">
        <is>
          <t>35_412_Gulf_of_Thailande_(1963)</t>
        </is>
      </c>
      <c r="C81" s="11" t="inlineStr">
        <is>
          <t>Acetes</t>
        </is>
      </c>
      <c r="D81" s="10" t="inlineStr">
        <is>
          <t>Acetes shrimps</t>
        </is>
      </c>
      <c r="E81" s="10" t="inlineStr">
        <is>
          <t>Shrimps</t>
        </is>
      </c>
      <c r="F81" s="10" t="inlineStr">
        <is>
          <t>Crustaceans</t>
        </is>
      </c>
      <c r="G81" s="11" t="inlineStr">
        <is>
          <t>Shrimps</t>
        </is>
      </c>
      <c r="H81" s="12" t="n">
        <v>1</v>
      </c>
      <c r="I81" s="10" t="inlineStr">
        <is>
          <t>single</t>
        </is>
      </c>
      <c r="J81" s="14" t="inlineStr">
        <is>
          <t>high</t>
        </is>
      </c>
      <c r="K81" s="10" t="inlineStr">
        <is>
          <t>taxonomic_containment</t>
        </is>
      </c>
      <c r="L81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81" s="10" t="n">
        <v>255917.851</v>
      </c>
    </row>
    <row r="82" ht="51" customHeight="1">
      <c r="A82" s="10" t="inlineStr">
        <is>
          <t>LME_035</t>
        </is>
      </c>
      <c r="B82" s="11" t="inlineStr">
        <is>
          <t>35_412_Gulf_of_Thailande_(1963)</t>
        </is>
      </c>
      <c r="C82" s="11" t="inlineStr">
        <is>
          <t>Pennahia</t>
        </is>
      </c>
      <c r="D82" s="10" t="inlineStr">
        <is>
          <t>Pennah croakers</t>
        </is>
      </c>
      <c r="E82" s="10" t="inlineStr">
        <is>
          <t>Medium benthopelagics (30 - 89 cm)</t>
        </is>
      </c>
      <c r="F82" s="10" t="inlineStr">
        <is>
          <t>Perch-likes</t>
        </is>
      </c>
      <c r="G82" s="11" t="inlineStr">
        <is>
          <t>Med.dem.pisc.</t>
        </is>
      </c>
      <c r="H82" s="12" t="n">
        <v>1</v>
      </c>
      <c r="I82" s="10" t="inlineStr">
        <is>
          <t>single</t>
        </is>
      </c>
      <c r="J82" s="14" t="inlineStr">
        <is>
          <t>high</t>
        </is>
      </c>
      <c r="K82" s="10" t="inlineStr">
        <is>
          <t>taxonomic_containment</t>
        </is>
      </c>
      <c r="L8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2" s="10" t="n">
        <v>238181.741</v>
      </c>
    </row>
    <row r="83" ht="51" customHeight="1">
      <c r="A83" s="10" t="inlineStr">
        <is>
          <t>LME_035</t>
        </is>
      </c>
      <c r="B83" s="11" t="inlineStr">
        <is>
          <t>35_412_Gulf_of_Thailande_(1963)</t>
        </is>
      </c>
      <c r="C83" s="11" t="inlineStr">
        <is>
          <t>Metapenaeus tenuipes</t>
        </is>
      </c>
      <c r="D83" s="10" t="inlineStr">
        <is>
          <t>Stork shrimp</t>
        </is>
      </c>
      <c r="E83" s="10" t="inlineStr">
        <is>
          <t>Shrimps</t>
        </is>
      </c>
      <c r="F83" s="10" t="inlineStr">
        <is>
          <t>Crustaceans</t>
        </is>
      </c>
      <c r="G83" s="11" t="inlineStr">
        <is>
          <t>Shrimps</t>
        </is>
      </c>
      <c r="H83" s="12" t="n">
        <v>1</v>
      </c>
      <c r="I83" s="10" t="inlineStr">
        <is>
          <t>single</t>
        </is>
      </c>
      <c r="J83" s="14" t="inlineStr">
        <is>
          <t>high</t>
        </is>
      </c>
      <c r="K83" s="10" t="inlineStr">
        <is>
          <t>taxonomic_containment</t>
        </is>
      </c>
      <c r="L83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83" s="10" t="n">
        <v>236152.955</v>
      </c>
    </row>
    <row r="84" ht="51" customHeight="1">
      <c r="A84" s="10" t="inlineStr">
        <is>
          <t>LME_035</t>
        </is>
      </c>
      <c r="B84" s="11" t="inlineStr">
        <is>
          <t>35_412_Gulf_of_Thailande_(1963)</t>
        </is>
      </c>
      <c r="C84" s="11" t="inlineStr">
        <is>
          <t>Metapenaeus affinis</t>
        </is>
      </c>
      <c r="D84" s="10" t="inlineStr">
        <is>
          <t>Jinga shrimp</t>
        </is>
      </c>
      <c r="E84" s="10" t="inlineStr">
        <is>
          <t>Shrimps</t>
        </is>
      </c>
      <c r="F84" s="10" t="inlineStr">
        <is>
          <t>Crustaceans</t>
        </is>
      </c>
      <c r="G84" s="11" t="inlineStr">
        <is>
          <t>Shrimps</t>
        </is>
      </c>
      <c r="H84" s="12" t="n">
        <v>1</v>
      </c>
      <c r="I84" s="10" t="inlineStr">
        <is>
          <t>single</t>
        </is>
      </c>
      <c r="J84" s="14" t="inlineStr">
        <is>
          <t>high</t>
        </is>
      </c>
      <c r="K84" s="10" t="inlineStr">
        <is>
          <t>taxonomic_containment</t>
        </is>
      </c>
      <c r="L84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84" s="10" t="n">
        <v>233563.065</v>
      </c>
    </row>
    <row r="85" ht="66" customHeight="1">
      <c r="A85" s="10" t="inlineStr">
        <is>
          <t>LME_035</t>
        </is>
      </c>
      <c r="B85" s="11" t="inlineStr">
        <is>
          <t>35_412_Gulf_of_Thailande_(1963)</t>
        </is>
      </c>
      <c r="C85" s="11" t="inlineStr">
        <is>
          <t>Atule mate</t>
        </is>
      </c>
      <c r="D85" s="10" t="inlineStr">
        <is>
          <t>Yellowtail scad</t>
        </is>
      </c>
      <c r="E85" s="10" t="inlineStr">
        <is>
          <t>Small pelagics (&lt;30 cm)</t>
        </is>
      </c>
      <c r="F85" s="10" t="inlineStr">
        <is>
          <t>Perch-likes</t>
        </is>
      </c>
      <c r="G85" s="11" t="inlineStr">
        <is>
          <t>Scad</t>
        </is>
      </c>
      <c r="H85" s="12" t="n">
        <v>1</v>
      </c>
      <c r="I85" s="10" t="inlineStr">
        <is>
          <t>single</t>
        </is>
      </c>
      <c r="J85" s="13" t="inlineStr">
        <is>
          <t>medium</t>
        </is>
      </c>
      <c r="K85" s="10" t="inlineStr">
        <is>
          <t>habitat_size_guild</t>
        </is>
      </c>
      <c r="L85" s="11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85" s="10" t="n">
        <v>230384.337</v>
      </c>
    </row>
    <row r="86" ht="51" customHeight="1">
      <c r="A86" s="10" t="inlineStr">
        <is>
          <t>LME_035</t>
        </is>
      </c>
      <c r="B86" s="11" t="inlineStr">
        <is>
          <t>35_412_Gulf_of_Thailande_(1963)</t>
        </is>
      </c>
      <c r="C86" s="11" t="inlineStr">
        <is>
          <t>Chirocentrus dorab</t>
        </is>
      </c>
      <c r="D86" s="10" t="inlineStr">
        <is>
          <t>Dorab wolf-herring</t>
        </is>
      </c>
      <c r="E86" s="10" t="inlineStr">
        <is>
          <t>Large benthopelagics (&gt;=90 cm)</t>
        </is>
      </c>
      <c r="F86" s="10" t="inlineStr">
        <is>
          <t>Herring-likes</t>
        </is>
      </c>
      <c r="G86" s="11" t="inlineStr">
        <is>
          <t>Juv.Lg.Pisciv.</t>
        </is>
      </c>
      <c r="H86" s="12" t="n">
        <v>0</v>
      </c>
      <c r="I86" s="10" t="inlineStr">
        <is>
          <t>model_catch</t>
        </is>
      </c>
      <c r="J86" s="13" t="inlineStr">
        <is>
          <t>medium</t>
        </is>
      </c>
      <c r="K86" s="10" t="inlineStr">
        <is>
          <t>composite_split</t>
        </is>
      </c>
      <c r="L8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6" s="10" t="n">
        <v>210170.012</v>
      </c>
    </row>
    <row r="87" ht="51" customHeight="1">
      <c r="A87" s="10" t="inlineStr">
        <is>
          <t>LME_035</t>
        </is>
      </c>
      <c r="B87" s="11" t="inlineStr">
        <is>
          <t>35_412_Gulf_of_Thailande_(1963)</t>
        </is>
      </c>
      <c r="C87" s="11" t="inlineStr">
        <is>
          <t>Chirocentrus dorab</t>
        </is>
      </c>
      <c r="D87" s="10" t="inlineStr">
        <is>
          <t>Dorab wolf-herring</t>
        </is>
      </c>
      <c r="E87" s="10" t="inlineStr">
        <is>
          <t>Large benthopelagics (&gt;=90 cm)</t>
        </is>
      </c>
      <c r="F87" s="10" t="inlineStr">
        <is>
          <t>Herring-likes</t>
        </is>
      </c>
      <c r="G87" s="11" t="inlineStr">
        <is>
          <t>Lg. piscivores</t>
        </is>
      </c>
      <c r="H87" s="12" t="n">
        <v>1</v>
      </c>
      <c r="I87" s="10" t="inlineStr">
        <is>
          <t>model_catch</t>
        </is>
      </c>
      <c r="J87" s="13" t="inlineStr">
        <is>
          <t>medium</t>
        </is>
      </c>
      <c r="K87" s="10" t="inlineStr">
        <is>
          <t>composite_split</t>
        </is>
      </c>
      <c r="L8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7" s="10" t="n">
        <v>210170.012</v>
      </c>
    </row>
    <row r="88" ht="36" customHeight="1">
      <c r="A88" s="10" t="inlineStr">
        <is>
          <t>LME_035</t>
        </is>
      </c>
      <c r="B88" s="11" t="inlineStr">
        <is>
          <t>35_412_Gulf_of_Thailande_(1963)</t>
        </is>
      </c>
      <c r="C88" s="11" t="inlineStr">
        <is>
          <t>Elasmobranchii</t>
        </is>
      </c>
      <c r="D88" s="10" t="inlineStr">
        <is>
          <t>Sharks, rays, skates</t>
        </is>
      </c>
      <c r="E88" s="10" t="inlineStr">
        <is>
          <t>Large sharks (&gt;=90 cm)</t>
        </is>
      </c>
      <c r="F88" s="10" t="inlineStr">
        <is>
          <t>Sharks &amp; rays</t>
        </is>
      </c>
      <c r="G88" s="11" t="inlineStr">
        <is>
          <t>Sharks</t>
        </is>
      </c>
      <c r="H88" s="12" t="n">
        <v>0</v>
      </c>
      <c r="I88" s="10" t="inlineStr">
        <is>
          <t>catch_composition</t>
        </is>
      </c>
      <c r="J88" s="13" t="inlineStr">
        <is>
          <t>medium</t>
        </is>
      </c>
      <c r="K88" s="10" t="inlineStr">
        <is>
          <t>composite_split</t>
        </is>
      </c>
      <c r="L88" s="11" t="inlineStr">
        <is>
          <t>Elasmobranchs include both sharks (two stages) and rays; assigning the whole label to Sharks excluded a documented model compartment.</t>
        </is>
      </c>
      <c r="M88" s="10" t="n">
        <v>205202.745</v>
      </c>
    </row>
    <row r="89" ht="36" customHeight="1">
      <c r="A89" s="10" t="inlineStr">
        <is>
          <t>LME_035</t>
        </is>
      </c>
      <c r="B89" s="11" t="inlineStr">
        <is>
          <t>35_412_Gulf_of_Thailande_(1963)</t>
        </is>
      </c>
      <c r="C89" s="11" t="inlineStr">
        <is>
          <t>Elasmobranchii</t>
        </is>
      </c>
      <c r="D89" s="10" t="inlineStr">
        <is>
          <t>Sharks, rays, skates</t>
        </is>
      </c>
      <c r="E89" s="10" t="inlineStr">
        <is>
          <t>Large sharks (&gt;=90 cm)</t>
        </is>
      </c>
      <c r="F89" s="10" t="inlineStr">
        <is>
          <t>Sharks &amp; rays</t>
        </is>
      </c>
      <c r="G89" s="11" t="inlineStr">
        <is>
          <t>Juv. sharks</t>
        </is>
      </c>
      <c r="H89" s="12" t="n">
        <v>0</v>
      </c>
      <c r="I89" s="10" t="inlineStr">
        <is>
          <t>catch_composition</t>
        </is>
      </c>
      <c r="J89" s="13" t="inlineStr">
        <is>
          <t>medium</t>
        </is>
      </c>
      <c r="K89" s="10" t="inlineStr">
        <is>
          <t>composite_split</t>
        </is>
      </c>
      <c r="L89" s="11" t="inlineStr">
        <is>
          <t>Elasmobranchs include both sharks (two stages) and rays; assigning the whole label to Sharks excluded a documented model compartment.</t>
        </is>
      </c>
      <c r="M89" s="10" t="n">
        <v>205202.745</v>
      </c>
    </row>
    <row r="90" ht="36" customHeight="1">
      <c r="A90" s="10" t="inlineStr">
        <is>
          <t>LME_035</t>
        </is>
      </c>
      <c r="B90" s="11" t="inlineStr">
        <is>
          <t>35_412_Gulf_of_Thailande_(1963)</t>
        </is>
      </c>
      <c r="C90" s="11" t="inlineStr">
        <is>
          <t>Elasmobranchii</t>
        </is>
      </c>
      <c r="D90" s="10" t="inlineStr">
        <is>
          <t>Sharks, rays, skates</t>
        </is>
      </c>
      <c r="E90" s="10" t="inlineStr">
        <is>
          <t>Large sharks (&gt;=90 cm)</t>
        </is>
      </c>
      <c r="F90" s="10" t="inlineStr">
        <is>
          <t>Sharks &amp; rays</t>
        </is>
      </c>
      <c r="G90" s="11" t="inlineStr">
        <is>
          <t>Rays</t>
        </is>
      </c>
      <c r="H90" s="12" t="n">
        <v>1</v>
      </c>
      <c r="I90" s="10" t="inlineStr">
        <is>
          <t>catch_composition</t>
        </is>
      </c>
      <c r="J90" s="13" t="inlineStr">
        <is>
          <t>medium</t>
        </is>
      </c>
      <c r="K90" s="10" t="inlineStr">
        <is>
          <t>composite_split</t>
        </is>
      </c>
      <c r="L90" s="11" t="inlineStr">
        <is>
          <t>Elasmobranchs include both sharks (two stages) and rays; assigning the whole label to Sharks excluded a documented model compartment.</t>
        </is>
      </c>
      <c r="M90" s="10" t="n">
        <v>205202.745</v>
      </c>
    </row>
    <row r="91" ht="51" customHeight="1">
      <c r="A91" s="10" t="inlineStr">
        <is>
          <t>LME_035</t>
        </is>
      </c>
      <c r="B91" s="11" t="inlineStr">
        <is>
          <t>35_412_Gulf_of_Thailande_(1963)</t>
        </is>
      </c>
      <c r="C91" s="11" t="inlineStr">
        <is>
          <t>Sillago</t>
        </is>
      </c>
      <c r="D91" s="10" t="inlineStr">
        <is>
          <t>Smelt-whitings</t>
        </is>
      </c>
      <c r="E91" s="10" t="inlineStr">
        <is>
          <t>Medium demersals (30 - 89 cm)</t>
        </is>
      </c>
      <c r="F91" s="10" t="inlineStr">
        <is>
          <t>Perch-likes</t>
        </is>
      </c>
      <c r="G91" s="11" t="inlineStr">
        <is>
          <t>Med.dem.benth.</t>
        </is>
      </c>
      <c r="H91" s="12" t="n">
        <v>1</v>
      </c>
      <c r="I91" s="10" t="inlineStr">
        <is>
          <t>single</t>
        </is>
      </c>
      <c r="J91" s="13" t="inlineStr">
        <is>
          <t>medium</t>
        </is>
      </c>
      <c r="K91" s="10" t="inlineStr">
        <is>
          <t>habitat_size_guild</t>
        </is>
      </c>
      <c r="L91" s="11" t="inlineStr">
        <is>
          <t>Whiting feed on benthic invertebrates (worms, small crustaceans) over sand. Reviewed against the Ecobase group name and diet; the original paper p.130 lists important components but does not settle this taxon.</t>
        </is>
      </c>
      <c r="M91" s="10" t="n">
        <v>191559.84</v>
      </c>
    </row>
    <row r="92" ht="51" customHeight="1">
      <c r="A92" s="10" t="inlineStr">
        <is>
          <t>LME_035</t>
        </is>
      </c>
      <c r="B92" s="11" t="inlineStr">
        <is>
          <t>35_412_Gulf_of_Thailande_(1963)</t>
        </is>
      </c>
      <c r="C92" s="11" t="inlineStr">
        <is>
          <t>Psettodes erumei</t>
        </is>
      </c>
      <c r="D92" s="10" t="inlineStr">
        <is>
          <t>Indian halibut</t>
        </is>
      </c>
      <c r="E92" s="10" t="inlineStr">
        <is>
          <t>Small to medium flatfishes (&lt;90 cm)</t>
        </is>
      </c>
      <c r="F92" s="10" t="inlineStr">
        <is>
          <t>Flatfishes</t>
        </is>
      </c>
      <c r="G92" s="11" t="inlineStr">
        <is>
          <t>Med.dem.pisc.</t>
        </is>
      </c>
      <c r="H92" s="12" t="n">
        <v>1</v>
      </c>
      <c r="I92" s="10" t="inlineStr">
        <is>
          <t>single</t>
        </is>
      </c>
      <c r="J92" s="14" t="inlineStr">
        <is>
          <t>high</t>
        </is>
      </c>
      <c r="K92" s="10" t="inlineStr">
        <is>
          <t>taxonomic_containment</t>
        </is>
      </c>
      <c r="L9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2" s="10" t="n">
        <v>187671.039</v>
      </c>
    </row>
    <row r="93" ht="36" customHeight="1">
      <c r="A93" s="10" t="inlineStr">
        <is>
          <t>LME_035</t>
        </is>
      </c>
      <c r="B93" s="11" t="inlineStr">
        <is>
          <t>35_412_Gulf_of_Thailande_(1963)</t>
        </is>
      </c>
      <c r="C93" s="11" t="inlineStr">
        <is>
          <t>Serranidae</t>
        </is>
      </c>
      <c r="D93" s="10" t="inlineStr">
        <is>
          <t>Basses, groupers, hinds</t>
        </is>
      </c>
      <c r="E93" s="10" t="inlineStr">
        <is>
          <t>Medium reef assoc. fish (30 - 89 cm)</t>
        </is>
      </c>
      <c r="F93" s="10" t="inlineStr">
        <is>
          <t>Perch-likes</t>
        </is>
      </c>
      <c r="G93" s="11" t="inlineStr">
        <is>
          <t>Grouper/snapper</t>
        </is>
      </c>
      <c r="H93" s="12" t="n">
        <v>1</v>
      </c>
      <c r="I93" s="10" t="inlineStr">
        <is>
          <t>model_catch</t>
        </is>
      </c>
      <c r="J93" s="13" t="inlineStr">
        <is>
          <t>medium</t>
        </is>
      </c>
      <c r="K93" s="10" t="inlineStr">
        <is>
          <t>composite_split</t>
        </is>
      </c>
      <c r="L93" s="11" t="inlineStr">
        <is>
          <t>Groupers have juvenile and adult compartments; catch lacks life-stage detail. Use reported model catch, which assigns no catch to juveniles.</t>
        </is>
      </c>
      <c r="M93" s="10" t="n">
        <v>185152.281</v>
      </c>
    </row>
    <row r="94" ht="36" customHeight="1">
      <c r="A94" s="10" t="inlineStr">
        <is>
          <t>LME_035</t>
        </is>
      </c>
      <c r="B94" s="11" t="inlineStr">
        <is>
          <t>35_412_Gulf_of_Thailande_(1963)</t>
        </is>
      </c>
      <c r="C94" s="11" t="inlineStr">
        <is>
          <t>Serranidae</t>
        </is>
      </c>
      <c r="D94" s="10" t="inlineStr">
        <is>
          <t>Basses, groupers, hinds</t>
        </is>
      </c>
      <c r="E94" s="10" t="inlineStr">
        <is>
          <t>Medium reef assoc. fish (30 - 89 cm)</t>
        </is>
      </c>
      <c r="F94" s="10" t="inlineStr">
        <is>
          <t>Perch-likes</t>
        </is>
      </c>
      <c r="G94" s="11" t="inlineStr">
        <is>
          <t>Juv. groupers</t>
        </is>
      </c>
      <c r="H94" s="12" t="n">
        <v>0</v>
      </c>
      <c r="I94" s="10" t="inlineStr">
        <is>
          <t>model_catch</t>
        </is>
      </c>
      <c r="J94" s="13" t="inlineStr">
        <is>
          <t>medium</t>
        </is>
      </c>
      <c r="K94" s="10" t="inlineStr">
        <is>
          <t>composite_split</t>
        </is>
      </c>
      <c r="L94" s="11" t="inlineStr">
        <is>
          <t>Groupers have juvenile and adult compartments; catch lacks life-stage detail. Use reported model catch, which assigns no catch to juveniles.</t>
        </is>
      </c>
      <c r="M94" s="10" t="n">
        <v>185152.281</v>
      </c>
    </row>
    <row r="95" ht="51" customHeight="1">
      <c r="A95" s="10" t="inlineStr">
        <is>
          <t>LME_035</t>
        </is>
      </c>
      <c r="B95" s="11" t="inlineStr">
        <is>
          <t>35_412_Gulf_of_Thailande_(1963)</t>
        </is>
      </c>
      <c r="C95" s="11" t="inlineStr">
        <is>
          <t>Chirocentrus</t>
        </is>
      </c>
      <c r="D95" s="10" t="inlineStr">
        <is>
          <t>Wolf herrings</t>
        </is>
      </c>
      <c r="E95" s="10" t="inlineStr">
        <is>
          <t>Large pelagics (&gt;=90 cm)</t>
        </is>
      </c>
      <c r="F95" s="10" t="inlineStr">
        <is>
          <t>Herring-likes</t>
        </is>
      </c>
      <c r="G95" s="11" t="inlineStr">
        <is>
          <t>Juv.Lg.Pisciv.</t>
        </is>
      </c>
      <c r="H95" s="12" t="n">
        <v>0</v>
      </c>
      <c r="I95" s="10" t="inlineStr">
        <is>
          <t>model_catch</t>
        </is>
      </c>
      <c r="J95" s="13" t="inlineStr">
        <is>
          <t>medium</t>
        </is>
      </c>
      <c r="K95" s="10" t="inlineStr">
        <is>
          <t>composite_split</t>
        </is>
      </c>
      <c r="L9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5" s="10" t="n">
        <v>184085.397</v>
      </c>
    </row>
    <row r="96" ht="51" customHeight="1">
      <c r="A96" s="10" t="inlineStr">
        <is>
          <t>LME_035</t>
        </is>
      </c>
      <c r="B96" s="11" t="inlineStr">
        <is>
          <t>35_412_Gulf_of_Thailande_(1963)</t>
        </is>
      </c>
      <c r="C96" s="11" t="inlineStr">
        <is>
          <t>Chirocentrus</t>
        </is>
      </c>
      <c r="D96" s="10" t="inlineStr">
        <is>
          <t>Wolf herrings</t>
        </is>
      </c>
      <c r="E96" s="10" t="inlineStr">
        <is>
          <t>Large pelagics (&gt;=90 cm)</t>
        </is>
      </c>
      <c r="F96" s="10" t="inlineStr">
        <is>
          <t>Herring-likes</t>
        </is>
      </c>
      <c r="G96" s="11" t="inlineStr">
        <is>
          <t>Lg. piscivores</t>
        </is>
      </c>
      <c r="H96" s="12" t="n">
        <v>1</v>
      </c>
      <c r="I96" s="10" t="inlineStr">
        <is>
          <t>model_catch</t>
        </is>
      </c>
      <c r="J96" s="13" t="inlineStr">
        <is>
          <t>medium</t>
        </is>
      </c>
      <c r="K96" s="10" t="inlineStr">
        <is>
          <t>composite_split</t>
        </is>
      </c>
      <c r="L9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6" s="10" t="n">
        <v>184085.397</v>
      </c>
    </row>
    <row r="97" ht="51" customHeight="1">
      <c r="A97" s="10" t="inlineStr">
        <is>
          <t>LME_035</t>
        </is>
      </c>
      <c r="B97" s="11" t="inlineStr">
        <is>
          <t>35_412_Gulf_of_Thailande_(1963)</t>
        </is>
      </c>
      <c r="C97" s="11" t="inlineStr">
        <is>
          <t>Epinephelus</t>
        </is>
      </c>
      <c r="D97" s="10" t="inlineStr">
        <is>
          <t>Seabasses, hinds</t>
        </is>
      </c>
      <c r="E97" s="10" t="inlineStr">
        <is>
          <t>Medium reef assoc. fish (30 - 89 cm)</t>
        </is>
      </c>
      <c r="F97" s="10" t="inlineStr">
        <is>
          <t>Perch-likes</t>
        </is>
      </c>
      <c r="G97" s="11" t="inlineStr">
        <is>
          <t>Grouper/snapper</t>
        </is>
      </c>
      <c r="H97" s="12" t="n">
        <v>1</v>
      </c>
      <c r="I97" s="10" t="inlineStr">
        <is>
          <t>model_catch</t>
        </is>
      </c>
      <c r="J97" s="13" t="inlineStr">
        <is>
          <t>medium</t>
        </is>
      </c>
      <c r="K97" s="10" t="inlineStr">
        <is>
          <t>composite_split</t>
        </is>
      </c>
      <c r="L9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7" s="10" t="n">
        <v>178162.755</v>
      </c>
    </row>
    <row r="98" ht="51" customHeight="1">
      <c r="A98" s="10" t="inlineStr">
        <is>
          <t>LME_035</t>
        </is>
      </c>
      <c r="B98" s="11" t="inlineStr">
        <is>
          <t>35_412_Gulf_of_Thailande_(1963)</t>
        </is>
      </c>
      <c r="C98" s="11" t="inlineStr">
        <is>
          <t>Epinephelus</t>
        </is>
      </c>
      <c r="D98" s="10" t="inlineStr">
        <is>
          <t>Seabasses, hinds</t>
        </is>
      </c>
      <c r="E98" s="10" t="inlineStr">
        <is>
          <t>Medium reef assoc. fish (30 - 89 cm)</t>
        </is>
      </c>
      <c r="F98" s="10" t="inlineStr">
        <is>
          <t>Perch-likes</t>
        </is>
      </c>
      <c r="G98" s="11" t="inlineStr">
        <is>
          <t>Juv. groupers</t>
        </is>
      </c>
      <c r="H98" s="12" t="n">
        <v>0</v>
      </c>
      <c r="I98" s="10" t="inlineStr">
        <is>
          <t>model_catch</t>
        </is>
      </c>
      <c r="J98" s="13" t="inlineStr">
        <is>
          <t>medium</t>
        </is>
      </c>
      <c r="K98" s="10" t="inlineStr">
        <is>
          <t>composite_split</t>
        </is>
      </c>
      <c r="L9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8" s="10" t="n">
        <v>178162.755</v>
      </c>
    </row>
    <row r="99" ht="51" customHeight="1">
      <c r="A99" s="10" t="inlineStr">
        <is>
          <t>LME_035</t>
        </is>
      </c>
      <c r="B99" s="11" t="inlineStr">
        <is>
          <t>35_412_Gulf_of_Thailande_(1963)</t>
        </is>
      </c>
      <c r="C99" s="11" t="inlineStr">
        <is>
          <t>Portunidae</t>
        </is>
      </c>
      <c r="D99" s="10" t="inlineStr">
        <is>
          <t>Swimming crabs</t>
        </is>
      </c>
      <c r="E99" s="10" t="inlineStr">
        <is>
          <t>Lobsters, crabs</t>
        </is>
      </c>
      <c r="F99" s="10" t="inlineStr">
        <is>
          <t>Crustaceans</t>
        </is>
      </c>
      <c r="G99" s="11" t="inlineStr">
        <is>
          <t>Crab, lobster</t>
        </is>
      </c>
      <c r="H99" s="12" t="n">
        <v>1</v>
      </c>
      <c r="I99" s="10" t="inlineStr">
        <is>
          <t>single</t>
        </is>
      </c>
      <c r="J99" s="14" t="inlineStr">
        <is>
          <t>high</t>
        </is>
      </c>
      <c r="K99" s="10" t="inlineStr">
        <is>
          <t>taxonomic_containment</t>
        </is>
      </c>
      <c r="L99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99" s="10" t="n">
        <v>174080.132</v>
      </c>
    </row>
    <row r="100" ht="51" customHeight="1">
      <c r="A100" s="10" t="inlineStr">
        <is>
          <t>LME_035</t>
        </is>
      </c>
      <c r="B100" s="11" t="inlineStr">
        <is>
          <t>35_412_Gulf_of_Thailande_(1963)</t>
        </is>
      </c>
      <c r="C100" s="11" t="inlineStr">
        <is>
          <t>Lutjanus malabaricus</t>
        </is>
      </c>
      <c r="D100" s="10" t="inlineStr">
        <is>
          <t>Malabar blood snapper</t>
        </is>
      </c>
      <c r="E100" s="10" t="inlineStr">
        <is>
          <t>Medium reef assoc. fish (30 - 89 cm)</t>
        </is>
      </c>
      <c r="F100" s="10" t="inlineStr">
        <is>
          <t>Perch-likes</t>
        </is>
      </c>
      <c r="G100" s="11" t="inlineStr">
        <is>
          <t>Grouper/snapper</t>
        </is>
      </c>
      <c r="H100" s="12" t="n">
        <v>1</v>
      </c>
      <c r="I100" s="10" t="inlineStr">
        <is>
          <t>model_catch</t>
        </is>
      </c>
      <c r="J100" s="13" t="inlineStr">
        <is>
          <t>medium</t>
        </is>
      </c>
      <c r="K100" s="10" t="inlineStr">
        <is>
          <t>composite_split</t>
        </is>
      </c>
      <c r="L10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0" s="10" t="n">
        <v>161848.215</v>
      </c>
    </row>
    <row r="101" ht="51" customHeight="1">
      <c r="A101" s="10" t="inlineStr">
        <is>
          <t>LME_035</t>
        </is>
      </c>
      <c r="B101" s="11" t="inlineStr">
        <is>
          <t>35_412_Gulf_of_Thailande_(1963)</t>
        </is>
      </c>
      <c r="C101" s="11" t="inlineStr">
        <is>
          <t>Lutjanus malabaricus</t>
        </is>
      </c>
      <c r="D101" s="10" t="inlineStr">
        <is>
          <t>Malabar blood snapper</t>
        </is>
      </c>
      <c r="E101" s="10" t="inlineStr">
        <is>
          <t>Medium reef assoc. fish (30 - 89 cm)</t>
        </is>
      </c>
      <c r="F101" s="10" t="inlineStr">
        <is>
          <t>Perch-likes</t>
        </is>
      </c>
      <c r="G101" s="11" t="inlineStr">
        <is>
          <t>Juv. groupers</t>
        </is>
      </c>
      <c r="H101" s="12" t="n">
        <v>0</v>
      </c>
      <c r="I101" s="10" t="inlineStr">
        <is>
          <t>model_catch</t>
        </is>
      </c>
      <c r="J101" s="13" t="inlineStr">
        <is>
          <t>medium</t>
        </is>
      </c>
      <c r="K101" s="10" t="inlineStr">
        <is>
          <t>composite_split</t>
        </is>
      </c>
      <c r="L10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1" s="10" t="n">
        <v>161848.215</v>
      </c>
    </row>
    <row r="102" ht="51" customHeight="1">
      <c r="A102" s="10" t="inlineStr">
        <is>
          <t>LME_035</t>
        </is>
      </c>
      <c r="B102" s="11" t="inlineStr">
        <is>
          <t>35_412_Gulf_of_Thailande_(1963)</t>
        </is>
      </c>
      <c r="C102" s="11" t="inlineStr">
        <is>
          <t>Muraenesox cinereus</t>
        </is>
      </c>
      <c r="D102" s="10" t="inlineStr">
        <is>
          <t>Daggertooth pike conger</t>
        </is>
      </c>
      <c r="E102" s="10" t="inlineStr">
        <is>
          <t>Large demersals (&gt;=90 cm)</t>
        </is>
      </c>
      <c r="F102" s="10" t="inlineStr">
        <is>
          <t>Other fishes &amp; inverts</t>
        </is>
      </c>
      <c r="G102" s="11" t="inlineStr">
        <is>
          <t>Juv.Lg.Pisciv.</t>
        </is>
      </c>
      <c r="H102" s="12" t="n">
        <v>0</v>
      </c>
      <c r="I102" s="10" t="inlineStr">
        <is>
          <t>model_catch</t>
        </is>
      </c>
      <c r="J102" s="13" t="inlineStr">
        <is>
          <t>medium</t>
        </is>
      </c>
      <c r="K102" s="10" t="inlineStr">
        <is>
          <t>composite_split</t>
        </is>
      </c>
      <c r="L10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2" s="10" t="n">
        <v>161200.004</v>
      </c>
    </row>
    <row r="103" ht="51" customHeight="1">
      <c r="A103" s="10" t="inlineStr">
        <is>
          <t>LME_035</t>
        </is>
      </c>
      <c r="B103" s="11" t="inlineStr">
        <is>
          <t>35_412_Gulf_of_Thailande_(1963)</t>
        </is>
      </c>
      <c r="C103" s="11" t="inlineStr">
        <is>
          <t>Muraenesox cinereus</t>
        </is>
      </c>
      <c r="D103" s="10" t="inlineStr">
        <is>
          <t>Daggertooth pike conger</t>
        </is>
      </c>
      <c r="E103" s="10" t="inlineStr">
        <is>
          <t>Large demersals (&gt;=90 cm)</t>
        </is>
      </c>
      <c r="F103" s="10" t="inlineStr">
        <is>
          <t>Other fishes &amp; inverts</t>
        </is>
      </c>
      <c r="G103" s="11" t="inlineStr">
        <is>
          <t>Lg. piscivores</t>
        </is>
      </c>
      <c r="H103" s="12" t="n">
        <v>1</v>
      </c>
      <c r="I103" s="10" t="inlineStr">
        <is>
          <t>model_catch</t>
        </is>
      </c>
      <c r="J103" s="13" t="inlineStr">
        <is>
          <t>medium</t>
        </is>
      </c>
      <c r="K103" s="10" t="inlineStr">
        <is>
          <t>composite_split</t>
        </is>
      </c>
      <c r="L10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3" s="10" t="n">
        <v>161200.004</v>
      </c>
    </row>
    <row r="104" ht="51" customHeight="1">
      <c r="A104" s="10" t="inlineStr">
        <is>
          <t>LME_035</t>
        </is>
      </c>
      <c r="B104" s="11" t="inlineStr">
        <is>
          <t>35_412_Gulf_of_Thailande_(1963)</t>
        </is>
      </c>
      <c r="C104" s="11" t="inlineStr">
        <is>
          <t>Upeneus</t>
        </is>
      </c>
      <c r="D104" s="10" t="inlineStr">
        <is>
          <t>Upeneid goatfishes</t>
        </is>
      </c>
      <c r="E104" s="10" t="inlineStr">
        <is>
          <t>Small reef assoc. fish (&lt;30 cm)</t>
        </is>
      </c>
      <c r="F104" s="10" t="inlineStr">
        <is>
          <t>Perch-likes</t>
        </is>
      </c>
      <c r="G104" s="11" t="inlineStr">
        <is>
          <t>Med.dem.benth.</t>
        </is>
      </c>
      <c r="H104" s="12" t="n">
        <v>1</v>
      </c>
      <c r="I104" s="10" t="inlineStr">
        <is>
          <t>single</t>
        </is>
      </c>
      <c r="J104" s="14" t="inlineStr">
        <is>
          <t>high</t>
        </is>
      </c>
      <c r="K104" s="10" t="inlineStr">
        <is>
          <t>explicit_member</t>
        </is>
      </c>
      <c r="L10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4" s="10" t="n">
        <v>147414.537</v>
      </c>
    </row>
    <row r="105" ht="51" customHeight="1">
      <c r="A105" s="10" t="inlineStr">
        <is>
          <t>LME_035</t>
        </is>
      </c>
      <c r="B105" s="11" t="inlineStr">
        <is>
          <t>35_412_Gulf_of_Thailande_(1963)</t>
        </is>
      </c>
      <c r="C105" s="11" t="inlineStr">
        <is>
          <t>Gobiidae</t>
        </is>
      </c>
      <c r="D105" s="10" t="inlineStr">
        <is>
          <t>Gobies</t>
        </is>
      </c>
      <c r="E105" s="10" t="inlineStr">
        <is>
          <t>Small reef assoc. fish (&lt;30 cm)</t>
        </is>
      </c>
      <c r="F105" s="10" t="inlineStr">
        <is>
          <t>Perch-likes</t>
        </is>
      </c>
      <c r="G105" s="11" t="inlineStr">
        <is>
          <t>Sm.dem.benth.</t>
        </is>
      </c>
      <c r="H105" s="12" t="n">
        <v>1</v>
      </c>
      <c r="I105" s="10" t="inlineStr">
        <is>
          <t>single</t>
        </is>
      </c>
      <c r="J105" s="13" t="inlineStr">
        <is>
          <t>medium</t>
        </is>
      </c>
      <c r="K105" s="10" t="inlineStr">
        <is>
          <t>habitat_size_guild</t>
        </is>
      </c>
      <c r="L105" s="11" t="inlineStr">
        <is>
          <t>Gobies are small benthic fish feeding on small invertebrates. Reviewed against the Ecobase group name and diet; the original paper p.130 lists important components but does not settle this taxon.</t>
        </is>
      </c>
      <c r="M105" s="10" t="n">
        <v>142750.385</v>
      </c>
    </row>
    <row r="106" ht="51" customHeight="1">
      <c r="A106" s="10" t="inlineStr">
        <is>
          <t>LME_035</t>
        </is>
      </c>
      <c r="B106" s="11" t="inlineStr">
        <is>
          <t>35_412_Gulf_of_Thailande_(1963)</t>
        </is>
      </c>
      <c r="C106" s="11" t="inlineStr">
        <is>
          <t>Penaeus latisulcatus</t>
        </is>
      </c>
      <c r="D106" s="10" t="inlineStr">
        <is>
          <t>Western king prawn</t>
        </is>
      </c>
      <c r="E106" s="10" t="inlineStr">
        <is>
          <t>Shrimps</t>
        </is>
      </c>
      <c r="F106" s="10" t="inlineStr">
        <is>
          <t>Crustaceans</t>
        </is>
      </c>
      <c r="G106" s="11" t="inlineStr">
        <is>
          <t>Shrimps</t>
        </is>
      </c>
      <c r="H106" s="12" t="n">
        <v>1</v>
      </c>
      <c r="I106" s="10" t="inlineStr">
        <is>
          <t>single</t>
        </is>
      </c>
      <c r="J106" s="14" t="inlineStr">
        <is>
          <t>high</t>
        </is>
      </c>
      <c r="K106" s="10" t="inlineStr">
        <is>
          <t>taxonomic_containment</t>
        </is>
      </c>
      <c r="L106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06" s="10" t="n">
        <v>135192.437</v>
      </c>
    </row>
    <row r="107" ht="51" customHeight="1">
      <c r="A107" s="10" t="inlineStr">
        <is>
          <t>LME_035</t>
        </is>
      </c>
      <c r="B107" s="11" t="inlineStr">
        <is>
          <t>35_412_Gulf_of_Thailande_(1963)</t>
        </is>
      </c>
      <c r="C107" s="11" t="inlineStr">
        <is>
          <t>Sepioteuthis lessoniana</t>
        </is>
      </c>
      <c r="D107" s="10" t="inlineStr">
        <is>
          <t>Bigfin reef squid</t>
        </is>
      </c>
      <c r="E107" s="10" t="inlineStr">
        <is>
          <t>Cephalopods</t>
        </is>
      </c>
      <c r="F107" s="10" t="inlineStr">
        <is>
          <t>Other fishes &amp; inverts</t>
        </is>
      </c>
      <c r="G107" s="11" t="inlineStr">
        <is>
          <t>Cephalopods</t>
        </is>
      </c>
      <c r="H107" s="12" t="n">
        <v>1</v>
      </c>
      <c r="I107" s="10" t="inlineStr">
        <is>
          <t>single</t>
        </is>
      </c>
      <c r="J107" s="14" t="inlineStr">
        <is>
          <t>high</t>
        </is>
      </c>
      <c r="K107" s="10" t="inlineStr">
        <is>
          <t>taxonomic_containment</t>
        </is>
      </c>
      <c r="L107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107" s="10" t="n">
        <v>133557.366</v>
      </c>
    </row>
    <row r="108" ht="51" customHeight="1">
      <c r="A108" s="10" t="inlineStr">
        <is>
          <t>LME_035</t>
        </is>
      </c>
      <c r="B108" s="11" t="inlineStr">
        <is>
          <t>35_412_Gulf_of_Thailande_(1963)</t>
        </is>
      </c>
      <c r="C108" s="11" t="inlineStr">
        <is>
          <t>Pomadasys</t>
        </is>
      </c>
      <c r="D108" s="10" t="inlineStr">
        <is>
          <t>Grunters</t>
        </is>
      </c>
      <c r="E108" s="10" t="inlineStr">
        <is>
          <t>Medium demersals (30 - 89 cm)</t>
        </is>
      </c>
      <c r="F108" s="10" t="inlineStr">
        <is>
          <t>Perch-likes</t>
        </is>
      </c>
      <c r="G108" s="11" t="inlineStr">
        <is>
          <t>Med.dem.benth.</t>
        </is>
      </c>
      <c r="H108" s="12" t="n">
        <v>1</v>
      </c>
      <c r="I108" s="10" t="inlineStr">
        <is>
          <t>single</t>
        </is>
      </c>
      <c r="J108" s="14" t="inlineStr">
        <is>
          <t>high</t>
        </is>
      </c>
      <c r="K108" s="10" t="inlineStr">
        <is>
          <t>explicit_member</t>
        </is>
      </c>
      <c r="L10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8" s="10" t="n">
        <v>131359.141</v>
      </c>
    </row>
    <row r="109" ht="51" customHeight="1">
      <c r="A109" s="10" t="inlineStr">
        <is>
          <t>LME_035</t>
        </is>
      </c>
      <c r="B109" s="11" t="inlineStr">
        <is>
          <t>35_412_Gulf_of_Thailande_(1963)</t>
        </is>
      </c>
      <c r="C109" s="11" t="inlineStr">
        <is>
          <t>Scylla serrata</t>
        </is>
      </c>
      <c r="D109" s="10" t="inlineStr">
        <is>
          <t>Indo-Pacific swamp crab</t>
        </is>
      </c>
      <c r="E109" s="10" t="inlineStr">
        <is>
          <t>Lobsters, crabs</t>
        </is>
      </c>
      <c r="F109" s="10" t="inlineStr">
        <is>
          <t>Crustaceans</t>
        </is>
      </c>
      <c r="G109" s="11" t="inlineStr">
        <is>
          <t>Crab, lobster</t>
        </is>
      </c>
      <c r="H109" s="12" t="n">
        <v>1</v>
      </c>
      <c r="I109" s="10" t="inlineStr">
        <is>
          <t>single</t>
        </is>
      </c>
      <c r="J109" s="14" t="inlineStr">
        <is>
          <t>high</t>
        </is>
      </c>
      <c r="K109" s="10" t="inlineStr">
        <is>
          <t>taxonomic_containment</t>
        </is>
      </c>
      <c r="L109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09" s="10" t="n">
        <v>125460.293</v>
      </c>
    </row>
    <row r="110" ht="51" customHeight="1">
      <c r="A110" s="10" t="inlineStr">
        <is>
          <t>LME_035</t>
        </is>
      </c>
      <c r="B110" s="11" t="inlineStr">
        <is>
          <t>35_412_Gulf_of_Thailande_(1963)</t>
        </is>
      </c>
      <c r="C110" s="11" t="inlineStr">
        <is>
          <t>Balistidae</t>
        </is>
      </c>
      <c r="D110" s="10" t="inlineStr">
        <is>
          <t>Triggerfishes</t>
        </is>
      </c>
      <c r="E110" s="10" t="inlineStr">
        <is>
          <t>Medium reef assoc. fish (30 - 89 cm)</t>
        </is>
      </c>
      <c r="F110" s="10" t="inlineStr">
        <is>
          <t>Other fishes &amp; inverts</t>
        </is>
      </c>
      <c r="G110" s="11" t="inlineStr">
        <is>
          <t>Med.dem.benth.</t>
        </is>
      </c>
      <c r="H110" s="12" t="n">
        <v>1</v>
      </c>
      <c r="I110" s="10" t="inlineStr">
        <is>
          <t>single</t>
        </is>
      </c>
      <c r="J110" s="13" t="inlineStr">
        <is>
          <t>medium</t>
        </is>
      </c>
      <c r="K110" s="10" t="inlineStr">
        <is>
          <t>habitat_size_guild</t>
        </is>
      </c>
      <c r="L110" s="11" t="inlineStr">
        <is>
          <t>Triggerfish crush hard-shelled benthic invertebrates (crustaceans, molluscs, echinoderms). Reviewed against the Ecobase group name and diet; the original paper p.130 lists important components but does not settle this taxon.</t>
        </is>
      </c>
      <c r="M110" s="10" t="n">
        <v>117054.204</v>
      </c>
    </row>
    <row r="111" ht="51" customHeight="1">
      <c r="A111" s="10" t="inlineStr">
        <is>
          <t>LME_035</t>
        </is>
      </c>
      <c r="B111" s="11" t="inlineStr">
        <is>
          <t>35_412_Gulf_of_Thailande_(1963)</t>
        </is>
      </c>
      <c r="C111" s="11" t="inlineStr">
        <is>
          <t>Trichiurus</t>
        </is>
      </c>
      <c r="D111" s="10" t="inlineStr">
        <is>
          <t>Hairtails</t>
        </is>
      </c>
      <c r="E111" s="10" t="inlineStr">
        <is>
          <t>Large benthopelagics (&gt;=90 cm)</t>
        </is>
      </c>
      <c r="F111" s="10" t="inlineStr">
        <is>
          <t>Perch-likes</t>
        </is>
      </c>
      <c r="G111" s="11" t="inlineStr">
        <is>
          <t>Juv.Lg.Pisciv.</t>
        </is>
      </c>
      <c r="H111" s="12" t="n">
        <v>0</v>
      </c>
      <c r="I111" s="10" t="inlineStr">
        <is>
          <t>model_catch</t>
        </is>
      </c>
      <c r="J111" s="13" t="inlineStr">
        <is>
          <t>medium</t>
        </is>
      </c>
      <c r="K111" s="10" t="inlineStr">
        <is>
          <t>composite_split</t>
        </is>
      </c>
      <c r="L11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11" s="10" t="n">
        <v>103714.709</v>
      </c>
    </row>
    <row r="112" ht="51" customHeight="1">
      <c r="A112" s="10" t="inlineStr">
        <is>
          <t>LME_035</t>
        </is>
      </c>
      <c r="B112" s="11" t="inlineStr">
        <is>
          <t>35_412_Gulf_of_Thailande_(1963)</t>
        </is>
      </c>
      <c r="C112" s="11" t="inlineStr">
        <is>
          <t>Trichiurus</t>
        </is>
      </c>
      <c r="D112" s="10" t="inlineStr">
        <is>
          <t>Hairtails</t>
        </is>
      </c>
      <c r="E112" s="10" t="inlineStr">
        <is>
          <t>Large benthopelagics (&gt;=90 cm)</t>
        </is>
      </c>
      <c r="F112" s="10" t="inlineStr">
        <is>
          <t>Perch-likes</t>
        </is>
      </c>
      <c r="G112" s="11" t="inlineStr">
        <is>
          <t>Lg. piscivores</t>
        </is>
      </c>
      <c r="H112" s="12" t="n">
        <v>1</v>
      </c>
      <c r="I112" s="10" t="inlineStr">
        <is>
          <t>model_catch</t>
        </is>
      </c>
      <c r="J112" s="13" t="inlineStr">
        <is>
          <t>medium</t>
        </is>
      </c>
      <c r="K112" s="10" t="inlineStr">
        <is>
          <t>composite_split</t>
        </is>
      </c>
      <c r="L11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12" s="10" t="n">
        <v>103714.709</v>
      </c>
    </row>
    <row r="113" ht="51" customHeight="1">
      <c r="A113" s="10" t="inlineStr">
        <is>
          <t>LME_035</t>
        </is>
      </c>
      <c r="B113" s="11" t="inlineStr">
        <is>
          <t>35_412_Gulf_of_Thailande_(1963)</t>
        </is>
      </c>
      <c r="C113" s="11" t="inlineStr">
        <is>
          <t>Penaeus semisulcatus</t>
        </is>
      </c>
      <c r="D113" s="10" t="inlineStr">
        <is>
          <t>Green tiger prawn</t>
        </is>
      </c>
      <c r="E113" s="10" t="inlineStr">
        <is>
          <t>Shrimps</t>
        </is>
      </c>
      <c r="F113" s="10" t="inlineStr">
        <is>
          <t>Crustaceans</t>
        </is>
      </c>
      <c r="G113" s="11" t="inlineStr">
        <is>
          <t>Shrimps</t>
        </is>
      </c>
      <c r="H113" s="12" t="n">
        <v>1</v>
      </c>
      <c r="I113" s="10" t="inlineStr">
        <is>
          <t>single</t>
        </is>
      </c>
      <c r="J113" s="14" t="inlineStr">
        <is>
          <t>high</t>
        </is>
      </c>
      <c r="K113" s="10" t="inlineStr">
        <is>
          <t>taxonomic_containment</t>
        </is>
      </c>
      <c r="L113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13" s="10" t="n">
        <v>101726.789</v>
      </c>
    </row>
    <row r="114" ht="36" customHeight="1">
      <c r="A114" s="10" t="inlineStr">
        <is>
          <t>LME_035</t>
        </is>
      </c>
      <c r="B114" s="11" t="inlineStr">
        <is>
          <t>35_412_Gulf_of_Thailande_(1963)</t>
        </is>
      </c>
      <c r="C114" s="11" t="inlineStr">
        <is>
          <t>Carcharhinus</t>
        </is>
      </c>
      <c r="D114" s="10" t="inlineStr">
        <is>
          <t>Sharp-nosed sharks</t>
        </is>
      </c>
      <c r="E114" s="10" t="inlineStr">
        <is>
          <t>Large sharks (&gt;=90 cm)</t>
        </is>
      </c>
      <c r="F114" s="10" t="inlineStr">
        <is>
          <t>Sharks &amp; rays</t>
        </is>
      </c>
      <c r="G114" s="11" t="inlineStr">
        <is>
          <t>Sharks</t>
        </is>
      </c>
      <c r="H114" s="12" t="n">
        <v>1</v>
      </c>
      <c r="I114" s="10" t="inlineStr">
        <is>
          <t>model_catch</t>
        </is>
      </c>
      <c r="J114" s="13" t="inlineStr">
        <is>
          <t>medium</t>
        </is>
      </c>
      <c r="K114" s="10" t="inlineStr">
        <is>
          <t>composite_split</t>
        </is>
      </c>
      <c r="L114" s="11" t="inlineStr">
        <is>
          <t>The Ecobase model splits sharks by life stage; catch has no stage split. Model catch is recorded only on Sharks.</t>
        </is>
      </c>
      <c r="M114" s="10" t="n">
        <v>101649.116</v>
      </c>
    </row>
    <row r="115" ht="36" customHeight="1">
      <c r="A115" s="10" t="inlineStr">
        <is>
          <t>LME_035</t>
        </is>
      </c>
      <c r="B115" s="11" t="inlineStr">
        <is>
          <t>35_412_Gulf_of_Thailande_(1963)</t>
        </is>
      </c>
      <c r="C115" s="11" t="inlineStr">
        <is>
          <t>Carcharhinus</t>
        </is>
      </c>
      <c r="D115" s="10" t="inlineStr">
        <is>
          <t>Sharp-nosed sharks</t>
        </is>
      </c>
      <c r="E115" s="10" t="inlineStr">
        <is>
          <t>Large sharks (&gt;=90 cm)</t>
        </is>
      </c>
      <c r="F115" s="10" t="inlineStr">
        <is>
          <t>Sharks &amp; rays</t>
        </is>
      </c>
      <c r="G115" s="11" t="inlineStr">
        <is>
          <t>Juv. sharks</t>
        </is>
      </c>
      <c r="H115" s="12" t="n">
        <v>0</v>
      </c>
      <c r="I115" s="10" t="inlineStr">
        <is>
          <t>model_catch</t>
        </is>
      </c>
      <c r="J115" s="13" t="inlineStr">
        <is>
          <t>medium</t>
        </is>
      </c>
      <c r="K115" s="10" t="inlineStr">
        <is>
          <t>composite_split</t>
        </is>
      </c>
      <c r="L115" s="11" t="inlineStr">
        <is>
          <t>The Ecobase model splits sharks by life stage; catch has no stage split. Model catch is recorded only on Sharks.</t>
        </is>
      </c>
      <c r="M115" s="10" t="n">
        <v>101649.116</v>
      </c>
    </row>
    <row r="116" ht="51" customHeight="1">
      <c r="A116" s="10" t="inlineStr">
        <is>
          <t>LME_035</t>
        </is>
      </c>
      <c r="B116" s="11" t="inlineStr">
        <is>
          <t>35_412_Gulf_of_Thailande_(1963)</t>
        </is>
      </c>
      <c r="C116" s="11" t="inlineStr">
        <is>
          <t>Katsuwonus pelamis</t>
        </is>
      </c>
      <c r="D116" s="10" t="inlineStr">
        <is>
          <t>Skipjack tuna</t>
        </is>
      </c>
      <c r="E116" s="10" t="inlineStr">
        <is>
          <t>Large pelagics (&gt;=90 cm)</t>
        </is>
      </c>
      <c r="F116" s="10" t="inlineStr">
        <is>
          <t>Tuna &amp; billfishes</t>
        </is>
      </c>
      <c r="G116" s="11" t="inlineStr">
        <is>
          <t>Tuna</t>
        </is>
      </c>
      <c r="H116" s="12" t="n">
        <v>1</v>
      </c>
      <c r="I116" s="10" t="inlineStr">
        <is>
          <t>single</t>
        </is>
      </c>
      <c r="J116" s="13" t="inlineStr">
        <is>
          <t>medium</t>
        </is>
      </c>
      <c r="K116" s="10" t="inlineStr">
        <is>
          <t>habitat_size_guild</t>
        </is>
      </c>
      <c r="L116" s="11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116" s="10" t="n">
        <v>89077.48</v>
      </c>
    </row>
    <row r="117" ht="51" customHeight="1">
      <c r="A117" s="10" t="inlineStr">
        <is>
          <t>LME_035</t>
        </is>
      </c>
      <c r="B117" s="11" t="inlineStr">
        <is>
          <t>35_412_Gulf_of_Thailande_(1963)</t>
        </is>
      </c>
      <c r="C117" s="11" t="inlineStr">
        <is>
          <t>Thenus orientalis</t>
        </is>
      </c>
      <c r="D117" s="10" t="inlineStr">
        <is>
          <t>Flathead lobster</t>
        </is>
      </c>
      <c r="E117" s="10" t="inlineStr">
        <is>
          <t>Lobsters, crabs</t>
        </is>
      </c>
      <c r="F117" s="10" t="inlineStr">
        <is>
          <t>Crustaceans</t>
        </is>
      </c>
      <c r="G117" s="11" t="inlineStr">
        <is>
          <t>Crab, lobster</t>
        </is>
      </c>
      <c r="H117" s="12" t="n">
        <v>1</v>
      </c>
      <c r="I117" s="10" t="inlineStr">
        <is>
          <t>single</t>
        </is>
      </c>
      <c r="J117" s="14" t="inlineStr">
        <is>
          <t>high</t>
        </is>
      </c>
      <c r="K117" s="10" t="inlineStr">
        <is>
          <t>taxonomic_containment</t>
        </is>
      </c>
      <c r="L117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17" s="10" t="n">
        <v>81875.773</v>
      </c>
    </row>
    <row r="118" ht="51" customHeight="1">
      <c r="A118" s="10" t="inlineStr">
        <is>
          <t>LME_035</t>
        </is>
      </c>
      <c r="B118" s="11" t="inlineStr">
        <is>
          <t>35_412_Gulf_of_Thailande_(1963)</t>
        </is>
      </c>
      <c r="C118" s="11" t="inlineStr">
        <is>
          <t>Penaeus monodon</t>
        </is>
      </c>
      <c r="D118" s="10" t="inlineStr">
        <is>
          <t>Giant tiger prawn</t>
        </is>
      </c>
      <c r="E118" s="10" t="inlineStr">
        <is>
          <t>Shrimps</t>
        </is>
      </c>
      <c r="F118" s="10" t="inlineStr">
        <is>
          <t>Crustaceans</t>
        </is>
      </c>
      <c r="G118" s="11" t="inlineStr">
        <is>
          <t>Shrimps</t>
        </is>
      </c>
      <c r="H118" s="12" t="n">
        <v>1</v>
      </c>
      <c r="I118" s="10" t="inlineStr">
        <is>
          <t>single</t>
        </is>
      </c>
      <c r="J118" s="14" t="inlineStr">
        <is>
          <t>high</t>
        </is>
      </c>
      <c r="K118" s="10" t="inlineStr">
        <is>
          <t>taxonomic_containment</t>
        </is>
      </c>
      <c r="L118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18" s="10" t="n">
        <v>80794.781</v>
      </c>
    </row>
    <row r="119" ht="51" customHeight="1">
      <c r="A119" s="10" t="inlineStr">
        <is>
          <t>LME_035</t>
        </is>
      </c>
      <c r="B119" s="11" t="inlineStr">
        <is>
          <t>35_412_Gulf_of_Thailande_(1963)</t>
        </is>
      </c>
      <c r="C119" s="11" t="inlineStr">
        <is>
          <t>Terapon</t>
        </is>
      </c>
      <c r="D119" s="10" t="inlineStr">
        <is>
          <t>Terapons</t>
        </is>
      </c>
      <c r="E119" s="10" t="inlineStr">
        <is>
          <t>Medium demersals (30 - 89 cm)</t>
        </is>
      </c>
      <c r="F119" s="10" t="inlineStr">
        <is>
          <t>Perch-likes</t>
        </is>
      </c>
      <c r="G119" s="11" t="inlineStr">
        <is>
          <t>Med.dem.benth.</t>
        </is>
      </c>
      <c r="H119" s="12" t="n">
        <v>1</v>
      </c>
      <c r="I119" s="10" t="inlineStr">
        <is>
          <t>single</t>
        </is>
      </c>
      <c r="J119" s="13" t="inlineStr">
        <is>
          <t>medium</t>
        </is>
      </c>
      <c r="K119" s="10" t="inlineStr">
        <is>
          <t>habitat_size_guild</t>
        </is>
      </c>
      <c r="L119" s="11" t="inlineStr">
        <is>
          <t>Terapontid; bottom-associated benthivore/omnivore in estuarine/coastal habitat. Reviewed against the Ecobase group name and diet; the original paper p.130 lists important components but does not settle this taxon.</t>
        </is>
      </c>
      <c r="M119" s="10" t="n">
        <v>77932.215</v>
      </c>
    </row>
    <row r="120" ht="51" customHeight="1">
      <c r="A120" s="10" t="inlineStr">
        <is>
          <t>LME_035</t>
        </is>
      </c>
      <c r="B120" s="11" t="inlineStr">
        <is>
          <t>35_412_Gulf_of_Thailande_(1963)</t>
        </is>
      </c>
      <c r="C120" s="11" t="inlineStr">
        <is>
          <t>Polynemidae</t>
        </is>
      </c>
      <c r="D120" s="10" t="inlineStr">
        <is>
          <t>Threadfins</t>
        </is>
      </c>
      <c r="E120" s="10" t="inlineStr">
        <is>
          <t>Small demersals (&lt;30 cm)</t>
        </is>
      </c>
      <c r="F120" s="10" t="inlineStr">
        <is>
          <t>Perch-likes</t>
        </is>
      </c>
      <c r="G120" s="11" t="inlineStr">
        <is>
          <t>Sm.dem.benth.</t>
        </is>
      </c>
      <c r="H120" s="12" t="n">
        <v>1</v>
      </c>
      <c r="I120" s="10" t="inlineStr">
        <is>
          <t>single</t>
        </is>
      </c>
      <c r="J120" s="13" t="inlineStr">
        <is>
          <t>medium</t>
        </is>
      </c>
      <c r="K120" s="10" t="inlineStr">
        <is>
          <t>habitat_size_guild</t>
        </is>
      </c>
      <c r="L120" s="11" t="inlineStr">
        <is>
          <t>Threadfin use pectoral filaments to detect benthic prey on muddy bottoms; classed as small benthivore. Reviewed against the Ecobase group name and diet; the original paper p.130 lists important components but does not settle this taxon.</t>
        </is>
      </c>
      <c r="M120" s="10" t="n">
        <v>77893.985</v>
      </c>
    </row>
    <row r="121" ht="51" customHeight="1">
      <c r="A121" s="10" t="inlineStr">
        <is>
          <t>LME_035</t>
        </is>
      </c>
      <c r="B121" s="11" t="inlineStr">
        <is>
          <t>35_412_Gulf_of_Thailande_(1963)</t>
        </is>
      </c>
      <c r="C121" s="11" t="inlineStr">
        <is>
          <t>Cynoglossus</t>
        </is>
      </c>
      <c r="D121" s="10" t="inlineStr">
        <is>
          <t>Tonguesoles</t>
        </is>
      </c>
      <c r="E121" s="10" t="inlineStr">
        <is>
          <t>Small to medium flatfishes (&lt;90 cm)</t>
        </is>
      </c>
      <c r="F121" s="10" t="inlineStr">
        <is>
          <t>Flatfishes</t>
        </is>
      </c>
      <c r="G121" s="11" t="inlineStr">
        <is>
          <t>Flatfish</t>
        </is>
      </c>
      <c r="H121" s="12" t="n">
        <v>1</v>
      </c>
      <c r="I121" s="10" t="inlineStr">
        <is>
          <t>single</t>
        </is>
      </c>
      <c r="J121" s="14" t="inlineStr">
        <is>
          <t>high</t>
        </is>
      </c>
      <c r="K121" s="10" t="inlineStr">
        <is>
          <t>taxonomic_containment</t>
        </is>
      </c>
      <c r="L12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1" s="10" t="n">
        <v>72493.292</v>
      </c>
    </row>
    <row r="122" ht="51" customHeight="1">
      <c r="A122" s="10" t="inlineStr">
        <is>
          <t>LME_035</t>
        </is>
      </c>
      <c r="B122" s="11" t="inlineStr">
        <is>
          <t>35_412_Gulf_of_Thailande_(1963)</t>
        </is>
      </c>
      <c r="C122" s="11" t="inlineStr">
        <is>
          <t>Leiognathus</t>
        </is>
      </c>
      <c r="D122" s="10" t="inlineStr">
        <is>
          <t>Ponyfishes</t>
        </is>
      </c>
      <c r="E122" s="10" t="inlineStr">
        <is>
          <t>Small benthopelagics (&lt;30 cm)</t>
        </is>
      </c>
      <c r="F122" s="10" t="inlineStr">
        <is>
          <t>Perch-likes</t>
        </is>
      </c>
      <c r="G122" s="11" t="inlineStr">
        <is>
          <t>Ponyfishes</t>
        </is>
      </c>
      <c r="H122" s="12" t="n">
        <v>1</v>
      </c>
      <c r="I122" s="10" t="inlineStr">
        <is>
          <t>single</t>
        </is>
      </c>
      <c r="J122" s="14" t="inlineStr">
        <is>
          <t>high</t>
        </is>
      </c>
      <c r="K122" s="10" t="inlineStr">
        <is>
          <t>explicit_member</t>
        </is>
      </c>
      <c r="L12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2" s="10" t="n">
        <v>71930.492</v>
      </c>
    </row>
    <row r="123" ht="36" customHeight="1">
      <c r="A123" s="10" t="inlineStr">
        <is>
          <t>LME_035</t>
        </is>
      </c>
      <c r="B123" s="11" t="inlineStr">
        <is>
          <t>35_412_Gulf_of_Thailande_(1963)</t>
        </is>
      </c>
      <c r="C123" s="11" t="inlineStr">
        <is>
          <t>Tetraodontidae</t>
        </is>
      </c>
      <c r="D123" s="10" t="inlineStr">
        <is>
          <t>Puffers, tobies</t>
        </is>
      </c>
      <c r="E123" s="10" t="inlineStr">
        <is>
          <t>Large reef assoc. fish (&gt;=90 cm)</t>
        </is>
      </c>
      <c r="F123" s="10" t="inlineStr">
        <is>
          <t>Other fishes &amp; inverts</t>
        </is>
      </c>
      <c r="G123" s="11" t="inlineStr">
        <is>
          <t>Med.dem.benth.</t>
        </is>
      </c>
      <c r="H123" s="12" t="n">
        <v>1</v>
      </c>
      <c r="I123" s="10" t="inlineStr">
        <is>
          <t>single</t>
        </is>
      </c>
      <c r="J123" s="15" t="inlineStr">
        <is>
          <t>low</t>
        </is>
      </c>
      <c r="K123" s="10" t="inlineStr">
        <is>
          <t>analogue</t>
        </is>
      </c>
      <c r="L123" s="11" t="inlineStr">
        <is>
          <t>Pufferfishes predominantly crush benthic invertebrates and fit the medium demersal benthivore pool; provisional ecological analogue because p.130 does not explicitly list this taxon.</t>
        </is>
      </c>
      <c r="M123" s="10" t="n">
        <v>71255.164</v>
      </c>
    </row>
    <row r="124" ht="66" customHeight="1">
      <c r="A124" s="10" t="inlineStr">
        <is>
          <t>LME_035</t>
        </is>
      </c>
      <c r="B124" s="11" t="inlineStr">
        <is>
          <t>35_412_Gulf_of_Thailande_(1963)</t>
        </is>
      </c>
      <c r="C124" s="11" t="inlineStr">
        <is>
          <t>Seriolina nigrofasciata</t>
        </is>
      </c>
      <c r="D124" s="10" t="inlineStr">
        <is>
          <t>Blackbanded trevally</t>
        </is>
      </c>
      <c r="E124" s="10" t="inlineStr">
        <is>
          <t>Medium reef assoc. fish (30 - 89 cm)</t>
        </is>
      </c>
      <c r="F124" s="10" t="inlineStr">
        <is>
          <t>Perch-likes</t>
        </is>
      </c>
      <c r="G124" s="11" t="inlineStr">
        <is>
          <t>Lg. piscivores</t>
        </is>
      </c>
      <c r="H124" s="12" t="n">
        <v>1</v>
      </c>
      <c r="I124" s="10" t="inlineStr">
        <is>
          <t>model_catch</t>
        </is>
      </c>
      <c r="J124" s="13" t="inlineStr">
        <is>
          <t>medium</t>
        </is>
      </c>
      <c r="K124" s="10" t="inlineStr">
        <is>
          <t>composite_split</t>
        </is>
      </c>
      <c r="L124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24" s="10" t="n">
        <v>70747.88</v>
      </c>
    </row>
    <row r="125" ht="66" customHeight="1">
      <c r="A125" s="10" t="inlineStr">
        <is>
          <t>LME_035</t>
        </is>
      </c>
      <c r="B125" s="11" t="inlineStr">
        <is>
          <t>35_412_Gulf_of_Thailande_(1963)</t>
        </is>
      </c>
      <c r="C125" s="11" t="inlineStr">
        <is>
          <t>Seriolina nigrofasciata</t>
        </is>
      </c>
      <c r="D125" s="10" t="inlineStr">
        <is>
          <t>Blackbanded trevally</t>
        </is>
      </c>
      <c r="E125" s="10" t="inlineStr">
        <is>
          <t>Medium reef assoc. fish (30 - 89 cm)</t>
        </is>
      </c>
      <c r="F125" s="10" t="inlineStr">
        <is>
          <t>Perch-likes</t>
        </is>
      </c>
      <c r="G125" s="11" t="inlineStr">
        <is>
          <t>Juv.Lg.Pisciv.</t>
        </is>
      </c>
      <c r="H125" s="12" t="n">
        <v>0</v>
      </c>
      <c r="I125" s="10" t="inlineStr">
        <is>
          <t>model_catch</t>
        </is>
      </c>
      <c r="J125" s="13" t="inlineStr">
        <is>
          <t>medium</t>
        </is>
      </c>
      <c r="K125" s="10" t="inlineStr">
        <is>
          <t>composite_split</t>
        </is>
      </c>
      <c r="L125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25" s="10" t="n">
        <v>70747.88</v>
      </c>
    </row>
    <row r="126" ht="51" customHeight="1">
      <c r="A126" s="10" t="inlineStr">
        <is>
          <t>LME_035</t>
        </is>
      </c>
      <c r="B126" s="11" t="inlineStr">
        <is>
          <t>35_412_Gulf_of_Thailande_(1963)</t>
        </is>
      </c>
      <c r="C126" s="11" t="inlineStr">
        <is>
          <t>Miscellaneous aquatic invertebrates</t>
        </is>
      </c>
      <c r="D126" s="10" t="inlineStr">
        <is>
          <t>Aquatic invertebrates</t>
        </is>
      </c>
      <c r="E126" s="10" t="inlineStr">
        <is>
          <t>Other demersal invertebrates</t>
        </is>
      </c>
      <c r="F126" s="10" t="inlineStr">
        <is>
          <t>Other fishes &amp; inverts</t>
        </is>
      </c>
      <c r="G126" s="11" t="inlineStr">
        <is>
          <t>Benthos</t>
        </is>
      </c>
      <c r="H126" s="12" t="n">
        <v>1</v>
      </c>
      <c r="I126" s="10" t="inlineStr">
        <is>
          <t>single</t>
        </is>
      </c>
      <c r="J126" s="13" t="inlineStr">
        <is>
          <t>medium</t>
        </is>
      </c>
      <c r="K126" s="10" t="inlineStr">
        <is>
          <t>habitat_size_guild</t>
        </is>
      </c>
      <c r="L126" s="11" t="inlineStr">
        <is>
          <t>Generic unidentified aquatic invertebrate landings; matches Benthos's role as the model's residual benthic-invertebrate compartment. Reviewed against the Ecobase group name and diet; the original paper p.130 lists important components but does not settle this taxon.</t>
        </is>
      </c>
      <c r="M126" s="10" t="n">
        <v>66279.977</v>
      </c>
    </row>
    <row r="127" ht="51" customHeight="1">
      <c r="A127" s="10" t="inlineStr">
        <is>
          <t>LME_035</t>
        </is>
      </c>
      <c r="B127" s="11" t="inlineStr">
        <is>
          <t>35_412_Gulf_of_Thailande_(1963)</t>
        </is>
      </c>
      <c r="C127" s="11" t="inlineStr">
        <is>
          <t>Parapenaeopsis</t>
        </is>
      </c>
      <c r="D127" s="10" t="inlineStr">
        <is>
          <t>Leafy-legged shrimps</t>
        </is>
      </c>
      <c r="E127" s="10" t="inlineStr">
        <is>
          <t>Shrimps</t>
        </is>
      </c>
      <c r="F127" s="10" t="inlineStr">
        <is>
          <t>Crustaceans</t>
        </is>
      </c>
      <c r="G127" s="11" t="inlineStr">
        <is>
          <t>Shrimps</t>
        </is>
      </c>
      <c r="H127" s="12" t="n">
        <v>1</v>
      </c>
      <c r="I127" s="10" t="inlineStr">
        <is>
          <t>single</t>
        </is>
      </c>
      <c r="J127" s="14" t="inlineStr">
        <is>
          <t>high</t>
        </is>
      </c>
      <c r="K127" s="10" t="inlineStr">
        <is>
          <t>taxonomic_containment</t>
        </is>
      </c>
      <c r="L127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27" s="10" t="n">
        <v>62355.172</v>
      </c>
    </row>
    <row r="128" ht="51" customHeight="1">
      <c r="A128" s="10" t="inlineStr">
        <is>
          <t>LME_035</t>
        </is>
      </c>
      <c r="B128" s="11" t="inlineStr">
        <is>
          <t>35_412_Gulf_of_Thailande_(1963)</t>
        </is>
      </c>
      <c r="C128" s="11" t="inlineStr">
        <is>
          <t>Lutjanus</t>
        </is>
      </c>
      <c r="D128" s="10" t="inlineStr">
        <is>
          <t>Snappers</t>
        </is>
      </c>
      <c r="E128" s="10" t="inlineStr">
        <is>
          <t>Medium reef assoc. fish (30 - 89 cm)</t>
        </is>
      </c>
      <c r="F128" s="10" t="inlineStr">
        <is>
          <t>Perch-likes</t>
        </is>
      </c>
      <c r="G128" s="11" t="inlineStr">
        <is>
          <t>Grouper/snapper</t>
        </is>
      </c>
      <c r="H128" s="12" t="n">
        <v>1</v>
      </c>
      <c r="I128" s="10" t="inlineStr">
        <is>
          <t>model_catch</t>
        </is>
      </c>
      <c r="J128" s="13" t="inlineStr">
        <is>
          <t>medium</t>
        </is>
      </c>
      <c r="K128" s="10" t="inlineStr">
        <is>
          <t>composite_split</t>
        </is>
      </c>
      <c r="L12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8" s="10" t="n">
        <v>60526.458</v>
      </c>
    </row>
    <row r="129" ht="51" customHeight="1">
      <c r="A129" s="10" t="inlineStr">
        <is>
          <t>LME_035</t>
        </is>
      </c>
      <c r="B129" s="11" t="inlineStr">
        <is>
          <t>35_412_Gulf_of_Thailande_(1963)</t>
        </is>
      </c>
      <c r="C129" s="11" t="inlineStr">
        <is>
          <t>Lutjanus</t>
        </is>
      </c>
      <c r="D129" s="10" t="inlineStr">
        <is>
          <t>Snappers</t>
        </is>
      </c>
      <c r="E129" s="10" t="inlineStr">
        <is>
          <t>Medium reef assoc. fish (30 - 89 cm)</t>
        </is>
      </c>
      <c r="F129" s="10" t="inlineStr">
        <is>
          <t>Perch-likes</t>
        </is>
      </c>
      <c r="G129" s="11" t="inlineStr">
        <is>
          <t>Juv. groupers</t>
        </is>
      </c>
      <c r="H129" s="12" t="n">
        <v>0</v>
      </c>
      <c r="I129" s="10" t="inlineStr">
        <is>
          <t>model_catch</t>
        </is>
      </c>
      <c r="J129" s="13" t="inlineStr">
        <is>
          <t>medium</t>
        </is>
      </c>
      <c r="K129" s="10" t="inlineStr">
        <is>
          <t>composite_split</t>
        </is>
      </c>
      <c r="L12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9" s="10" t="n">
        <v>60526.458</v>
      </c>
    </row>
    <row r="130" ht="51" customHeight="1">
      <c r="A130" s="10" t="inlineStr">
        <is>
          <t>LME_035</t>
        </is>
      </c>
      <c r="B130" s="11" t="inlineStr">
        <is>
          <t>35_412_Gulf_of_Thailande_(1963)</t>
        </is>
      </c>
      <c r="C130" s="11" t="inlineStr">
        <is>
          <t>Cephalopoda</t>
        </is>
      </c>
      <c r="D130" s="10" t="inlineStr">
        <is>
          <t>Squids, cuttlefishes, octopuses</t>
        </is>
      </c>
      <c r="E130" s="10" t="inlineStr">
        <is>
          <t>Cephalopods</t>
        </is>
      </c>
      <c r="F130" s="10" t="inlineStr">
        <is>
          <t>Other fishes &amp; inverts</t>
        </is>
      </c>
      <c r="G130" s="11" t="inlineStr">
        <is>
          <t>Cephalopods</t>
        </is>
      </c>
      <c r="H130" s="12" t="n">
        <v>1</v>
      </c>
      <c r="I130" s="10" t="inlineStr">
        <is>
          <t>single</t>
        </is>
      </c>
      <c r="J130" s="14" t="inlineStr">
        <is>
          <t>high</t>
        </is>
      </c>
      <c r="K130" s="10" t="inlineStr">
        <is>
          <t>taxonomic_containment</t>
        </is>
      </c>
      <c r="L130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130" s="10" t="n">
        <v>60321.072</v>
      </c>
    </row>
    <row r="131" ht="36" customHeight="1">
      <c r="A131" s="10" t="inlineStr">
        <is>
          <t>LME_035</t>
        </is>
      </c>
      <c r="B131" s="11" t="inlineStr">
        <is>
          <t>35_412_Gulf_of_Thailande_(1963)</t>
        </is>
      </c>
      <c r="C131" s="11" t="inlineStr">
        <is>
          <t>Pristipomoides</t>
        </is>
      </c>
      <c r="D131" s="10" t="inlineStr">
        <is>
          <t>Jobfishes</t>
        </is>
      </c>
      <c r="E131" s="10" t="inlineStr">
        <is>
          <t>Medium demersals (30 - 89 cm)</t>
        </is>
      </c>
      <c r="F131" s="10" t="inlineStr">
        <is>
          <t>Perch-likes</t>
        </is>
      </c>
      <c r="G131" s="11" t="inlineStr">
        <is>
          <t>Grouper/snapper</t>
        </is>
      </c>
      <c r="H131" s="12" t="n">
        <v>1</v>
      </c>
      <c r="I131" s="10" t="inlineStr">
        <is>
          <t>model_catch</t>
        </is>
      </c>
      <c r="J131" s="13" t="inlineStr">
        <is>
          <t>medium</t>
        </is>
      </c>
      <c r="K131" s="10" t="inlineStr">
        <is>
          <t>composite_split</t>
        </is>
      </c>
      <c r="L131" s="11" t="inlineStr">
        <is>
          <t>Source p.130 explicitly includes juvenile grouper/snappers; the shortened Juv. groupers JSON label must not omit juvenile snappers.</t>
        </is>
      </c>
      <c r="M131" s="10" t="n">
        <v>58553.784</v>
      </c>
    </row>
    <row r="132" ht="36" customHeight="1">
      <c r="A132" s="10" t="inlineStr">
        <is>
          <t>LME_035</t>
        </is>
      </c>
      <c r="B132" s="11" t="inlineStr">
        <is>
          <t>35_412_Gulf_of_Thailande_(1963)</t>
        </is>
      </c>
      <c r="C132" s="11" t="inlineStr">
        <is>
          <t>Pristipomoides</t>
        </is>
      </c>
      <c r="D132" s="10" t="inlineStr">
        <is>
          <t>Jobfishes</t>
        </is>
      </c>
      <c r="E132" s="10" t="inlineStr">
        <is>
          <t>Medium demersals (30 - 89 cm)</t>
        </is>
      </c>
      <c r="F132" s="10" t="inlineStr">
        <is>
          <t>Perch-likes</t>
        </is>
      </c>
      <c r="G132" s="11" t="inlineStr">
        <is>
          <t>Juv. groupers</t>
        </is>
      </c>
      <c r="H132" s="12" t="n">
        <v>0</v>
      </c>
      <c r="I132" s="10" t="inlineStr">
        <is>
          <t>model_catch</t>
        </is>
      </c>
      <c r="J132" s="13" t="inlineStr">
        <is>
          <t>medium</t>
        </is>
      </c>
      <c r="K132" s="10" t="inlineStr">
        <is>
          <t>composite_split</t>
        </is>
      </c>
      <c r="L132" s="11" t="inlineStr">
        <is>
          <t>Source p.130 explicitly includes juvenile grouper/snappers; the shortened Juv. groupers JSON label must not omit juvenile snappers.</t>
        </is>
      </c>
      <c r="M132" s="10" t="n">
        <v>58553.784</v>
      </c>
    </row>
    <row r="133" ht="51" customHeight="1">
      <c r="A133" s="10" t="inlineStr">
        <is>
          <t>LME_035</t>
        </is>
      </c>
      <c r="B133" s="11" t="inlineStr">
        <is>
          <t>35_412_Gulf_of_Thailande_(1963)</t>
        </is>
      </c>
      <c r="C133" s="11" t="inlineStr">
        <is>
          <t>Lutjanus quinquelineatus</t>
        </is>
      </c>
      <c r="D133" s="10" t="inlineStr">
        <is>
          <t>Five-lined snapper</t>
        </is>
      </c>
      <c r="E133" s="10" t="inlineStr">
        <is>
          <t>Medium reef assoc. fish (30 - 89 cm)</t>
        </is>
      </c>
      <c r="F133" s="10" t="inlineStr">
        <is>
          <t>Perch-likes</t>
        </is>
      </c>
      <c r="G133" s="11" t="inlineStr">
        <is>
          <t>Grouper/snapper</t>
        </is>
      </c>
      <c r="H133" s="12" t="n">
        <v>1</v>
      </c>
      <c r="I133" s="10" t="inlineStr">
        <is>
          <t>model_catch</t>
        </is>
      </c>
      <c r="J133" s="13" t="inlineStr">
        <is>
          <t>medium</t>
        </is>
      </c>
      <c r="K133" s="10" t="inlineStr">
        <is>
          <t>composite_split</t>
        </is>
      </c>
      <c r="L13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33" s="10" t="n">
        <v>56414.901</v>
      </c>
    </row>
    <row r="134" ht="51" customHeight="1">
      <c r="A134" s="10" t="inlineStr">
        <is>
          <t>LME_035</t>
        </is>
      </c>
      <c r="B134" s="11" t="inlineStr">
        <is>
          <t>35_412_Gulf_of_Thailande_(1963)</t>
        </is>
      </c>
      <c r="C134" s="11" t="inlineStr">
        <is>
          <t>Lutjanus quinquelineatus</t>
        </is>
      </c>
      <c r="D134" s="10" t="inlineStr">
        <is>
          <t>Five-lined snapper</t>
        </is>
      </c>
      <c r="E134" s="10" t="inlineStr">
        <is>
          <t>Medium reef assoc. fish (30 - 89 cm)</t>
        </is>
      </c>
      <c r="F134" s="10" t="inlineStr">
        <is>
          <t>Perch-likes</t>
        </is>
      </c>
      <c r="G134" s="11" t="inlineStr">
        <is>
          <t>Juv. groupers</t>
        </is>
      </c>
      <c r="H134" s="12" t="n">
        <v>0</v>
      </c>
      <c r="I134" s="10" t="inlineStr">
        <is>
          <t>model_catch</t>
        </is>
      </c>
      <c r="J134" s="13" t="inlineStr">
        <is>
          <t>medium</t>
        </is>
      </c>
      <c r="K134" s="10" t="inlineStr">
        <is>
          <t>composite_split</t>
        </is>
      </c>
      <c r="L13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34" s="10" t="n">
        <v>56414.901</v>
      </c>
    </row>
    <row r="135" ht="66" customHeight="1">
      <c r="A135" s="10" t="inlineStr">
        <is>
          <t>LME_035</t>
        </is>
      </c>
      <c r="B135" s="11" t="inlineStr">
        <is>
          <t>35_412_Gulf_of_Thailande_(1963)</t>
        </is>
      </c>
      <c r="C135" s="11" t="inlineStr">
        <is>
          <t>Siganus</t>
        </is>
      </c>
      <c r="D135" s="10" t="inlineStr">
        <is>
          <t>Spinefoots</t>
        </is>
      </c>
      <c r="E135" s="10" t="inlineStr">
        <is>
          <t>Medium reef assoc. fish (30 - 89 cm)</t>
        </is>
      </c>
      <c r="F135" s="10" t="inlineStr">
        <is>
          <t>Perch-likes</t>
        </is>
      </c>
      <c r="G135" s="11" t="inlineStr">
        <is>
          <t>O.fish</t>
        </is>
      </c>
      <c r="H135" s="12" t="n">
        <v>1</v>
      </c>
      <c r="I135" s="10" t="inlineStr">
        <is>
          <t>single</t>
        </is>
      </c>
      <c r="J135" s="15" t="inlineStr">
        <is>
          <t>low</t>
        </is>
      </c>
      <c r="K135" s="10" t="inlineStr">
        <is>
          <t>analogue</t>
        </is>
      </c>
      <c r="L135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35" s="10" t="n">
        <v>55887.884</v>
      </c>
    </row>
    <row r="136" ht="51" customHeight="1">
      <c r="A136" s="10" t="inlineStr">
        <is>
          <t>LME_035</t>
        </is>
      </c>
      <c r="B136" s="11" t="inlineStr">
        <is>
          <t>35_412_Gulf_of_Thailande_(1963)</t>
        </is>
      </c>
      <c r="C136" s="11" t="inlineStr">
        <is>
          <t>Nemipterus japonicus</t>
        </is>
      </c>
      <c r="D136" s="10" t="inlineStr">
        <is>
          <t>Japanese threadfin bream</t>
        </is>
      </c>
      <c r="E136" s="10" t="inlineStr">
        <is>
          <t>Small demersals (&lt;30 cm)</t>
        </is>
      </c>
      <c r="F136" s="10" t="inlineStr">
        <is>
          <t>Perch-likes</t>
        </is>
      </c>
      <c r="G136" s="11" t="inlineStr">
        <is>
          <t>Sm.dem.benth.</t>
        </is>
      </c>
      <c r="H136" s="12" t="n">
        <v>1</v>
      </c>
      <c r="I136" s="10" t="inlineStr">
        <is>
          <t>single</t>
        </is>
      </c>
      <c r="J136" s="14" t="inlineStr">
        <is>
          <t>high</t>
        </is>
      </c>
      <c r="K136" s="10" t="inlineStr">
        <is>
          <t>taxonomic_containment</t>
        </is>
      </c>
      <c r="L13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36" s="10" t="n">
        <v>54847.974</v>
      </c>
    </row>
    <row r="137" ht="66" customHeight="1">
      <c r="A137" s="10" t="inlineStr">
        <is>
          <t>LME_035</t>
        </is>
      </c>
      <c r="B137" s="11" t="inlineStr">
        <is>
          <t>35_412_Gulf_of_Thailande_(1963)</t>
        </is>
      </c>
      <c r="C137" s="11" t="inlineStr">
        <is>
          <t>Mugil</t>
        </is>
      </c>
      <c r="D137" s="10" t="inlineStr">
        <is>
          <t>Grey mullets</t>
        </is>
      </c>
      <c r="E137" s="10" t="inlineStr">
        <is>
          <t>Medium demersals (30 - 89 cm)</t>
        </is>
      </c>
      <c r="F137" s="10" t="inlineStr">
        <is>
          <t>Perch-likes</t>
        </is>
      </c>
      <c r="G137" s="11" t="inlineStr">
        <is>
          <t>O.fish</t>
        </is>
      </c>
      <c r="H137" s="12" t="n">
        <v>1</v>
      </c>
      <c r="I137" s="10" t="inlineStr">
        <is>
          <t>single</t>
        </is>
      </c>
      <c r="J137" s="15" t="inlineStr">
        <is>
          <t>low</t>
        </is>
      </c>
      <c r="K137" s="10" t="inlineStr">
        <is>
          <t>analogue</t>
        </is>
      </c>
      <c r="L137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37" s="10" t="n">
        <v>54179.339</v>
      </c>
    </row>
    <row r="138" ht="66" customHeight="1">
      <c r="A138" s="10" t="inlineStr">
        <is>
          <t>LME_035</t>
        </is>
      </c>
      <c r="B138" s="11" t="inlineStr">
        <is>
          <t>35_412_Gulf_of_Thailande_(1963)</t>
        </is>
      </c>
      <c r="C138" s="11" t="inlineStr">
        <is>
          <t>Ilisha elongata</t>
        </is>
      </c>
      <c r="D138" s="10" t="inlineStr">
        <is>
          <t>Elongate ilisha</t>
        </is>
      </c>
      <c r="E138" s="10" t="inlineStr">
        <is>
          <t>Medium pelagics (30 - 89 cm)</t>
        </is>
      </c>
      <c r="F138" s="10" t="inlineStr">
        <is>
          <t>Herring-likes</t>
        </is>
      </c>
      <c r="G138" s="11" t="inlineStr">
        <is>
          <t>Sm. pelagics</t>
        </is>
      </c>
      <c r="H138" s="12" t="n">
        <v>1</v>
      </c>
      <c r="I138" s="10" t="inlineStr">
        <is>
          <t>single</t>
        </is>
      </c>
      <c r="J138" s="13" t="inlineStr">
        <is>
          <t>medium</t>
        </is>
      </c>
      <c r="K138" s="10" t="inlineStr">
        <is>
          <t>habitat_size_guild</t>
        </is>
      </c>
      <c r="L138" s="11" t="inlineStr">
        <is>
          <t>Pristigasteridae (herring-like) schooling pelagic; closest ecological match despite the medium-size SAU tag, as no separate medium-pelagic compartment exists. Reviewed against the Ecobase group name and diet; the original paper p.130 lists important components but does not settle this taxon.</t>
        </is>
      </c>
      <c r="M138" s="10" t="n">
        <v>54146.702</v>
      </c>
    </row>
    <row r="139" ht="66" customHeight="1">
      <c r="A139" s="10" t="inlineStr">
        <is>
          <t>LME_035</t>
        </is>
      </c>
      <c r="B139" s="11" t="inlineStr">
        <is>
          <t>35_412_Gulf_of_Thailande_(1963)</t>
        </is>
      </c>
      <c r="C139" s="11" t="inlineStr">
        <is>
          <t>Carangoides</t>
        </is>
      </c>
      <c r="D139" s="10" t="inlineStr">
        <is>
          <t>Trevallies</t>
        </is>
      </c>
      <c r="E139" s="10" t="inlineStr">
        <is>
          <t>Medium reef assoc. fish (30 - 89 cm)</t>
        </is>
      </c>
      <c r="F139" s="10" t="inlineStr">
        <is>
          <t>Perch-likes</t>
        </is>
      </c>
      <c r="G139" s="11" t="inlineStr">
        <is>
          <t>Lg. piscivores</t>
        </is>
      </c>
      <c r="H139" s="12" t="n">
        <v>1</v>
      </c>
      <c r="I139" s="10" t="inlineStr">
        <is>
          <t>model_catch</t>
        </is>
      </c>
      <c r="J139" s="13" t="inlineStr">
        <is>
          <t>medium</t>
        </is>
      </c>
      <c r="K139" s="10" t="inlineStr">
        <is>
          <t>composite_split</t>
        </is>
      </c>
      <c r="L139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39" s="10" t="n">
        <v>49887.076</v>
      </c>
    </row>
    <row r="140" ht="66" customHeight="1">
      <c r="A140" s="10" t="inlineStr">
        <is>
          <t>LME_035</t>
        </is>
      </c>
      <c r="B140" s="11" t="inlineStr">
        <is>
          <t>35_412_Gulf_of_Thailande_(1963)</t>
        </is>
      </c>
      <c r="C140" s="11" t="inlineStr">
        <is>
          <t>Carangoides</t>
        </is>
      </c>
      <c r="D140" s="10" t="inlineStr">
        <is>
          <t>Trevallies</t>
        </is>
      </c>
      <c r="E140" s="10" t="inlineStr">
        <is>
          <t>Medium reef assoc. fish (30 - 89 cm)</t>
        </is>
      </c>
      <c r="F140" s="10" t="inlineStr">
        <is>
          <t>Perch-likes</t>
        </is>
      </c>
      <c r="G140" s="11" t="inlineStr">
        <is>
          <t>Juv.Lg.Pisciv.</t>
        </is>
      </c>
      <c r="H140" s="12" t="n">
        <v>0</v>
      </c>
      <c r="I140" s="10" t="inlineStr">
        <is>
          <t>model_catch</t>
        </is>
      </c>
      <c r="J140" s="13" t="inlineStr">
        <is>
          <t>medium</t>
        </is>
      </c>
      <c r="K140" s="10" t="inlineStr">
        <is>
          <t>composite_split</t>
        </is>
      </c>
      <c r="L140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40" s="10" t="n">
        <v>49887.076</v>
      </c>
    </row>
    <row r="141" ht="66" customHeight="1">
      <c r="A141" s="10" t="inlineStr">
        <is>
          <t>LME_035</t>
        </is>
      </c>
      <c r="B141" s="11" t="inlineStr">
        <is>
          <t>35_412_Gulf_of_Thailande_(1963)</t>
        </is>
      </c>
      <c r="C141" s="11" t="inlineStr">
        <is>
          <t>Tegillarca granosa</t>
        </is>
      </c>
      <c r="D141" s="10" t="inlineStr">
        <is>
          <t>Granular ark</t>
        </is>
      </c>
      <c r="E141" s="10" t="inlineStr">
        <is>
          <t>Other demersal invertebrates</t>
        </is>
      </c>
      <c r="F141" s="10" t="inlineStr">
        <is>
          <t>Molluscs</t>
        </is>
      </c>
      <c r="G141" s="11" t="inlineStr">
        <is>
          <t>Molluscs</t>
        </is>
      </c>
      <c r="H141" s="12" t="n">
        <v>1</v>
      </c>
      <c r="I141" s="10" t="inlineStr">
        <is>
          <t>single</t>
        </is>
      </c>
      <c r="J141" s="14" t="inlineStr">
        <is>
          <t>high</t>
        </is>
      </c>
      <c r="K141" s="10" t="inlineStr">
        <is>
          <t>taxonomic_containment</t>
        </is>
      </c>
      <c r="L141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141" s="10" t="n">
        <v>49447.542</v>
      </c>
    </row>
    <row r="142" ht="66" customHeight="1">
      <c r="A142" s="10" t="inlineStr">
        <is>
          <t>LME_035</t>
        </is>
      </c>
      <c r="B142" s="11" t="inlineStr">
        <is>
          <t>35_412_Gulf_of_Thailande_(1963)</t>
        </is>
      </c>
      <c r="C142" s="11" t="inlineStr">
        <is>
          <t>Acanthurus</t>
        </is>
      </c>
      <c r="D142" s="10" t="inlineStr">
        <is>
          <t>Surgeonfishes</t>
        </is>
      </c>
      <c r="E142" s="10" t="inlineStr">
        <is>
          <t>Small reef assoc. fish (&lt;30 cm)</t>
        </is>
      </c>
      <c r="F142" s="10" t="inlineStr">
        <is>
          <t>Perch-likes</t>
        </is>
      </c>
      <c r="G142" s="11" t="inlineStr">
        <is>
          <t>O.fish</t>
        </is>
      </c>
      <c r="H142" s="12" t="n">
        <v>1</v>
      </c>
      <c r="I142" s="10" t="inlineStr">
        <is>
          <t>single</t>
        </is>
      </c>
      <c r="J142" s="15" t="inlineStr">
        <is>
          <t>low</t>
        </is>
      </c>
      <c r="K142" s="10" t="inlineStr">
        <is>
          <t>analogue</t>
        </is>
      </c>
      <c r="L142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42" s="10" t="n">
        <v>45887.117</v>
      </c>
    </row>
    <row r="143" ht="51" customHeight="1">
      <c r="A143" s="10" t="inlineStr">
        <is>
          <t>LME_035</t>
        </is>
      </c>
      <c r="B143" s="11" t="inlineStr">
        <is>
          <t>35_412_Gulf_of_Thailande_(1963)</t>
        </is>
      </c>
      <c r="C143" s="11" t="inlineStr">
        <is>
          <t>Mierspenaeopsis sculptilis</t>
        </is>
      </c>
      <c r="D143" s="10" t="inlineStr">
        <is>
          <t>Rainbow shrimp</t>
        </is>
      </c>
      <c r="E143" s="10" t="inlineStr">
        <is>
          <t>Shrimps</t>
        </is>
      </c>
      <c r="F143" s="10" t="inlineStr">
        <is>
          <t>Crustaceans</t>
        </is>
      </c>
      <c r="G143" s="11" t="inlineStr">
        <is>
          <t>Shrimps</t>
        </is>
      </c>
      <c r="H143" s="12" t="n">
        <v>1</v>
      </c>
      <c r="I143" s="10" t="inlineStr">
        <is>
          <t>single</t>
        </is>
      </c>
      <c r="J143" s="14" t="inlineStr">
        <is>
          <t>high</t>
        </is>
      </c>
      <c r="K143" s="10" t="inlineStr">
        <is>
          <t>taxonomic_containment</t>
        </is>
      </c>
      <c r="L143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43" s="10" t="n">
        <v>44488.748</v>
      </c>
    </row>
    <row r="144" ht="51" customHeight="1">
      <c r="A144" s="10" t="inlineStr">
        <is>
          <t>LME_035</t>
        </is>
      </c>
      <c r="B144" s="11" t="inlineStr">
        <is>
          <t>35_412_Gulf_of_Thailande_(1963)</t>
        </is>
      </c>
      <c r="C144" s="11" t="inlineStr">
        <is>
          <t>Ozius guttatus</t>
        </is>
      </c>
      <c r="D144" s="10" t="inlineStr">
        <is>
          <t>Spottedbelly rock crab</t>
        </is>
      </c>
      <c r="E144" s="10" t="inlineStr">
        <is>
          <t>Lobsters, crabs</t>
        </is>
      </c>
      <c r="F144" s="10" t="inlineStr">
        <is>
          <t>Crustaceans</t>
        </is>
      </c>
      <c r="G144" s="11" t="inlineStr">
        <is>
          <t>Crab, lobster</t>
        </is>
      </c>
      <c r="H144" s="12" t="n">
        <v>1</v>
      </c>
      <c r="I144" s="10" t="inlineStr">
        <is>
          <t>single</t>
        </is>
      </c>
      <c r="J144" s="14" t="inlineStr">
        <is>
          <t>high</t>
        </is>
      </c>
      <c r="K144" s="10" t="inlineStr">
        <is>
          <t>taxonomic_containment</t>
        </is>
      </c>
      <c r="L144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44" s="10" t="n">
        <v>42452.42</v>
      </c>
    </row>
    <row r="145" ht="66" customHeight="1">
      <c r="A145" s="10" t="inlineStr">
        <is>
          <t>LME_035</t>
        </is>
      </c>
      <c r="B145" s="11" t="inlineStr">
        <is>
          <t>35_412_Gulf_of_Thailande_(1963)</t>
        </is>
      </c>
      <c r="C145" s="11" t="inlineStr">
        <is>
          <t>Marine groundfishes not identified</t>
        </is>
      </c>
      <c r="D145" s="10" t="inlineStr">
        <is>
          <t>Groundfishes</t>
        </is>
      </c>
      <c r="E145" s="10" t="inlineStr">
        <is>
          <t>Medium demersals (30 - 89 cm)</t>
        </is>
      </c>
      <c r="F145" s="10" t="inlineStr">
        <is>
          <t>Other fishes &amp; inverts</t>
        </is>
      </c>
      <c r="G145" s="11" t="inlineStr">
        <is>
          <t>Med.dem.benth.</t>
        </is>
      </c>
      <c r="H145" s="12" t="n">
        <v>0.1081472107235337</v>
      </c>
      <c r="I145" s="10" t="inlineStr">
        <is>
          <t>catch_composition</t>
        </is>
      </c>
      <c r="J145" s="15" t="inlineStr">
        <is>
          <t>low</t>
        </is>
      </c>
      <c r="K145" s="10" t="inlineStr">
        <is>
          <t>composite_split</t>
        </is>
      </c>
      <c r="L145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5" s="10" t="n">
        <v>42037.471</v>
      </c>
    </row>
    <row r="146" ht="66" customHeight="1">
      <c r="A146" s="10" t="inlineStr">
        <is>
          <t>LME_035</t>
        </is>
      </c>
      <c r="B146" s="11" t="inlineStr">
        <is>
          <t>35_412_Gulf_of_Thailande_(1963)</t>
        </is>
      </c>
      <c r="C146" s="11" t="inlineStr">
        <is>
          <t>Marine groundfishes not identified</t>
        </is>
      </c>
      <c r="D146" s="10" t="inlineStr">
        <is>
          <t>Groundfishes</t>
        </is>
      </c>
      <c r="E146" s="10" t="inlineStr">
        <is>
          <t>Medium demersals (30 - 89 cm)</t>
        </is>
      </c>
      <c r="F146" s="10" t="inlineStr">
        <is>
          <t>Other fishes &amp; inverts</t>
        </is>
      </c>
      <c r="G146" s="11" t="inlineStr">
        <is>
          <t>Med.dem.pisc.</t>
        </is>
      </c>
      <c r="H146" s="12" t="n">
        <v>0.6906807210749666</v>
      </c>
      <c r="I146" s="10" t="inlineStr">
        <is>
          <t>catch_composition</t>
        </is>
      </c>
      <c r="J146" s="15" t="inlineStr">
        <is>
          <t>low</t>
        </is>
      </c>
      <c r="K146" s="10" t="inlineStr">
        <is>
          <t>composite_split</t>
        </is>
      </c>
      <c r="L146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6" s="10" t="n">
        <v>42037.471</v>
      </c>
    </row>
    <row r="147" ht="66" customHeight="1">
      <c r="A147" s="10" t="inlineStr">
        <is>
          <t>LME_035</t>
        </is>
      </c>
      <c r="B147" s="11" t="inlineStr">
        <is>
          <t>35_412_Gulf_of_Thailande_(1963)</t>
        </is>
      </c>
      <c r="C147" s="11" t="inlineStr">
        <is>
          <t>Marine groundfishes not identified</t>
        </is>
      </c>
      <c r="D147" s="10" t="inlineStr">
        <is>
          <t>Groundfishes</t>
        </is>
      </c>
      <c r="E147" s="10" t="inlineStr">
        <is>
          <t>Medium demersals (30 - 89 cm)</t>
        </is>
      </c>
      <c r="F147" s="10" t="inlineStr">
        <is>
          <t>Other fishes &amp; inverts</t>
        </is>
      </c>
      <c r="G147" s="11" t="inlineStr">
        <is>
          <t>Sm.dem.benth.</t>
        </is>
      </c>
      <c r="H147" s="12" t="n">
        <v>0.07518206864322603</v>
      </c>
      <c r="I147" s="10" t="inlineStr">
        <is>
          <t>catch_composition</t>
        </is>
      </c>
      <c r="J147" s="15" t="inlineStr">
        <is>
          <t>low</t>
        </is>
      </c>
      <c r="K147" s="10" t="inlineStr">
        <is>
          <t>composite_split</t>
        </is>
      </c>
      <c r="L147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7" s="10" t="n">
        <v>42037.471</v>
      </c>
    </row>
    <row r="148" ht="66" customHeight="1">
      <c r="A148" s="10" t="inlineStr">
        <is>
          <t>LME_035</t>
        </is>
      </c>
      <c r="B148" s="11" t="inlineStr">
        <is>
          <t>35_412_Gulf_of_Thailande_(1963)</t>
        </is>
      </c>
      <c r="C148" s="11" t="inlineStr">
        <is>
          <t>Marine groundfishes not identified</t>
        </is>
      </c>
      <c r="D148" s="10" t="inlineStr">
        <is>
          <t>Groundfishes</t>
        </is>
      </c>
      <c r="E148" s="10" t="inlineStr">
        <is>
          <t>Medium demersals (30 - 89 cm)</t>
        </is>
      </c>
      <c r="F148" s="10" t="inlineStr">
        <is>
          <t>Other fishes &amp; inverts</t>
        </is>
      </c>
      <c r="G148" s="11" t="inlineStr">
        <is>
          <t>Sm.dem.pisc.</t>
        </is>
      </c>
      <c r="H148" s="12" t="n">
        <v>0.09016775210067045</v>
      </c>
      <c r="I148" s="10" t="inlineStr">
        <is>
          <t>catch_composition</t>
        </is>
      </c>
      <c r="J148" s="15" t="inlineStr">
        <is>
          <t>low</t>
        </is>
      </c>
      <c r="K148" s="10" t="inlineStr">
        <is>
          <t>composite_split</t>
        </is>
      </c>
      <c r="L148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8" s="10" t="n">
        <v>42037.471</v>
      </c>
    </row>
    <row r="149" ht="66" customHeight="1">
      <c r="A149" s="10" t="inlineStr">
        <is>
          <t>LME_035</t>
        </is>
      </c>
      <c r="B149" s="11" t="inlineStr">
        <is>
          <t>35_412_Gulf_of_Thailande_(1963)</t>
        </is>
      </c>
      <c r="C149" s="11" t="inlineStr">
        <is>
          <t>Marine groundfishes not identified</t>
        </is>
      </c>
      <c r="D149" s="10" t="inlineStr">
        <is>
          <t>Groundfishes</t>
        </is>
      </c>
      <c r="E149" s="10" t="inlineStr">
        <is>
          <t>Medium demersals (30 - 89 cm)</t>
        </is>
      </c>
      <c r="F149" s="10" t="inlineStr">
        <is>
          <t>Other fishes &amp; inverts</t>
        </is>
      </c>
      <c r="G149" s="11" t="inlineStr">
        <is>
          <t>O.fish</t>
        </is>
      </c>
      <c r="H149" s="12" t="n">
        <v>0.03582224745760314</v>
      </c>
      <c r="I149" s="10" t="inlineStr">
        <is>
          <t>catch_composition</t>
        </is>
      </c>
      <c r="J149" s="15" t="inlineStr">
        <is>
          <t>low</t>
        </is>
      </c>
      <c r="K149" s="10" t="inlineStr">
        <is>
          <t>composite_split</t>
        </is>
      </c>
      <c r="L149" s="11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9" s="10" t="n">
        <v>42037.471</v>
      </c>
    </row>
    <row r="150" ht="51" customHeight="1">
      <c r="A150" s="10" t="inlineStr">
        <is>
          <t>LME_035</t>
        </is>
      </c>
      <c r="B150" s="11" t="inlineStr">
        <is>
          <t>35_412_Gulf_of_Thailande_(1963)</t>
        </is>
      </c>
      <c r="C150" s="11" t="inlineStr">
        <is>
          <t>Bothidae</t>
        </is>
      </c>
      <c r="D150" s="10" t="inlineStr">
        <is>
          <t>Lefteye flounders</t>
        </is>
      </c>
      <c r="E150" s="10" t="inlineStr">
        <is>
          <t>Small to medium flatfishes (&lt;90 cm)</t>
        </is>
      </c>
      <c r="F150" s="10" t="inlineStr">
        <is>
          <t>Flatfishes</t>
        </is>
      </c>
      <c r="G150" s="11" t="inlineStr">
        <is>
          <t>Flatfish</t>
        </is>
      </c>
      <c r="H150" s="12" t="n">
        <v>1</v>
      </c>
      <c r="I150" s="10" t="inlineStr">
        <is>
          <t>single</t>
        </is>
      </c>
      <c r="J150" s="14" t="inlineStr">
        <is>
          <t>high</t>
        </is>
      </c>
      <c r="K150" s="10" t="inlineStr">
        <is>
          <t>explicit_member</t>
        </is>
      </c>
      <c r="L15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0" s="10" t="n">
        <v>41840.193</v>
      </c>
    </row>
    <row r="151" ht="51" customHeight="1">
      <c r="A151" s="10" t="inlineStr">
        <is>
          <t>LME_035</t>
        </is>
      </c>
      <c r="B151" s="11" t="inlineStr">
        <is>
          <t>35_412_Gulf_of_Thailande_(1963)</t>
        </is>
      </c>
      <c r="C151" s="11" t="inlineStr">
        <is>
          <t>Thunnus albacares</t>
        </is>
      </c>
      <c r="D151" s="10" t="inlineStr">
        <is>
          <t>Yellowfin tuna</t>
        </is>
      </c>
      <c r="E151" s="10" t="inlineStr">
        <is>
          <t>Large pelagics (&gt;=90 cm)</t>
        </is>
      </c>
      <c r="F151" s="10" t="inlineStr">
        <is>
          <t>Tuna &amp; billfishes</t>
        </is>
      </c>
      <c r="G151" s="11" t="inlineStr">
        <is>
          <t>Tuna</t>
        </is>
      </c>
      <c r="H151" s="12" t="n">
        <v>1</v>
      </c>
      <c r="I151" s="10" t="inlineStr">
        <is>
          <t>single</t>
        </is>
      </c>
      <c r="J151" s="13" t="inlineStr">
        <is>
          <t>medium</t>
        </is>
      </c>
      <c r="K151" s="10" t="inlineStr">
        <is>
          <t>habitat_size_guild</t>
        </is>
      </c>
      <c r="L151" s="11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151" s="10" t="n">
        <v>40244.34</v>
      </c>
    </row>
    <row r="152" ht="66" customHeight="1">
      <c r="A152" s="10" t="inlineStr">
        <is>
          <t>LME_035</t>
        </is>
      </c>
      <c r="B152" s="11" t="inlineStr">
        <is>
          <t>35_412_Gulf_of_Thailande_(1963)</t>
        </is>
      </c>
      <c r="C152" s="11" t="inlineStr">
        <is>
          <t>Rachycentron canadum</t>
        </is>
      </c>
      <c r="D152" s="10" t="inlineStr">
        <is>
          <t>Cobia</t>
        </is>
      </c>
      <c r="E152" s="10" t="inlineStr">
        <is>
          <t>Large pelagics (&gt;=90 cm)</t>
        </is>
      </c>
      <c r="F152" s="10" t="inlineStr">
        <is>
          <t>Perch-likes</t>
        </is>
      </c>
      <c r="G152" s="11" t="inlineStr">
        <is>
          <t>Lg. piscivores</t>
        </is>
      </c>
      <c r="H152" s="12" t="n">
        <v>1</v>
      </c>
      <c r="I152" s="10" t="inlineStr">
        <is>
          <t>model_catch</t>
        </is>
      </c>
      <c r="J152" s="13" t="inlineStr">
        <is>
          <t>medium</t>
        </is>
      </c>
      <c r="K152" s="10" t="inlineStr">
        <is>
          <t>composite_split</t>
        </is>
      </c>
      <c r="L152" s="11" t="inlineStr">
        <is>
          <t>Cobia is a large, fast-swimming piscivorous predator with no close taxonomic relative group in this model. Reviewed against the Ecobase group name and diet; the original paper p.130 lists important components but does not settle this taxon. Catch has no age split; model catch assigns no catch to the juvenile pool.</t>
        </is>
      </c>
      <c r="M152" s="10" t="n">
        <v>39895.876</v>
      </c>
    </row>
    <row r="153" ht="66" customHeight="1">
      <c r="A153" s="10" t="inlineStr">
        <is>
          <t>LME_035</t>
        </is>
      </c>
      <c r="B153" s="11" t="inlineStr">
        <is>
          <t>35_412_Gulf_of_Thailande_(1963)</t>
        </is>
      </c>
      <c r="C153" s="11" t="inlineStr">
        <is>
          <t>Rachycentron canadum</t>
        </is>
      </c>
      <c r="D153" s="10" t="inlineStr">
        <is>
          <t>Cobia</t>
        </is>
      </c>
      <c r="E153" s="10" t="inlineStr">
        <is>
          <t>Large pelagics (&gt;=90 cm)</t>
        </is>
      </c>
      <c r="F153" s="10" t="inlineStr">
        <is>
          <t>Perch-likes</t>
        </is>
      </c>
      <c r="G153" s="11" t="inlineStr">
        <is>
          <t>Juv.Lg.Pisciv.</t>
        </is>
      </c>
      <c r="H153" s="12" t="n">
        <v>0</v>
      </c>
      <c r="I153" s="10" t="inlineStr">
        <is>
          <t>model_catch</t>
        </is>
      </c>
      <c r="J153" s="13" t="inlineStr">
        <is>
          <t>medium</t>
        </is>
      </c>
      <c r="K153" s="10" t="inlineStr">
        <is>
          <t>composite_split</t>
        </is>
      </c>
      <c r="L153" s="11" t="inlineStr">
        <is>
          <t>Cobia is a large, fast-swimming piscivorous predator with no close taxonomic relative group in this model. Reviewed against the Ecobase group name and diet; the original paper p.130 lists important components but does not settle this taxon. Catch has no age split; model catch assigns no catch to the juvenile pool.</t>
        </is>
      </c>
      <c r="M153" s="10" t="n">
        <v>39895.876</v>
      </c>
    </row>
    <row r="154" ht="51" customHeight="1">
      <c r="A154" s="10" t="inlineStr">
        <is>
          <t>LME_035</t>
        </is>
      </c>
      <c r="B154" s="11" t="inlineStr">
        <is>
          <t>35_412_Gulf_of_Thailande_(1963)</t>
        </is>
      </c>
      <c r="C154" s="11" t="inlineStr">
        <is>
          <t>Penaeus japonicus</t>
        </is>
      </c>
      <c r="D154" s="10" t="inlineStr">
        <is>
          <t>Kuruma prawn</t>
        </is>
      </c>
      <c r="E154" s="10" t="inlineStr">
        <is>
          <t>Shrimps</t>
        </is>
      </c>
      <c r="F154" s="10" t="inlineStr">
        <is>
          <t>Crustaceans</t>
        </is>
      </c>
      <c r="G154" s="11" t="inlineStr">
        <is>
          <t>Shrimps</t>
        </is>
      </c>
      <c r="H154" s="12" t="n">
        <v>1</v>
      </c>
      <c r="I154" s="10" t="inlineStr">
        <is>
          <t>single</t>
        </is>
      </c>
      <c r="J154" s="14" t="inlineStr">
        <is>
          <t>high</t>
        </is>
      </c>
      <c r="K154" s="10" t="inlineStr">
        <is>
          <t>taxonomic_containment</t>
        </is>
      </c>
      <c r="L154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54" s="10" t="n">
        <v>39415.416</v>
      </c>
    </row>
    <row r="155" ht="51" customHeight="1">
      <c r="A155" s="10" t="inlineStr">
        <is>
          <t>LME_035</t>
        </is>
      </c>
      <c r="B155" s="11" t="inlineStr">
        <is>
          <t>35_412_Gulf_of_Thailande_(1963)</t>
        </is>
      </c>
      <c r="C155" s="11" t="inlineStr">
        <is>
          <t>Melicertus canaliculatus</t>
        </is>
      </c>
      <c r="D155" s="10" t="inlineStr">
        <is>
          <t>Witch prawn</t>
        </is>
      </c>
      <c r="E155" s="10" t="inlineStr">
        <is>
          <t>Shrimps</t>
        </is>
      </c>
      <c r="F155" s="10" t="inlineStr">
        <is>
          <t>Crustaceans</t>
        </is>
      </c>
      <c r="G155" s="11" t="inlineStr">
        <is>
          <t>Shrimps</t>
        </is>
      </c>
      <c r="H155" s="12" t="n">
        <v>1</v>
      </c>
      <c r="I155" s="10" t="inlineStr">
        <is>
          <t>single</t>
        </is>
      </c>
      <c r="J155" s="14" t="inlineStr">
        <is>
          <t>high</t>
        </is>
      </c>
      <c r="K155" s="10" t="inlineStr">
        <is>
          <t>taxonomic_containment</t>
        </is>
      </c>
      <c r="L155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55" s="10" t="n">
        <v>39399.968</v>
      </c>
    </row>
    <row r="156" ht="51" customHeight="1">
      <c r="A156" s="10" t="inlineStr">
        <is>
          <t>LME_035</t>
        </is>
      </c>
      <c r="B156" s="11" t="inlineStr">
        <is>
          <t>35_412_Gulf_of_Thailande_(1963)</t>
        </is>
      </c>
      <c r="C156" s="11" t="inlineStr">
        <is>
          <t>Plectorhinchus</t>
        </is>
      </c>
      <c r="D156" s="10" t="inlineStr">
        <is>
          <t>Sweetlips</t>
        </is>
      </c>
      <c r="E156" s="10" t="inlineStr">
        <is>
          <t>Medium reef assoc. fish (30 - 89 cm)</t>
        </is>
      </c>
      <c r="F156" s="10" t="inlineStr">
        <is>
          <t>Perch-likes</t>
        </is>
      </c>
      <c r="G156" s="11" t="inlineStr">
        <is>
          <t>Med.dem.benth.</t>
        </is>
      </c>
      <c r="H156" s="12" t="n">
        <v>1</v>
      </c>
      <c r="I156" s="10" t="inlineStr">
        <is>
          <t>single</t>
        </is>
      </c>
      <c r="J156" s="14" t="inlineStr">
        <is>
          <t>high</t>
        </is>
      </c>
      <c r="K156" s="10" t="inlineStr">
        <is>
          <t>explicit_member</t>
        </is>
      </c>
      <c r="L15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6" s="10" t="n">
        <v>38254.696</v>
      </c>
    </row>
    <row r="157" ht="51" customHeight="1">
      <c r="A157" s="10" t="inlineStr">
        <is>
          <t>LME_035</t>
        </is>
      </c>
      <c r="B157" s="11" t="inlineStr">
        <is>
          <t>35_412_Gulf_of_Thailande_(1963)</t>
        </is>
      </c>
      <c r="C157" s="11" t="inlineStr">
        <is>
          <t>Pampus argenteus</t>
        </is>
      </c>
      <c r="D157" s="10" t="inlineStr">
        <is>
          <t>Silver pomfret</t>
        </is>
      </c>
      <c r="E157" s="10" t="inlineStr">
        <is>
          <t>Medium benthopelagics (30 - 89 cm)</t>
        </is>
      </c>
      <c r="F157" s="10" t="inlineStr">
        <is>
          <t>Perch-likes</t>
        </is>
      </c>
      <c r="G157" s="11" t="inlineStr">
        <is>
          <t>Med.dem.benth.</t>
        </is>
      </c>
      <c r="H157" s="12" t="n">
        <v>1</v>
      </c>
      <c r="I157" s="10" t="inlineStr">
        <is>
          <t>single</t>
        </is>
      </c>
      <c r="J157" s="14" t="inlineStr">
        <is>
          <t>high</t>
        </is>
      </c>
      <c r="K157" s="10" t="inlineStr">
        <is>
          <t>taxonomic_containment</t>
        </is>
      </c>
      <c r="L15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7" s="10" t="n">
        <v>35650.312</v>
      </c>
    </row>
    <row r="158" ht="51" customHeight="1">
      <c r="A158" s="10" t="inlineStr">
        <is>
          <t>LME_035</t>
        </is>
      </c>
      <c r="B158" s="11" t="inlineStr">
        <is>
          <t>35_412_Gulf_of_Thailande_(1963)</t>
        </is>
      </c>
      <c r="C158" s="11" t="inlineStr">
        <is>
          <t>Muraenesox</t>
        </is>
      </c>
      <c r="D158" s="10" t="inlineStr">
        <is>
          <t>Congers</t>
        </is>
      </c>
      <c r="E158" s="10" t="inlineStr">
        <is>
          <t>Large demersals (&gt;=90 cm)</t>
        </is>
      </c>
      <c r="F158" s="10" t="inlineStr">
        <is>
          <t>Other fishes &amp; inverts</t>
        </is>
      </c>
      <c r="G158" s="11" t="inlineStr">
        <is>
          <t>Juv.Lg.Pisciv.</t>
        </is>
      </c>
      <c r="H158" s="12" t="n">
        <v>0</v>
      </c>
      <c r="I158" s="10" t="inlineStr">
        <is>
          <t>model_catch</t>
        </is>
      </c>
      <c r="J158" s="13" t="inlineStr">
        <is>
          <t>medium</t>
        </is>
      </c>
      <c r="K158" s="10" t="inlineStr">
        <is>
          <t>composite_split</t>
        </is>
      </c>
      <c r="L15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8" s="10" t="n">
        <v>34677.494</v>
      </c>
    </row>
    <row r="159" ht="51" customHeight="1">
      <c r="A159" s="10" t="inlineStr">
        <is>
          <t>LME_035</t>
        </is>
      </c>
      <c r="B159" s="11" t="inlineStr">
        <is>
          <t>35_412_Gulf_of_Thailande_(1963)</t>
        </is>
      </c>
      <c r="C159" s="11" t="inlineStr">
        <is>
          <t>Muraenesox</t>
        </is>
      </c>
      <c r="D159" s="10" t="inlineStr">
        <is>
          <t>Congers</t>
        </is>
      </c>
      <c r="E159" s="10" t="inlineStr">
        <is>
          <t>Large demersals (&gt;=90 cm)</t>
        </is>
      </c>
      <c r="F159" s="10" t="inlineStr">
        <is>
          <t>Other fishes &amp; inverts</t>
        </is>
      </c>
      <c r="G159" s="11" t="inlineStr">
        <is>
          <t>Lg. piscivores</t>
        </is>
      </c>
      <c r="H159" s="12" t="n">
        <v>1</v>
      </c>
      <c r="I159" s="10" t="inlineStr">
        <is>
          <t>model_catch</t>
        </is>
      </c>
      <c r="J159" s="13" t="inlineStr">
        <is>
          <t>medium</t>
        </is>
      </c>
      <c r="K159" s="10" t="inlineStr">
        <is>
          <t>composite_split</t>
        </is>
      </c>
      <c r="L15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9" s="10" t="n">
        <v>34677.494</v>
      </c>
    </row>
    <row r="160" ht="51" customHeight="1">
      <c r="A160" s="10" t="inlineStr">
        <is>
          <t>LME_035</t>
        </is>
      </c>
      <c r="B160" s="11" t="inlineStr">
        <is>
          <t>35_412_Gulf_of_Thailande_(1963)</t>
        </is>
      </c>
      <c r="C160" s="11" t="inlineStr">
        <is>
          <t>Scomberomorus commerson</t>
        </is>
      </c>
      <c r="D160" s="10" t="inlineStr">
        <is>
          <t>Narrow-barred Spanish mackerel</t>
        </is>
      </c>
      <c r="E160" s="10" t="inlineStr">
        <is>
          <t>Large pelagics (&gt;=90 cm)</t>
        </is>
      </c>
      <c r="F160" s="10" t="inlineStr">
        <is>
          <t>Perch-likes</t>
        </is>
      </c>
      <c r="G160" s="11" t="inlineStr">
        <is>
          <t>Scomberomorus</t>
        </is>
      </c>
      <c r="H160" s="12" t="n">
        <v>1</v>
      </c>
      <c r="I160" s="10" t="inlineStr">
        <is>
          <t>single</t>
        </is>
      </c>
      <c r="J160" s="14" t="inlineStr">
        <is>
          <t>high</t>
        </is>
      </c>
      <c r="K160" s="10" t="inlineStr">
        <is>
          <t>taxonomic_containment</t>
        </is>
      </c>
      <c r="L16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0" s="10" t="n">
        <v>34093.475</v>
      </c>
    </row>
    <row r="161" ht="51" customHeight="1">
      <c r="A161" s="10" t="inlineStr">
        <is>
          <t>LME_035</t>
        </is>
      </c>
      <c r="B161" s="11" t="inlineStr">
        <is>
          <t>35_412_Gulf_of_Thailande_(1963)</t>
        </is>
      </c>
      <c r="C161" s="11" t="inlineStr">
        <is>
          <t>Clupeiformes</t>
        </is>
      </c>
      <c r="D161" s="10" t="inlineStr">
        <is>
          <t>Herrings, shads, anchovies</t>
        </is>
      </c>
      <c r="E161" s="10" t="inlineStr">
        <is>
          <t>Small pelagics (&lt;30 cm)</t>
        </is>
      </c>
      <c r="F161" s="10" t="inlineStr">
        <is>
          <t>Other fishes &amp; inverts</t>
        </is>
      </c>
      <c r="G161" s="11" t="inlineStr">
        <is>
          <t>Sm. pelagics</t>
        </is>
      </c>
      <c r="H161" s="12" t="n">
        <v>0.8443854995579133</v>
      </c>
      <c r="I161" s="10" t="inlineStr">
        <is>
          <t>model_catch</t>
        </is>
      </c>
      <c r="J161" s="13" t="inlineStr">
        <is>
          <t>medium</t>
        </is>
      </c>
      <c r="K161" s="10" t="inlineStr">
        <is>
          <t>composite_split</t>
        </is>
      </c>
      <c r="L161" s="11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  <c r="M161" s="10" t="n">
        <v>33184.992</v>
      </c>
    </row>
    <row r="162" ht="51" customHeight="1">
      <c r="A162" s="10" t="inlineStr">
        <is>
          <t>LME_035</t>
        </is>
      </c>
      <c r="B162" s="11" t="inlineStr">
        <is>
          <t>35_412_Gulf_of_Thailande_(1963)</t>
        </is>
      </c>
      <c r="C162" s="11" t="inlineStr">
        <is>
          <t>Clupeiformes</t>
        </is>
      </c>
      <c r="D162" s="10" t="inlineStr">
        <is>
          <t>Herrings, shads, anchovies</t>
        </is>
      </c>
      <c r="E162" s="10" t="inlineStr">
        <is>
          <t>Small pelagics (&lt;30 cm)</t>
        </is>
      </c>
      <c r="F162" s="10" t="inlineStr">
        <is>
          <t>Other fishes &amp; inverts</t>
        </is>
      </c>
      <c r="G162" s="11" t="inlineStr">
        <is>
          <t>Lg. piscivores</t>
        </is>
      </c>
      <c r="H162" s="12" t="n">
        <v>0.1556145004420866</v>
      </c>
      <c r="I162" s="10" t="inlineStr">
        <is>
          <t>model_catch</t>
        </is>
      </c>
      <c r="J162" s="13" t="inlineStr">
        <is>
          <t>medium</t>
        </is>
      </c>
      <c r="K162" s="10" t="inlineStr">
        <is>
          <t>composite_split</t>
        </is>
      </c>
      <c r="L162" s="11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  <c r="M162" s="10" t="n">
        <v>33184.992</v>
      </c>
    </row>
    <row r="163" ht="51" customHeight="1">
      <c r="A163" s="10" t="inlineStr">
        <is>
          <t>LME_035</t>
        </is>
      </c>
      <c r="B163" s="11" t="inlineStr">
        <is>
          <t>35_412_Gulf_of_Thailande_(1963)</t>
        </is>
      </c>
      <c r="C163" s="11" t="inlineStr">
        <is>
          <t>Clupeiformes</t>
        </is>
      </c>
      <c r="D163" s="10" t="inlineStr">
        <is>
          <t>Herrings, shads, anchovies</t>
        </is>
      </c>
      <c r="E163" s="10" t="inlineStr">
        <is>
          <t>Small pelagics (&lt;30 cm)</t>
        </is>
      </c>
      <c r="F163" s="10" t="inlineStr">
        <is>
          <t>Other fishes &amp; inverts</t>
        </is>
      </c>
      <c r="G163" s="11" t="inlineStr">
        <is>
          <t>Juv.Lg.Pisciv.</t>
        </is>
      </c>
      <c r="H163" s="12" t="n">
        <v>0</v>
      </c>
      <c r="I163" s="10" t="inlineStr">
        <is>
          <t>model_catch</t>
        </is>
      </c>
      <c r="J163" s="13" t="inlineStr">
        <is>
          <t>medium</t>
        </is>
      </c>
      <c r="K163" s="10" t="inlineStr">
        <is>
          <t>composite_split</t>
        </is>
      </c>
      <c r="L163" s="11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  <c r="M163" s="10" t="n">
        <v>33184.992</v>
      </c>
    </row>
    <row r="164" ht="51" customHeight="1">
      <c r="A164" s="10" t="inlineStr">
        <is>
          <t>LME_035</t>
        </is>
      </c>
      <c r="B164" s="11" t="inlineStr">
        <is>
          <t>35_412_Gulf_of_Thailande_(1963)</t>
        </is>
      </c>
      <c r="C164" s="11" t="inlineStr">
        <is>
          <t>Sphyraena obtusata</t>
        </is>
      </c>
      <c r="D164" s="10" t="inlineStr">
        <is>
          <t>Obtuse barracuda</t>
        </is>
      </c>
      <c r="E164" s="10" t="inlineStr">
        <is>
          <t>Medium reef assoc. fish (30 - 89 cm)</t>
        </is>
      </c>
      <c r="F164" s="10" t="inlineStr">
        <is>
          <t>Perch-likes</t>
        </is>
      </c>
      <c r="G164" s="11" t="inlineStr">
        <is>
          <t>Juv.Lg.Pisciv.</t>
        </is>
      </c>
      <c r="H164" s="12" t="n">
        <v>0</v>
      </c>
      <c r="I164" s="10" t="inlineStr">
        <is>
          <t>model_catch</t>
        </is>
      </c>
      <c r="J164" s="13" t="inlineStr">
        <is>
          <t>medium</t>
        </is>
      </c>
      <c r="K164" s="10" t="inlineStr">
        <is>
          <t>composite_split</t>
        </is>
      </c>
      <c r="L16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4" s="10" t="n">
        <v>31660.37</v>
      </c>
    </row>
    <row r="165" ht="51" customHeight="1">
      <c r="A165" s="10" t="inlineStr">
        <is>
          <t>LME_035</t>
        </is>
      </c>
      <c r="B165" s="11" t="inlineStr">
        <is>
          <t>35_412_Gulf_of_Thailande_(1963)</t>
        </is>
      </c>
      <c r="C165" s="11" t="inlineStr">
        <is>
          <t>Sphyraena obtusata</t>
        </is>
      </c>
      <c r="D165" s="10" t="inlineStr">
        <is>
          <t>Obtuse barracuda</t>
        </is>
      </c>
      <c r="E165" s="10" t="inlineStr">
        <is>
          <t>Medium reef assoc. fish (30 - 89 cm)</t>
        </is>
      </c>
      <c r="F165" s="10" t="inlineStr">
        <is>
          <t>Perch-likes</t>
        </is>
      </c>
      <c r="G165" s="11" t="inlineStr">
        <is>
          <t>Lg. piscivores</t>
        </is>
      </c>
      <c r="H165" s="12" t="n">
        <v>1</v>
      </c>
      <c r="I165" s="10" t="inlineStr">
        <is>
          <t>model_catch</t>
        </is>
      </c>
      <c r="J165" s="13" t="inlineStr">
        <is>
          <t>medium</t>
        </is>
      </c>
      <c r="K165" s="10" t="inlineStr">
        <is>
          <t>composite_split</t>
        </is>
      </c>
      <c r="L16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5" s="10" t="n">
        <v>31660.37</v>
      </c>
    </row>
    <row r="166" ht="66" customHeight="1">
      <c r="A166" s="10" t="inlineStr">
        <is>
          <t>LME_035</t>
        </is>
      </c>
      <c r="B166" s="11" t="inlineStr">
        <is>
          <t>35_412_Gulf_of_Thailande_(1963)</t>
        </is>
      </c>
      <c r="C166" s="11" t="inlineStr">
        <is>
          <t>Scyris indica</t>
        </is>
      </c>
      <c r="D166" s="10" t="inlineStr">
        <is>
          <t>Indian threadfish</t>
        </is>
      </c>
      <c r="E166" s="10" t="inlineStr">
        <is>
          <t>Large reef assoc. fish (&gt;=90 cm)</t>
        </is>
      </c>
      <c r="F166" s="10" t="inlineStr">
        <is>
          <t>Perch-likes</t>
        </is>
      </c>
      <c r="G166" s="11" t="inlineStr">
        <is>
          <t>Lg. piscivores</t>
        </is>
      </c>
      <c r="H166" s="12" t="n">
        <v>1</v>
      </c>
      <c r="I166" s="10" t="inlineStr">
        <is>
          <t>model_catch</t>
        </is>
      </c>
      <c r="J166" s="13" t="inlineStr">
        <is>
          <t>medium</t>
        </is>
      </c>
      <c r="K166" s="10" t="inlineStr">
        <is>
          <t>composite_split</t>
        </is>
      </c>
      <c r="L166" s="11" t="inlineStr">
        <is>
          <t>Indian threadfish, a large-bodied predatory carangid (SAU: large reef-associated); treated as a large piscivore rather than forced into the small-bodied Scad group. Reviewed against the Ecobase group name and diet; the original paper p.130 lists important components but does not settle this taxon. Catch has no age split; model catch assigns no catch to the juvenile pool.</t>
        </is>
      </c>
      <c r="M166" s="10" t="n">
        <v>28427.458</v>
      </c>
    </row>
    <row r="167" ht="66" customHeight="1">
      <c r="A167" s="10" t="inlineStr">
        <is>
          <t>LME_035</t>
        </is>
      </c>
      <c r="B167" s="11" t="inlineStr">
        <is>
          <t>35_412_Gulf_of_Thailande_(1963)</t>
        </is>
      </c>
      <c r="C167" s="11" t="inlineStr">
        <is>
          <t>Scyris indica</t>
        </is>
      </c>
      <c r="D167" s="10" t="inlineStr">
        <is>
          <t>Indian threadfish</t>
        </is>
      </c>
      <c r="E167" s="10" t="inlineStr">
        <is>
          <t>Large reef assoc. fish (&gt;=90 cm)</t>
        </is>
      </c>
      <c r="F167" s="10" t="inlineStr">
        <is>
          <t>Perch-likes</t>
        </is>
      </c>
      <c r="G167" s="11" t="inlineStr">
        <is>
          <t>Juv.Lg.Pisciv.</t>
        </is>
      </c>
      <c r="H167" s="12" t="n">
        <v>0</v>
      </c>
      <c r="I167" s="10" t="inlineStr">
        <is>
          <t>model_catch</t>
        </is>
      </c>
      <c r="J167" s="13" t="inlineStr">
        <is>
          <t>medium</t>
        </is>
      </c>
      <c r="K167" s="10" t="inlineStr">
        <is>
          <t>composite_split</t>
        </is>
      </c>
      <c r="L167" s="11" t="inlineStr">
        <is>
          <t>Indian threadfish, a large-bodied predatory carangid (SAU: large reef-associated); treated as a large piscivore rather than forced into the small-bodied Scad group. Reviewed against the Ecobase group name and diet; the original paper p.130 lists important components but does not settle this taxon. Catch has no age split; model catch assigns no catch to the juvenile pool.</t>
        </is>
      </c>
      <c r="M167" s="10" t="n">
        <v>28427.458</v>
      </c>
    </row>
    <row r="168" ht="51" customHeight="1">
      <c r="A168" s="10" t="inlineStr">
        <is>
          <t>LME_035</t>
        </is>
      </c>
      <c r="B168" s="11" t="inlineStr">
        <is>
          <t>35_412_Gulf_of_Thailande_(1963)</t>
        </is>
      </c>
      <c r="C168" s="11" t="inlineStr">
        <is>
          <t>Anodontostoma chacunda</t>
        </is>
      </c>
      <c r="D168" s="10" t="inlineStr">
        <is>
          <t>Chacunda gizzard shad</t>
        </is>
      </c>
      <c r="E168" s="10" t="inlineStr">
        <is>
          <t>Small pelagics (&lt;30 cm)</t>
        </is>
      </c>
      <c r="F168" s="10" t="inlineStr">
        <is>
          <t>Herring-likes</t>
        </is>
      </c>
      <c r="G168" s="11" t="inlineStr">
        <is>
          <t>Sm. pelagics</t>
        </is>
      </c>
      <c r="H168" s="12" t="n">
        <v>1</v>
      </c>
      <c r="I168" s="10" t="inlineStr">
        <is>
          <t>single</t>
        </is>
      </c>
      <c r="J168" s="13" t="inlineStr">
        <is>
          <t>medium</t>
        </is>
      </c>
      <c r="K168" s="10" t="inlineStr">
        <is>
          <t>habitat_size_guild</t>
        </is>
      </c>
      <c r="L168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168" s="10" t="n">
        <v>27953.747</v>
      </c>
    </row>
    <row r="169" ht="51" customHeight="1">
      <c r="A169" s="10" t="inlineStr">
        <is>
          <t>LME_035</t>
        </is>
      </c>
      <c r="B169" s="11" t="inlineStr">
        <is>
          <t>35_412_Gulf_of_Thailande_(1963)</t>
        </is>
      </c>
      <c r="C169" s="11" t="inlineStr">
        <is>
          <t>Auxis thazard</t>
        </is>
      </c>
      <c r="D169" s="10" t="inlineStr">
        <is>
          <t>Frigate tuna</t>
        </is>
      </c>
      <c r="E169" s="10" t="inlineStr">
        <is>
          <t>Medium pelagics (30 - 89 cm)</t>
        </is>
      </c>
      <c r="F169" s="10" t="inlineStr">
        <is>
          <t>Tuna &amp; billfishes</t>
        </is>
      </c>
      <c r="G169" s="11" t="inlineStr">
        <is>
          <t>Tuna</t>
        </is>
      </c>
      <c r="H169" s="12" t="n">
        <v>1</v>
      </c>
      <c r="I169" s="10" t="inlineStr">
        <is>
          <t>single</t>
        </is>
      </c>
      <c r="J169" s="14" t="inlineStr">
        <is>
          <t>high</t>
        </is>
      </c>
      <c r="K169" s="10" t="inlineStr">
        <is>
          <t>explicit_member</t>
        </is>
      </c>
      <c r="L16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9" s="10" t="n">
        <v>27601.575</v>
      </c>
    </row>
    <row r="170" ht="36" customHeight="1">
      <c r="A170" s="10" t="inlineStr">
        <is>
          <t>LME_035</t>
        </is>
      </c>
      <c r="B170" s="11" t="inlineStr">
        <is>
          <t>35_412_Gulf_of_Thailande_(1963)</t>
        </is>
      </c>
      <c r="C170" s="11" t="inlineStr">
        <is>
          <t>Malacostraca</t>
        </is>
      </c>
      <c r="D170" s="10" t="inlineStr">
        <is>
          <t>Lobsters, crabs, shrimps, krill</t>
        </is>
      </c>
      <c r="E170" s="10" t="inlineStr">
        <is>
          <t>Shrimps</t>
        </is>
      </c>
      <c r="F170" s="10" t="inlineStr">
        <is>
          <t>Crustaceans</t>
        </is>
      </c>
      <c r="G170" s="11" t="inlineStr">
        <is>
          <t>Shrimps</t>
        </is>
      </c>
      <c r="H170" s="12" t="n">
        <v>0.7726100583246687</v>
      </c>
      <c r="I170" s="10" t="inlineStr">
        <is>
          <t>catch_composition</t>
        </is>
      </c>
      <c r="J170" s="15" t="inlineStr">
        <is>
          <t>low</t>
        </is>
      </c>
      <c r="K170" s="10" t="inlineStr">
        <is>
          <t>composite_split</t>
        </is>
      </c>
      <c r="L170" s="11" t="inlineStr">
        <is>
          <t>Malacostraca includes both modeled shrimp and crab/lobster decapods; the broad catch class does not identify composition.</t>
        </is>
      </c>
      <c r="M170" s="10" t="n">
        <v>25751.203</v>
      </c>
    </row>
    <row r="171" ht="36" customHeight="1">
      <c r="A171" s="10" t="inlineStr">
        <is>
          <t>LME_035</t>
        </is>
      </c>
      <c r="B171" s="11" t="inlineStr">
        <is>
          <t>35_412_Gulf_of_Thailande_(1963)</t>
        </is>
      </c>
      <c r="C171" s="11" t="inlineStr">
        <is>
          <t>Malacostraca</t>
        </is>
      </c>
      <c r="D171" s="10" t="inlineStr">
        <is>
          <t>Lobsters, crabs, shrimps, krill</t>
        </is>
      </c>
      <c r="E171" s="10" t="inlineStr">
        <is>
          <t>Shrimps</t>
        </is>
      </c>
      <c r="F171" s="10" t="inlineStr">
        <is>
          <t>Crustaceans</t>
        </is>
      </c>
      <c r="G171" s="11" t="inlineStr">
        <is>
          <t>Crab, lobster</t>
        </is>
      </c>
      <c r="H171" s="12" t="n">
        <v>0.2273899416753314</v>
      </c>
      <c r="I171" s="10" t="inlineStr">
        <is>
          <t>catch_composition</t>
        </is>
      </c>
      <c r="J171" s="15" t="inlineStr">
        <is>
          <t>low</t>
        </is>
      </c>
      <c r="K171" s="10" t="inlineStr">
        <is>
          <t>composite_split</t>
        </is>
      </c>
      <c r="L171" s="11" t="inlineStr">
        <is>
          <t>Malacostraca includes both modeled shrimp and crab/lobster decapods; the broad catch class does not identify composition.</t>
        </is>
      </c>
      <c r="M171" s="10" t="n">
        <v>25751.203</v>
      </c>
    </row>
    <row r="172" ht="51" customHeight="1">
      <c r="A172" s="10" t="inlineStr">
        <is>
          <t>LME_035</t>
        </is>
      </c>
      <c r="B172" s="11" t="inlineStr">
        <is>
          <t>35_412_Gulf_of_Thailande_(1963)</t>
        </is>
      </c>
      <c r="C172" s="11" t="inlineStr">
        <is>
          <t>Lutjanus johnii</t>
        </is>
      </c>
      <c r="D172" s="10" t="inlineStr">
        <is>
          <t>John's snapper</t>
        </is>
      </c>
      <c r="E172" s="10" t="inlineStr">
        <is>
          <t>Medium reef assoc. fish (30 - 89 cm)</t>
        </is>
      </c>
      <c r="F172" s="10" t="inlineStr">
        <is>
          <t>Perch-likes</t>
        </is>
      </c>
      <c r="G172" s="11" t="inlineStr">
        <is>
          <t>Grouper/snapper</t>
        </is>
      </c>
      <c r="H172" s="12" t="n">
        <v>1</v>
      </c>
      <c r="I172" s="10" t="inlineStr">
        <is>
          <t>model_catch</t>
        </is>
      </c>
      <c r="J172" s="13" t="inlineStr">
        <is>
          <t>medium</t>
        </is>
      </c>
      <c r="K172" s="10" t="inlineStr">
        <is>
          <t>composite_split</t>
        </is>
      </c>
      <c r="L17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72" s="10" t="n">
        <v>24155.419</v>
      </c>
    </row>
    <row r="173" ht="51" customHeight="1">
      <c r="A173" s="10" t="inlineStr">
        <is>
          <t>LME_035</t>
        </is>
      </c>
      <c r="B173" s="11" t="inlineStr">
        <is>
          <t>35_412_Gulf_of_Thailande_(1963)</t>
        </is>
      </c>
      <c r="C173" s="11" t="inlineStr">
        <is>
          <t>Lutjanus johnii</t>
        </is>
      </c>
      <c r="D173" s="10" t="inlineStr">
        <is>
          <t>John's snapper</t>
        </is>
      </c>
      <c r="E173" s="10" t="inlineStr">
        <is>
          <t>Medium reef assoc. fish (30 - 89 cm)</t>
        </is>
      </c>
      <c r="F173" s="10" t="inlineStr">
        <is>
          <t>Perch-likes</t>
        </is>
      </c>
      <c r="G173" s="11" t="inlineStr">
        <is>
          <t>Juv. groupers</t>
        </is>
      </c>
      <c r="H173" s="12" t="n">
        <v>0</v>
      </c>
      <c r="I173" s="10" t="inlineStr">
        <is>
          <t>model_catch</t>
        </is>
      </c>
      <c r="J173" s="13" t="inlineStr">
        <is>
          <t>medium</t>
        </is>
      </c>
      <c r="K173" s="10" t="inlineStr">
        <is>
          <t>composite_split</t>
        </is>
      </c>
      <c r="L17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73" s="10" t="n">
        <v>24155.419</v>
      </c>
    </row>
    <row r="174" ht="51" customHeight="1">
      <c r="A174" s="10" t="inlineStr">
        <is>
          <t>LME_035</t>
        </is>
      </c>
      <c r="B174" s="11" t="inlineStr">
        <is>
          <t>35_412_Gulf_of_Thailande_(1963)</t>
        </is>
      </c>
      <c r="C174" s="11" t="inlineStr">
        <is>
          <t>Gerreidae</t>
        </is>
      </c>
      <c r="D174" s="10" t="inlineStr">
        <is>
          <t>Mojarras, silverbellies</t>
        </is>
      </c>
      <c r="E174" s="10" t="inlineStr">
        <is>
          <t>Small benthopelagics (&lt;30 cm)</t>
        </is>
      </c>
      <c r="F174" s="10" t="inlineStr">
        <is>
          <t>Perch-likes</t>
        </is>
      </c>
      <c r="G174" s="11" t="inlineStr">
        <is>
          <t>Sm.dem.benth.</t>
        </is>
      </c>
      <c r="H174" s="12" t="n">
        <v>1</v>
      </c>
      <c r="I174" s="10" t="inlineStr">
        <is>
          <t>single</t>
        </is>
      </c>
      <c r="J174" s="14" t="inlineStr">
        <is>
          <t>high</t>
        </is>
      </c>
      <c r="K174" s="10" t="inlineStr">
        <is>
          <t>taxonomic_containment</t>
        </is>
      </c>
      <c r="L17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74" s="10" t="n">
        <v>21899.947</v>
      </c>
    </row>
    <row r="175" ht="51" customHeight="1">
      <c r="A175" s="10" t="inlineStr">
        <is>
          <t>LME_035</t>
        </is>
      </c>
      <c r="B175" s="11" t="inlineStr">
        <is>
          <t>35_412_Gulf_of_Thailande_(1963)</t>
        </is>
      </c>
      <c r="C175" s="11" t="inlineStr">
        <is>
          <t>Caesionidae</t>
        </is>
      </c>
      <c r="D175" s="10" t="inlineStr">
        <is>
          <t>Fusiliers</t>
        </is>
      </c>
      <c r="E175" s="10" t="inlineStr">
        <is>
          <t>Medium reef assoc. fish (30 - 89 cm)</t>
        </is>
      </c>
      <c r="F175" s="10" t="inlineStr">
        <is>
          <t>Perch-likes</t>
        </is>
      </c>
      <c r="G175" s="11" t="inlineStr">
        <is>
          <t>Sm. pelagics</t>
        </is>
      </c>
      <c r="H175" s="12" t="n">
        <v>1</v>
      </c>
      <c r="I175" s="10" t="inlineStr">
        <is>
          <t>single</t>
        </is>
      </c>
      <c r="J175" s="13" t="inlineStr">
        <is>
          <t>medium</t>
        </is>
      </c>
      <c r="K175" s="10" t="inlineStr">
        <is>
          <t>habitat_size_guild</t>
        </is>
      </c>
      <c r="L175" s="11" t="inlineStr">
        <is>
          <t>Fusiliers feed in the water column primarily on zooplankton, consistent with the small-pelagic diet (90% zooplankton, 10% phytoplankton); O.fish corresponds to the source trash-fish pool. Inferred guild placement.</t>
        </is>
      </c>
      <c r="M175" s="10" t="n">
        <v>21657.673</v>
      </c>
    </row>
    <row r="176" ht="51" customHeight="1">
      <c r="A176" s="10" t="inlineStr">
        <is>
          <t>LME_035</t>
        </is>
      </c>
      <c r="B176" s="11" t="inlineStr">
        <is>
          <t>35_412_Gulf_of_Thailande_(1963)</t>
        </is>
      </c>
      <c r="C176" s="11" t="inlineStr">
        <is>
          <t>Charybdis</t>
        </is>
      </c>
      <c r="D176" s="10" t="inlineStr">
        <is>
          <t>Whirlpool swimming crabs</t>
        </is>
      </c>
      <c r="E176" s="10" t="inlineStr">
        <is>
          <t>Lobsters, crabs</t>
        </is>
      </c>
      <c r="F176" s="10" t="inlineStr">
        <is>
          <t>Crustaceans</t>
        </is>
      </c>
      <c r="G176" s="11" t="inlineStr">
        <is>
          <t>Crab, lobster</t>
        </is>
      </c>
      <c r="H176" s="12" t="n">
        <v>1</v>
      </c>
      <c r="I176" s="10" t="inlineStr">
        <is>
          <t>single</t>
        </is>
      </c>
      <c r="J176" s="14" t="inlineStr">
        <is>
          <t>high</t>
        </is>
      </c>
      <c r="K176" s="10" t="inlineStr">
        <is>
          <t>taxonomic_containment</t>
        </is>
      </c>
      <c r="L176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76" s="10" t="n">
        <v>21432.07</v>
      </c>
    </row>
    <row r="177" ht="51" customHeight="1">
      <c r="A177" s="10" t="inlineStr">
        <is>
          <t>LME_035</t>
        </is>
      </c>
      <c r="B177" s="11" t="inlineStr">
        <is>
          <t>35_412_Gulf_of_Thailande_(1963)</t>
        </is>
      </c>
      <c r="C177" s="11" t="inlineStr">
        <is>
          <t>Scorpaenidae</t>
        </is>
      </c>
      <c r="D177" s="10" t="inlineStr">
        <is>
          <t>Scorpionfishes, rockfishes</t>
        </is>
      </c>
      <c r="E177" s="10" t="inlineStr">
        <is>
          <t>Large reef assoc. fish (&gt;=90 cm)</t>
        </is>
      </c>
      <c r="F177" s="10" t="inlineStr">
        <is>
          <t>Scorpionfishes</t>
        </is>
      </c>
      <c r="G177" s="11" t="inlineStr">
        <is>
          <t>Lg. piscivores</t>
        </is>
      </c>
      <c r="H177" s="12" t="n">
        <v>1</v>
      </c>
      <c r="I177" s="10" t="inlineStr">
        <is>
          <t>model_catch</t>
        </is>
      </c>
      <c r="J177" s="13" t="inlineStr">
        <is>
          <t>medium</t>
        </is>
      </c>
      <c r="K177" s="10" t="inlineStr">
        <is>
          <t>composite_split</t>
        </is>
      </c>
      <c r="L177" s="11" t="inlineStr">
        <is>
          <t>Scorpionfish are large ambush piscivorous predators on fish/crustaceans. Reviewed against the Ecobase group name and diet; the original paper p.130 lists important components but does not settle this taxon. Catch has no age split; model catch assigns no catch to the juvenile pool.</t>
        </is>
      </c>
      <c r="M177" s="10" t="n">
        <v>21150.242</v>
      </c>
    </row>
    <row r="178" ht="51" customHeight="1">
      <c r="A178" s="10" t="inlineStr">
        <is>
          <t>LME_035</t>
        </is>
      </c>
      <c r="B178" s="11" t="inlineStr">
        <is>
          <t>35_412_Gulf_of_Thailande_(1963)</t>
        </is>
      </c>
      <c r="C178" s="11" t="inlineStr">
        <is>
          <t>Scorpaenidae</t>
        </is>
      </c>
      <c r="D178" s="10" t="inlineStr">
        <is>
          <t>Scorpionfishes, rockfishes</t>
        </is>
      </c>
      <c r="E178" s="10" t="inlineStr">
        <is>
          <t>Large reef assoc. fish (&gt;=90 cm)</t>
        </is>
      </c>
      <c r="F178" s="10" t="inlineStr">
        <is>
          <t>Scorpionfishes</t>
        </is>
      </c>
      <c r="G178" s="11" t="inlineStr">
        <is>
          <t>Juv.Lg.Pisciv.</t>
        </is>
      </c>
      <c r="H178" s="12" t="n">
        <v>0</v>
      </c>
      <c r="I178" s="10" t="inlineStr">
        <is>
          <t>model_catch</t>
        </is>
      </c>
      <c r="J178" s="13" t="inlineStr">
        <is>
          <t>medium</t>
        </is>
      </c>
      <c r="K178" s="10" t="inlineStr">
        <is>
          <t>composite_split</t>
        </is>
      </c>
      <c r="L178" s="11" t="inlineStr">
        <is>
          <t>Scorpionfish are large ambush piscivorous predators on fish/crustaceans. Reviewed against the Ecobase group name and diet; the original paper p.130 lists important components but does not settle this taxon. Catch has no age split; model catch assigns no catch to the juvenile pool.</t>
        </is>
      </c>
      <c r="M178" s="10" t="n">
        <v>21150.242</v>
      </c>
    </row>
    <row r="179" ht="51" customHeight="1">
      <c r="A179" s="10" t="inlineStr">
        <is>
          <t>LME_035</t>
        </is>
      </c>
      <c r="B179" s="11" t="inlineStr">
        <is>
          <t>35_412_Gulf_of_Thailande_(1963)</t>
        </is>
      </c>
      <c r="C179" s="11" t="inlineStr">
        <is>
          <t>Podophthalmus vigil</t>
        </is>
      </c>
      <c r="D179" s="10" t="inlineStr">
        <is>
          <t>Periscope crab</t>
        </is>
      </c>
      <c r="E179" s="10" t="inlineStr">
        <is>
          <t>Lobsters, crabs</t>
        </is>
      </c>
      <c r="F179" s="10" t="inlineStr">
        <is>
          <t>Crustaceans</t>
        </is>
      </c>
      <c r="G179" s="11" t="inlineStr">
        <is>
          <t>Crab, lobster</t>
        </is>
      </c>
      <c r="H179" s="12" t="n">
        <v>1</v>
      </c>
      <c r="I179" s="10" t="inlineStr">
        <is>
          <t>single</t>
        </is>
      </c>
      <c r="J179" s="14" t="inlineStr">
        <is>
          <t>high</t>
        </is>
      </c>
      <c r="K179" s="10" t="inlineStr">
        <is>
          <t>taxonomic_containment</t>
        </is>
      </c>
      <c r="L179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79" s="10" t="n">
        <v>19954.037</v>
      </c>
    </row>
    <row r="180" ht="51" customHeight="1">
      <c r="A180" s="10" t="inlineStr">
        <is>
          <t>LME_035</t>
        </is>
      </c>
      <c r="B180" s="11" t="inlineStr">
        <is>
          <t>35_412_Gulf_of_Thailande_(1963)</t>
        </is>
      </c>
      <c r="C180" s="11" t="inlineStr">
        <is>
          <t>Charybdis feriatus</t>
        </is>
      </c>
      <c r="D180" s="10" t="inlineStr">
        <is>
          <t>Crucifix crab</t>
        </is>
      </c>
      <c r="E180" s="10" t="inlineStr">
        <is>
          <t>Lobsters, crabs</t>
        </is>
      </c>
      <c r="F180" s="10" t="inlineStr">
        <is>
          <t>Crustaceans</t>
        </is>
      </c>
      <c r="G180" s="11" t="inlineStr">
        <is>
          <t>Crab, lobster</t>
        </is>
      </c>
      <c r="H180" s="12" t="n">
        <v>1</v>
      </c>
      <c r="I180" s="10" t="inlineStr">
        <is>
          <t>single</t>
        </is>
      </c>
      <c r="J180" s="14" t="inlineStr">
        <is>
          <t>high</t>
        </is>
      </c>
      <c r="K180" s="10" t="inlineStr">
        <is>
          <t>taxonomic_containment</t>
        </is>
      </c>
      <c r="L180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80" s="10" t="n">
        <v>19704.797</v>
      </c>
    </row>
    <row r="181" ht="66" customHeight="1">
      <c r="A181" s="10" t="inlineStr">
        <is>
          <t>LME_035</t>
        </is>
      </c>
      <c r="B181" s="11" t="inlineStr">
        <is>
          <t>35_412_Gulf_of_Thailande_(1963)</t>
        </is>
      </c>
      <c r="C181" s="11" t="inlineStr">
        <is>
          <t>Scomberoides</t>
        </is>
      </c>
      <c r="D181" s="10" t="inlineStr">
        <is>
          <t>Queenfishes</t>
        </is>
      </c>
      <c r="E181" s="10" t="inlineStr">
        <is>
          <t>Medium pelagics (30 - 89 cm)</t>
        </is>
      </c>
      <c r="F181" s="10" t="inlineStr">
        <is>
          <t>Perch-likes</t>
        </is>
      </c>
      <c r="G181" s="11" t="inlineStr">
        <is>
          <t>Lg. piscivores</t>
        </is>
      </c>
      <c r="H181" s="12" t="n">
        <v>1</v>
      </c>
      <c r="I181" s="10" t="inlineStr">
        <is>
          <t>model_catch</t>
        </is>
      </c>
      <c r="J181" s="13" t="inlineStr">
        <is>
          <t>medium</t>
        </is>
      </c>
      <c r="K181" s="10" t="inlineStr">
        <is>
          <t>composite_split</t>
        </is>
      </c>
      <c r="L181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81" s="10" t="n">
        <v>19300.02</v>
      </c>
    </row>
    <row r="182" ht="66" customHeight="1">
      <c r="A182" s="10" t="inlineStr">
        <is>
          <t>LME_035</t>
        </is>
      </c>
      <c r="B182" s="11" t="inlineStr">
        <is>
          <t>35_412_Gulf_of_Thailande_(1963)</t>
        </is>
      </c>
      <c r="C182" s="11" t="inlineStr">
        <is>
          <t>Scomberoides</t>
        </is>
      </c>
      <c r="D182" s="10" t="inlineStr">
        <is>
          <t>Queenfishes</t>
        </is>
      </c>
      <c r="E182" s="10" t="inlineStr">
        <is>
          <t>Medium pelagics (30 - 89 cm)</t>
        </is>
      </c>
      <c r="F182" s="10" t="inlineStr">
        <is>
          <t>Perch-likes</t>
        </is>
      </c>
      <c r="G182" s="11" t="inlineStr">
        <is>
          <t>Juv.Lg.Pisciv.</t>
        </is>
      </c>
      <c r="H182" s="12" t="n">
        <v>0</v>
      </c>
      <c r="I182" s="10" t="inlineStr">
        <is>
          <t>model_catch</t>
        </is>
      </c>
      <c r="J182" s="13" t="inlineStr">
        <is>
          <t>medium</t>
        </is>
      </c>
      <c r="K182" s="10" t="inlineStr">
        <is>
          <t>composite_split</t>
        </is>
      </c>
      <c r="L182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82" s="10" t="n">
        <v>19300.02</v>
      </c>
    </row>
    <row r="183" ht="51" customHeight="1">
      <c r="A183" s="10" t="inlineStr">
        <is>
          <t>LME_035</t>
        </is>
      </c>
      <c r="B183" s="11" t="inlineStr">
        <is>
          <t>35_412_Gulf_of_Thailande_(1963)</t>
        </is>
      </c>
      <c r="C183" s="11" t="inlineStr">
        <is>
          <t>Caesio</t>
        </is>
      </c>
      <c r="D183" s="10" t="inlineStr">
        <is>
          <t>Caesios</t>
        </is>
      </c>
      <c r="E183" s="10" t="inlineStr">
        <is>
          <t>Medium reef assoc. fish (30 - 89 cm)</t>
        </is>
      </c>
      <c r="F183" s="10" t="inlineStr">
        <is>
          <t>Perch-likes</t>
        </is>
      </c>
      <c r="G183" s="11" t="inlineStr">
        <is>
          <t>Sm. pelagics</t>
        </is>
      </c>
      <c r="H183" s="12" t="n">
        <v>1</v>
      </c>
      <c r="I183" s="10" t="inlineStr">
        <is>
          <t>single</t>
        </is>
      </c>
      <c r="J183" s="13" t="inlineStr">
        <is>
          <t>medium</t>
        </is>
      </c>
      <c r="K183" s="10" t="inlineStr">
        <is>
          <t>habitat_size_guild</t>
        </is>
      </c>
      <c r="L183" s="11" t="inlineStr">
        <is>
          <t>Fusiliers feed in the water column primarily on zooplankton, consistent with the small-pelagic diet (90% zooplankton, 10% phytoplankton); O.fish corresponds to the source trash-fish pool. Inferred guild placement.</t>
        </is>
      </c>
      <c r="M183" s="10" t="n">
        <v>19032.931</v>
      </c>
    </row>
    <row r="184" ht="51" customHeight="1">
      <c r="A184" s="10" t="inlineStr">
        <is>
          <t>LME_035</t>
        </is>
      </c>
      <c r="B184" s="11" t="inlineStr">
        <is>
          <t>35_412_Gulf_of_Thailande_(1963)</t>
        </is>
      </c>
      <c r="C184" s="11" t="inlineStr">
        <is>
          <t>Charybdis anisodon</t>
        </is>
      </c>
      <c r="D184" s="10" t="inlineStr">
        <is>
          <t>Twospined arm swimming crab</t>
        </is>
      </c>
      <c r="E184" s="10" t="inlineStr">
        <is>
          <t>Lobsters, crabs</t>
        </is>
      </c>
      <c r="F184" s="10" t="inlineStr">
        <is>
          <t>Crustaceans</t>
        </is>
      </c>
      <c r="G184" s="11" t="inlineStr">
        <is>
          <t>Crab, lobster</t>
        </is>
      </c>
      <c r="H184" s="12" t="n">
        <v>1</v>
      </c>
      <c r="I184" s="10" t="inlineStr">
        <is>
          <t>single</t>
        </is>
      </c>
      <c r="J184" s="14" t="inlineStr">
        <is>
          <t>high</t>
        </is>
      </c>
      <c r="K184" s="10" t="inlineStr">
        <is>
          <t>taxonomic_containment</t>
        </is>
      </c>
      <c r="L184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84" s="10" t="n">
        <v>18952.536</v>
      </c>
    </row>
    <row r="185" ht="51" customHeight="1">
      <c r="A185" s="10" t="inlineStr">
        <is>
          <t>LME_035</t>
        </is>
      </c>
      <c r="B185" s="11" t="inlineStr">
        <is>
          <t>35_412_Gulf_of_Thailande_(1963)</t>
        </is>
      </c>
      <c r="C185" s="11" t="inlineStr">
        <is>
          <t>Mierspenaeopsis hardwickii</t>
        </is>
      </c>
      <c r="D185" s="10" t="inlineStr">
        <is>
          <t>Spear shrimp</t>
        </is>
      </c>
      <c r="E185" s="10" t="inlineStr">
        <is>
          <t>Shrimps</t>
        </is>
      </c>
      <c r="F185" s="10" t="inlineStr">
        <is>
          <t>Crustaceans</t>
        </is>
      </c>
      <c r="G185" s="11" t="inlineStr">
        <is>
          <t>Shrimps</t>
        </is>
      </c>
      <c r="H185" s="12" t="n">
        <v>1</v>
      </c>
      <c r="I185" s="10" t="inlineStr">
        <is>
          <t>single</t>
        </is>
      </c>
      <c r="J185" s="14" t="inlineStr">
        <is>
          <t>high</t>
        </is>
      </c>
      <c r="K185" s="10" t="inlineStr">
        <is>
          <t>taxonomic_containment</t>
        </is>
      </c>
      <c r="L185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85" s="10" t="n">
        <v>18848.152</v>
      </c>
    </row>
    <row r="186" ht="36" customHeight="1">
      <c r="A186" s="10" t="inlineStr">
        <is>
          <t>LME_035</t>
        </is>
      </c>
      <c r="B186" s="11" t="inlineStr">
        <is>
          <t>35_412_Gulf_of_Thailande_(1963)</t>
        </is>
      </c>
      <c r="C186" s="11" t="inlineStr">
        <is>
          <t>Plotosidae</t>
        </is>
      </c>
      <c r="D186" s="10" t="inlineStr">
        <is>
          <t>Eeltail catfishes</t>
        </is>
      </c>
      <c r="E186" s="10" t="inlineStr">
        <is>
          <t>Medium reef assoc. fish (30 - 89 cm)</t>
        </is>
      </c>
      <c r="F186" s="10" t="inlineStr">
        <is>
          <t>Other fishes &amp; inverts</t>
        </is>
      </c>
      <c r="G186" s="11" t="inlineStr">
        <is>
          <t>Med.dem.benth.</t>
        </is>
      </c>
      <c r="H186" s="12" t="n">
        <v>1</v>
      </c>
      <c r="I186" s="10" t="inlineStr">
        <is>
          <t>single</t>
        </is>
      </c>
      <c r="J186" s="13" t="inlineStr">
        <is>
          <t>medium</t>
        </is>
      </c>
      <c r="K186" s="10" t="inlineStr">
        <is>
          <t>habitat_size_guild</t>
        </is>
      </c>
      <c r="L186" s="11" t="inlineStr">
        <is>
          <t>Eeltail catfish are benthic omnivore/invertivore. Reviewed against the Ecobase group name and diet; the original paper p.130 lists important components but does not settle this taxon.</t>
        </is>
      </c>
      <c r="M186" s="10" t="n">
        <v>18764.628</v>
      </c>
    </row>
    <row r="187" ht="51" customHeight="1">
      <c r="A187" s="10" t="inlineStr">
        <is>
          <t>LME_035</t>
        </is>
      </c>
      <c r="B187" s="11" t="inlineStr">
        <is>
          <t>35_412_Gulf_of_Thailande_(1963)</t>
        </is>
      </c>
      <c r="C187" s="11" t="inlineStr">
        <is>
          <t>Dussumieria</t>
        </is>
      </c>
      <c r="D187" s="10" t="inlineStr">
        <is>
          <t>Rainbow sardines</t>
        </is>
      </c>
      <c r="E187" s="10" t="inlineStr">
        <is>
          <t>Small pelagics (&lt;30 cm)</t>
        </is>
      </c>
      <c r="F187" s="10" t="inlineStr">
        <is>
          <t>Herring-likes</t>
        </is>
      </c>
      <c r="G187" s="11" t="inlineStr">
        <is>
          <t>Sm. pelagics</t>
        </is>
      </c>
      <c r="H187" s="12" t="n">
        <v>1</v>
      </c>
      <c r="I187" s="10" t="inlineStr">
        <is>
          <t>single</t>
        </is>
      </c>
      <c r="J187" s="13" t="inlineStr">
        <is>
          <t>medium</t>
        </is>
      </c>
      <c r="K187" s="10" t="inlineStr">
        <is>
          <t>habitat_size_guild</t>
        </is>
      </c>
      <c r="L187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187" s="10" t="n">
        <v>18571.317</v>
      </c>
    </row>
    <row r="188" ht="51" customHeight="1">
      <c r="A188" s="10" t="inlineStr">
        <is>
          <t>LME_035</t>
        </is>
      </c>
      <c r="B188" s="11" t="inlineStr">
        <is>
          <t>35_412_Gulf_of_Thailande_(1963)</t>
        </is>
      </c>
      <c r="C188" s="11" t="inlineStr">
        <is>
          <t>Paralichthyidae</t>
        </is>
      </c>
      <c r="D188" s="10" t="inlineStr">
        <is>
          <t>Largetooth flounders</t>
        </is>
      </c>
      <c r="E188" s="10" t="inlineStr">
        <is>
          <t>Small to medium flatfishes (&lt;90 cm)</t>
        </is>
      </c>
      <c r="F188" s="10" t="inlineStr">
        <is>
          <t>Flatfishes</t>
        </is>
      </c>
      <c r="G188" s="11" t="inlineStr">
        <is>
          <t>Flatfish</t>
        </is>
      </c>
      <c r="H188" s="12" t="n">
        <v>1</v>
      </c>
      <c r="I188" s="10" t="inlineStr">
        <is>
          <t>single</t>
        </is>
      </c>
      <c r="J188" s="14" t="inlineStr">
        <is>
          <t>high</t>
        </is>
      </c>
      <c r="K188" s="10" t="inlineStr">
        <is>
          <t>taxonomic_containment</t>
        </is>
      </c>
      <c r="L188" s="11" t="inlineStr">
        <is>
          <t>Pleuronectiformes (flatfish) order or constituent family; matches the model's single Flatfish compartment. Reviewed against the Ecobase group name and diet; the original paper p.130 lists important components but does not settle this taxon.</t>
        </is>
      </c>
      <c r="M188" s="10" t="n">
        <v>16391.111</v>
      </c>
    </row>
    <row r="189" ht="66" customHeight="1">
      <c r="A189" s="10" t="inlineStr">
        <is>
          <t>LME_035</t>
        </is>
      </c>
      <c r="B189" s="11" t="inlineStr">
        <is>
          <t>35_412_Gulf_of_Thailande_(1963)</t>
        </is>
      </c>
      <c r="C189" s="11" t="inlineStr">
        <is>
          <t>Siganus canaliculatus</t>
        </is>
      </c>
      <c r="D189" s="10" t="inlineStr">
        <is>
          <t>White-spotted spinefoot</t>
        </is>
      </c>
      <c r="E189" s="10" t="inlineStr">
        <is>
          <t>Small reef assoc. fish (&lt;30 cm)</t>
        </is>
      </c>
      <c r="F189" s="10" t="inlineStr">
        <is>
          <t>Perch-likes</t>
        </is>
      </c>
      <c r="G189" s="11" t="inlineStr">
        <is>
          <t>O.fish</t>
        </is>
      </c>
      <c r="H189" s="12" t="n">
        <v>1</v>
      </c>
      <c r="I189" s="10" t="inlineStr">
        <is>
          <t>single</t>
        </is>
      </c>
      <c r="J189" s="15" t="inlineStr">
        <is>
          <t>low</t>
        </is>
      </c>
      <c r="K189" s="10" t="inlineStr">
        <is>
          <t>analogue</t>
        </is>
      </c>
      <c r="L189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89" s="10" t="n">
        <v>15573.461</v>
      </c>
    </row>
    <row r="190" ht="51" customHeight="1">
      <c r="A190" s="10" t="inlineStr">
        <is>
          <t>LME_035</t>
        </is>
      </c>
      <c r="B190" s="11" t="inlineStr">
        <is>
          <t>35_412_Gulf_of_Thailande_(1963)</t>
        </is>
      </c>
      <c r="C190" s="11" t="inlineStr">
        <is>
          <t>Plotosus</t>
        </is>
      </c>
      <c r="D190" s="10" t="inlineStr">
        <is>
          <t>Eel catfishes</t>
        </is>
      </c>
      <c r="E190" s="10" t="inlineStr">
        <is>
          <t>Medium reef assoc. fish (30 - 89 cm)</t>
        </is>
      </c>
      <c r="F190" s="10" t="inlineStr">
        <is>
          <t>Other fishes &amp; inverts</t>
        </is>
      </c>
      <c r="G190" s="11" t="inlineStr">
        <is>
          <t>Med.dem.benth.</t>
        </is>
      </c>
      <c r="H190" s="12" t="n">
        <v>1</v>
      </c>
      <c r="I190" s="10" t="inlineStr">
        <is>
          <t>single</t>
        </is>
      </c>
      <c r="J190" s="13" t="inlineStr">
        <is>
          <t>medium</t>
        </is>
      </c>
      <c r="K190" s="10" t="inlineStr">
        <is>
          <t>habitat_size_guild</t>
        </is>
      </c>
      <c r="L190" s="11" t="inlineStr">
        <is>
          <t>Eel catfish genus; same benthic omnivore guild as Plotosidae. Reviewed against the Ecobase group name and diet; the original paper p.130 lists important components but does not settle this taxon.</t>
        </is>
      </c>
      <c r="M190" s="10" t="n">
        <v>15389.393</v>
      </c>
    </row>
    <row r="191" ht="66" customHeight="1">
      <c r="A191" s="10" t="inlineStr">
        <is>
          <t>LME_035</t>
        </is>
      </c>
      <c r="B191" s="11" t="inlineStr">
        <is>
          <t>35_412_Gulf_of_Thailande_(1963)</t>
        </is>
      </c>
      <c r="C191" s="11" t="inlineStr">
        <is>
          <t>Siganidae</t>
        </is>
      </c>
      <c r="D191" s="10" t="inlineStr">
        <is>
          <t>Rabbitfishes</t>
        </is>
      </c>
      <c r="E191" s="10" t="inlineStr">
        <is>
          <t>Medium reef assoc. fish (30 - 89 cm)</t>
        </is>
      </c>
      <c r="F191" s="10" t="inlineStr">
        <is>
          <t>Perch-likes</t>
        </is>
      </c>
      <c r="G191" s="11" t="inlineStr">
        <is>
          <t>O.fish</t>
        </is>
      </c>
      <c r="H191" s="12" t="n">
        <v>1</v>
      </c>
      <c r="I191" s="10" t="inlineStr">
        <is>
          <t>single</t>
        </is>
      </c>
      <c r="J191" s="15" t="inlineStr">
        <is>
          <t>low</t>
        </is>
      </c>
      <c r="K191" s="10" t="inlineStr">
        <is>
          <t>analogue</t>
        </is>
      </c>
      <c r="L191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91" s="10" t="n">
        <v>14752.074</v>
      </c>
    </row>
    <row r="192" ht="51" customHeight="1">
      <c r="A192" s="10" t="inlineStr">
        <is>
          <t>LME_035</t>
        </is>
      </c>
      <c r="B192" s="11" t="inlineStr">
        <is>
          <t>35_412_Gulf_of_Thailande_(1963)</t>
        </is>
      </c>
      <c r="C192" s="11" t="inlineStr">
        <is>
          <t>Panulirus longipes</t>
        </is>
      </c>
      <c r="D192" s="10" t="inlineStr">
        <is>
          <t>Longlegged spiny lobster</t>
        </is>
      </c>
      <c r="E192" s="10" t="inlineStr">
        <is>
          <t>Lobsters, crabs</t>
        </is>
      </c>
      <c r="F192" s="10" t="inlineStr">
        <is>
          <t>Crustaceans</t>
        </is>
      </c>
      <c r="G192" s="11" t="inlineStr">
        <is>
          <t>Crab, lobster</t>
        </is>
      </c>
      <c r="H192" s="12" t="n">
        <v>1</v>
      </c>
      <c r="I192" s="10" t="inlineStr">
        <is>
          <t>single</t>
        </is>
      </c>
      <c r="J192" s="14" t="inlineStr">
        <is>
          <t>high</t>
        </is>
      </c>
      <c r="K192" s="10" t="inlineStr">
        <is>
          <t>taxonomic_containment</t>
        </is>
      </c>
      <c r="L192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92" s="10" t="n">
        <v>13717.706</v>
      </c>
    </row>
    <row r="193" ht="51" customHeight="1">
      <c r="A193" s="10" t="inlineStr">
        <is>
          <t>LME_035</t>
        </is>
      </c>
      <c r="B193" s="11" t="inlineStr">
        <is>
          <t>35_412_Gulf_of_Thailande_(1963)</t>
        </is>
      </c>
      <c r="C193" s="11" t="inlineStr">
        <is>
          <t>Solenocera crassicornis</t>
        </is>
      </c>
      <c r="D193" s="10" t="inlineStr">
        <is>
          <t>Coastal mud shrimp</t>
        </is>
      </c>
      <c r="E193" s="10" t="inlineStr">
        <is>
          <t>Shrimps</t>
        </is>
      </c>
      <c r="F193" s="10" t="inlineStr">
        <is>
          <t>Crustaceans</t>
        </is>
      </c>
      <c r="G193" s="11" t="inlineStr">
        <is>
          <t>Shrimps</t>
        </is>
      </c>
      <c r="H193" s="12" t="n">
        <v>1</v>
      </c>
      <c r="I193" s="10" t="inlineStr">
        <is>
          <t>single</t>
        </is>
      </c>
      <c r="J193" s="14" t="inlineStr">
        <is>
          <t>high</t>
        </is>
      </c>
      <c r="K193" s="10" t="inlineStr">
        <is>
          <t>taxonomic_containment</t>
        </is>
      </c>
      <c r="L193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93" s="10" t="n">
        <v>13127.3</v>
      </c>
    </row>
    <row r="194" ht="51" customHeight="1">
      <c r="A194" s="10" t="inlineStr">
        <is>
          <t>LME_035</t>
        </is>
      </c>
      <c r="B194" s="11" t="inlineStr">
        <is>
          <t>35_412_Gulf_of_Thailande_(1963)</t>
        </is>
      </c>
      <c r="C194" s="11" t="inlineStr">
        <is>
          <t>Rhizostomeae</t>
        </is>
      </c>
      <c r="D194" s="10" t="inlineStr">
        <is>
          <t>Oral arm jellyfishes</t>
        </is>
      </c>
      <c r="E194" s="10" t="inlineStr">
        <is>
          <t>Jellyfish</t>
        </is>
      </c>
      <c r="F194" s="10" t="inlineStr">
        <is>
          <t>Other fishes &amp; inverts</t>
        </is>
      </c>
      <c r="G194" s="11" t="inlineStr">
        <is>
          <t>Jellyfish</t>
        </is>
      </c>
      <c r="H194" s="12" t="n">
        <v>1</v>
      </c>
      <c r="I194" s="10" t="inlineStr">
        <is>
          <t>single</t>
        </is>
      </c>
      <c r="J194" s="14" t="inlineStr">
        <is>
          <t>high</t>
        </is>
      </c>
      <c r="K194" s="10" t="inlineStr">
        <is>
          <t>taxonomic_containment</t>
        </is>
      </c>
      <c r="L194" s="11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  <c r="M194" s="10" t="n">
        <v>12440.208</v>
      </c>
    </row>
    <row r="195" ht="66" customHeight="1">
      <c r="A195" s="10" t="inlineStr">
        <is>
          <t>LME_035</t>
        </is>
      </c>
      <c r="B195" s="11" t="inlineStr">
        <is>
          <t>35_412_Gulf_of_Thailande_(1963)</t>
        </is>
      </c>
      <c r="C195" s="11" t="inlineStr">
        <is>
          <t>Elagatis bipinnulata</t>
        </is>
      </c>
      <c r="D195" s="10" t="inlineStr">
        <is>
          <t>Rainbow runner</t>
        </is>
      </c>
      <c r="E195" s="10" t="inlineStr">
        <is>
          <t>Large pelagics (&gt;=90 cm)</t>
        </is>
      </c>
      <c r="F195" s="10" t="inlineStr">
        <is>
          <t>Perch-likes</t>
        </is>
      </c>
      <c r="G195" s="11" t="inlineStr">
        <is>
          <t>Lg. piscivores</t>
        </is>
      </c>
      <c r="H195" s="12" t="n">
        <v>1</v>
      </c>
      <c r="I195" s="10" t="inlineStr">
        <is>
          <t>model_catch</t>
        </is>
      </c>
      <c r="J195" s="13" t="inlineStr">
        <is>
          <t>medium</t>
        </is>
      </c>
      <c r="K195" s="10" t="inlineStr">
        <is>
          <t>composite_split</t>
        </is>
      </c>
      <c r="L195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95" s="10" t="n">
        <v>12020.245</v>
      </c>
    </row>
    <row r="196" ht="66" customHeight="1">
      <c r="A196" s="10" t="inlineStr">
        <is>
          <t>LME_035</t>
        </is>
      </c>
      <c r="B196" s="11" t="inlineStr">
        <is>
          <t>35_412_Gulf_of_Thailande_(1963)</t>
        </is>
      </c>
      <c r="C196" s="11" t="inlineStr">
        <is>
          <t>Elagatis bipinnulata</t>
        </is>
      </c>
      <c r="D196" s="10" t="inlineStr">
        <is>
          <t>Rainbow runner</t>
        </is>
      </c>
      <c r="E196" s="10" t="inlineStr">
        <is>
          <t>Large pelagics (&gt;=90 cm)</t>
        </is>
      </c>
      <c r="F196" s="10" t="inlineStr">
        <is>
          <t>Perch-likes</t>
        </is>
      </c>
      <c r="G196" s="11" t="inlineStr">
        <is>
          <t>Juv.Lg.Pisciv.</t>
        </is>
      </c>
      <c r="H196" s="12" t="n">
        <v>0</v>
      </c>
      <c r="I196" s="10" t="inlineStr">
        <is>
          <t>model_catch</t>
        </is>
      </c>
      <c r="J196" s="13" t="inlineStr">
        <is>
          <t>medium</t>
        </is>
      </c>
      <c r="K196" s="10" t="inlineStr">
        <is>
          <t>composite_split</t>
        </is>
      </c>
      <c r="L196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96" s="10" t="n">
        <v>12020.245</v>
      </c>
    </row>
    <row r="197" ht="51" customHeight="1">
      <c r="A197" s="10" t="inlineStr">
        <is>
          <t>LME_035</t>
        </is>
      </c>
      <c r="B197" s="11" t="inlineStr">
        <is>
          <t>35_412_Gulf_of_Thailande_(1963)</t>
        </is>
      </c>
      <c r="C197" s="11" t="inlineStr">
        <is>
          <t>Istiophorus</t>
        </is>
      </c>
      <c r="D197" s="10" t="inlineStr">
        <is>
          <t>Sailfishes</t>
        </is>
      </c>
      <c r="E197" s="10" t="inlineStr">
        <is>
          <t>Large pelagics (&gt;=90 cm)</t>
        </is>
      </c>
      <c r="F197" s="10" t="inlineStr">
        <is>
          <t>Tuna &amp; billfishes</t>
        </is>
      </c>
      <c r="G197" s="11" t="inlineStr">
        <is>
          <t>Unresolved</t>
        </is>
      </c>
      <c r="H197" s="12" t="n"/>
      <c r="I197" s="10" t="inlineStr"/>
      <c r="J197" s="16" t="inlineStr">
        <is>
          <t>unresolved</t>
        </is>
      </c>
      <c r="K197" s="10" t="inlineStr">
        <is>
          <t>none</t>
        </is>
      </c>
      <c r="L197" s="11" t="inlineStr">
        <is>
          <t>Sailfish genus (Istiophoridae), not Scombridae; the 1963 shallow Gulf of Thailand shelf model has no billfish compartment and oceanic epipelagic billfish are outside its likely original scope.</t>
        </is>
      </c>
      <c r="M197" s="10" t="n">
        <v>11854.2</v>
      </c>
    </row>
    <row r="198" ht="51" customHeight="1">
      <c r="A198" s="10" t="inlineStr">
        <is>
          <t>LME_035</t>
        </is>
      </c>
      <c r="B198" s="11" t="inlineStr">
        <is>
          <t>35_412_Gulf_of_Thailande_(1963)</t>
        </is>
      </c>
      <c r="C198" s="11" t="inlineStr">
        <is>
          <t>Thunnus obesus</t>
        </is>
      </c>
      <c r="D198" s="10" t="inlineStr">
        <is>
          <t>Bigeye tuna</t>
        </is>
      </c>
      <c r="E198" s="10" t="inlineStr">
        <is>
          <t>Large pelagics (&gt;=90 cm)</t>
        </is>
      </c>
      <c r="F198" s="10" t="inlineStr">
        <is>
          <t>Tuna &amp; billfishes</t>
        </is>
      </c>
      <c r="G198" s="11" t="inlineStr">
        <is>
          <t>Tuna</t>
        </is>
      </c>
      <c r="H198" s="12" t="n">
        <v>1</v>
      </c>
      <c r="I198" s="10" t="inlineStr">
        <is>
          <t>single</t>
        </is>
      </c>
      <c r="J198" s="13" t="inlineStr">
        <is>
          <t>medium</t>
        </is>
      </c>
      <c r="K198" s="10" t="inlineStr">
        <is>
          <t>habitat_size_guild</t>
        </is>
      </c>
      <c r="L198" s="11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198" s="10" t="n">
        <v>11258.814</v>
      </c>
    </row>
    <row r="199" ht="51" customHeight="1">
      <c r="A199" s="10" t="inlineStr">
        <is>
          <t>LME_035</t>
        </is>
      </c>
      <c r="B199" s="11" t="inlineStr">
        <is>
          <t>35_412_Gulf_of_Thailande_(1963)</t>
        </is>
      </c>
      <c r="C199" s="11" t="inlineStr">
        <is>
          <t>Lates calcarifer</t>
        </is>
      </c>
      <c r="D199" s="10" t="inlineStr">
        <is>
          <t>Barramundi</t>
        </is>
      </c>
      <c r="E199" s="10" t="inlineStr">
        <is>
          <t>Large demersals (&gt;=90 cm)</t>
        </is>
      </c>
      <c r="F199" s="10" t="inlineStr">
        <is>
          <t>Perch-likes</t>
        </is>
      </c>
      <c r="G199" s="11" t="inlineStr">
        <is>
          <t>Lg. piscivores</t>
        </is>
      </c>
      <c r="H199" s="12" t="n">
        <v>1</v>
      </c>
      <c r="I199" s="10" t="inlineStr">
        <is>
          <t>model_catch</t>
        </is>
      </c>
      <c r="J199" s="13" t="inlineStr">
        <is>
          <t>medium</t>
        </is>
      </c>
      <c r="K199" s="10" t="inlineStr">
        <is>
          <t>composite_split</t>
        </is>
      </c>
      <c r="L199" s="11" t="inlineStr">
        <is>
          <t>Barramundi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199" s="10" t="n">
        <v>10870.203</v>
      </c>
    </row>
    <row r="200" ht="51" customHeight="1">
      <c r="A200" s="10" t="inlineStr">
        <is>
          <t>LME_035</t>
        </is>
      </c>
      <c r="B200" s="11" t="inlineStr">
        <is>
          <t>35_412_Gulf_of_Thailande_(1963)</t>
        </is>
      </c>
      <c r="C200" s="11" t="inlineStr">
        <is>
          <t>Lates calcarifer</t>
        </is>
      </c>
      <c r="D200" s="10" t="inlineStr">
        <is>
          <t>Barramundi</t>
        </is>
      </c>
      <c r="E200" s="10" t="inlineStr">
        <is>
          <t>Large demersals (&gt;=90 cm)</t>
        </is>
      </c>
      <c r="F200" s="10" t="inlineStr">
        <is>
          <t>Perch-likes</t>
        </is>
      </c>
      <c r="G200" s="11" t="inlineStr">
        <is>
          <t>Juv.Lg.Pisciv.</t>
        </is>
      </c>
      <c r="H200" s="12" t="n">
        <v>0</v>
      </c>
      <c r="I200" s="10" t="inlineStr">
        <is>
          <t>model_catch</t>
        </is>
      </c>
      <c r="J200" s="13" t="inlineStr">
        <is>
          <t>medium</t>
        </is>
      </c>
      <c r="K200" s="10" t="inlineStr">
        <is>
          <t>composite_split</t>
        </is>
      </c>
      <c r="L200" s="11" t="inlineStr">
        <is>
          <t>Barramundi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200" s="10" t="n">
        <v>10870.203</v>
      </c>
    </row>
    <row r="201" ht="51" customHeight="1">
      <c r="A201" s="10" t="inlineStr">
        <is>
          <t>LME_035</t>
        </is>
      </c>
      <c r="B201" s="11" t="inlineStr">
        <is>
          <t>35_412_Gulf_of_Thailande_(1963)</t>
        </is>
      </c>
      <c r="C201" s="11" t="inlineStr">
        <is>
          <t>Monacanthidae</t>
        </is>
      </c>
      <c r="D201" s="10" t="inlineStr">
        <is>
          <t>Filefishes</t>
        </is>
      </c>
      <c r="E201" s="10" t="inlineStr">
        <is>
          <t>Medium reef assoc. fish (30 - 89 cm)</t>
        </is>
      </c>
      <c r="F201" s="10" t="inlineStr">
        <is>
          <t>Other fishes &amp; inverts</t>
        </is>
      </c>
      <c r="G201" s="11" t="inlineStr">
        <is>
          <t>Med.dem.benth.</t>
        </is>
      </c>
      <c r="H201" s="12" t="n">
        <v>1</v>
      </c>
      <c r="I201" s="10" t="inlineStr">
        <is>
          <t>single</t>
        </is>
      </c>
      <c r="J201" s="13" t="inlineStr">
        <is>
          <t>medium</t>
        </is>
      </c>
      <c r="K201" s="10" t="inlineStr">
        <is>
          <t>habitat_size_guild</t>
        </is>
      </c>
      <c r="L201" s="11" t="inlineStr">
        <is>
          <t>Filefish feed on benthic invertebrates/algae (invertivore-omnivore). Reviewed against the Ecobase group name and diet; the original paper p.130 lists important components but does not settle this taxon.</t>
        </is>
      </c>
      <c r="M201" s="10" t="n">
        <v>10084.043</v>
      </c>
    </row>
    <row r="202" ht="51" customHeight="1">
      <c r="A202" s="10" t="inlineStr">
        <is>
          <t>LME_035</t>
        </is>
      </c>
      <c r="B202" s="11" t="inlineStr">
        <is>
          <t>35_412_Gulf_of_Thailande_(1963)</t>
        </is>
      </c>
      <c r="C202" s="11" t="inlineStr">
        <is>
          <t>Thunnus</t>
        </is>
      </c>
      <c r="D202" s="10" t="inlineStr">
        <is>
          <t>Tunas</t>
        </is>
      </c>
      <c r="E202" s="10" t="inlineStr">
        <is>
          <t>Large pelagics (&gt;=90 cm)</t>
        </is>
      </c>
      <c r="F202" s="10" t="inlineStr">
        <is>
          <t>Tuna &amp; billfishes</t>
        </is>
      </c>
      <c r="G202" s="11" t="inlineStr">
        <is>
          <t>Tuna</t>
        </is>
      </c>
      <c r="H202" s="12" t="n">
        <v>1</v>
      </c>
      <c r="I202" s="10" t="inlineStr">
        <is>
          <t>single</t>
        </is>
      </c>
      <c r="J202" s="13" t="inlineStr">
        <is>
          <t>medium</t>
        </is>
      </c>
      <c r="K202" s="10" t="inlineStr">
        <is>
          <t>habitat_size_guild</t>
        </is>
      </c>
      <c r="L202" s="11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202" s="10" t="n">
        <v>9400.198</v>
      </c>
    </row>
    <row r="203" ht="66" customHeight="1">
      <c r="A203" s="10" t="inlineStr">
        <is>
          <t>LME_035</t>
        </is>
      </c>
      <c r="B203" s="11" t="inlineStr">
        <is>
          <t>35_412_Gulf_of_Thailande_(1963)</t>
        </is>
      </c>
      <c r="C203" s="11" t="inlineStr">
        <is>
          <t>Bivalvia</t>
        </is>
      </c>
      <c r="D203" s="10" t="inlineStr">
        <is>
          <t>Clams</t>
        </is>
      </c>
      <c r="E203" s="10" t="inlineStr">
        <is>
          <t>Other demersal invertebrates</t>
        </is>
      </c>
      <c r="F203" s="10" t="inlineStr">
        <is>
          <t>Molluscs</t>
        </is>
      </c>
      <c r="G203" s="11" t="inlineStr">
        <is>
          <t>Molluscs</t>
        </is>
      </c>
      <c r="H203" s="12" t="n">
        <v>1</v>
      </c>
      <c r="I203" s="10" t="inlineStr">
        <is>
          <t>single</t>
        </is>
      </c>
      <c r="J203" s="14" t="inlineStr">
        <is>
          <t>high</t>
        </is>
      </c>
      <c r="K203" s="10" t="inlineStr">
        <is>
          <t>taxonomic_containment</t>
        </is>
      </c>
      <c r="L203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03" s="10" t="n">
        <v>8165.47</v>
      </c>
    </row>
    <row r="204" ht="66" customHeight="1">
      <c r="A204" s="10" t="inlineStr">
        <is>
          <t>LME_035</t>
        </is>
      </c>
      <c r="B204" s="11" t="inlineStr">
        <is>
          <t>35_412_Gulf_of_Thailande_(1963)</t>
        </is>
      </c>
      <c r="C204" s="11" t="inlineStr">
        <is>
          <t>Scarus</t>
        </is>
      </c>
      <c r="D204" s="10" t="inlineStr">
        <is>
          <t>Parrots</t>
        </is>
      </c>
      <c r="E204" s="10" t="inlineStr">
        <is>
          <t>Medium reef assoc. fish (30 - 89 cm)</t>
        </is>
      </c>
      <c r="F204" s="10" t="inlineStr">
        <is>
          <t>Perch-likes</t>
        </is>
      </c>
      <c r="G204" s="11" t="inlineStr">
        <is>
          <t>O.fish</t>
        </is>
      </c>
      <c r="H204" s="12" t="n">
        <v>1</v>
      </c>
      <c r="I204" s="10" t="inlineStr">
        <is>
          <t>single</t>
        </is>
      </c>
      <c r="J204" s="15" t="inlineStr">
        <is>
          <t>low</t>
        </is>
      </c>
      <c r="K204" s="10" t="inlineStr">
        <is>
          <t>analogue</t>
        </is>
      </c>
      <c r="L204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204" s="10" t="n">
        <v>8012.332</v>
      </c>
    </row>
    <row r="205" ht="51" customHeight="1">
      <c r="A205" s="10" t="inlineStr">
        <is>
          <t>LME_035</t>
        </is>
      </c>
      <c r="B205" s="11" t="inlineStr">
        <is>
          <t>35_412_Gulf_of_Thailande_(1963)</t>
        </is>
      </c>
      <c r="C205" s="11" t="inlineStr">
        <is>
          <t>Lactarius lactarius</t>
        </is>
      </c>
      <c r="D205" s="10" t="inlineStr">
        <is>
          <t>False trevally</t>
        </is>
      </c>
      <c r="E205" s="10" t="inlineStr">
        <is>
          <t>Medium pelagics (30 - 89 cm)</t>
        </is>
      </c>
      <c r="F205" s="10" t="inlineStr">
        <is>
          <t>Perch-likes</t>
        </is>
      </c>
      <c r="G205" s="11" t="inlineStr">
        <is>
          <t>Med.dem.pisc.</t>
        </is>
      </c>
      <c r="H205" s="12" t="n">
        <v>1</v>
      </c>
      <c r="I205" s="10" t="inlineStr">
        <is>
          <t>single</t>
        </is>
      </c>
      <c r="J205" s="14" t="inlineStr">
        <is>
          <t>high</t>
        </is>
      </c>
      <c r="K205" s="10" t="inlineStr">
        <is>
          <t>taxonomic_containment</t>
        </is>
      </c>
      <c r="L20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05" s="10" t="n">
        <v>7901.677</v>
      </c>
    </row>
    <row r="206" ht="51" customHeight="1">
      <c r="A206" s="10" t="inlineStr">
        <is>
          <t>LME_035</t>
        </is>
      </c>
      <c r="B206" s="11" t="inlineStr">
        <is>
          <t>35_412_Gulf_of_Thailande_(1963)</t>
        </is>
      </c>
      <c r="C206" s="11" t="inlineStr">
        <is>
          <t>Drepane</t>
        </is>
      </c>
      <c r="D206" s="10" t="inlineStr">
        <is>
          <t>Sicklefishes</t>
        </is>
      </c>
      <c r="E206" s="10" t="inlineStr">
        <is>
          <t>Medium benthopelagics (30 - 89 cm)</t>
        </is>
      </c>
      <c r="F206" s="10" t="inlineStr">
        <is>
          <t>Perch-likes</t>
        </is>
      </c>
      <c r="G206" s="11" t="inlineStr">
        <is>
          <t>Med.dem.benth.</t>
        </is>
      </c>
      <c r="H206" s="12" t="n">
        <v>1</v>
      </c>
      <c r="I206" s="10" t="inlineStr">
        <is>
          <t>single</t>
        </is>
      </c>
      <c r="J206" s="13" t="inlineStr">
        <is>
          <t>medium</t>
        </is>
      </c>
      <c r="K206" s="10" t="inlineStr">
        <is>
          <t>habitat_size_guild</t>
        </is>
      </c>
      <c r="L206" s="11" t="inlineStr">
        <is>
          <t>Sicklefish; benthopelagic feeder mapped to the closest generic compartment absent a dedicated group. Reviewed against the Ecobase group name and diet; the original paper p.130 lists important components but does not settle this taxon.</t>
        </is>
      </c>
      <c r="M206" s="10" t="n">
        <v>7584.038</v>
      </c>
    </row>
    <row r="207" ht="51" customHeight="1">
      <c r="A207" s="10" t="inlineStr">
        <is>
          <t>LME_035</t>
        </is>
      </c>
      <c r="B207" s="11" t="inlineStr">
        <is>
          <t>35_412_Gulf_of_Thailande_(1963)</t>
        </is>
      </c>
      <c r="C207" s="11" t="inlineStr">
        <is>
          <t>Lethrinus</t>
        </is>
      </c>
      <c r="D207" s="10" t="inlineStr">
        <is>
          <t>Emperors</t>
        </is>
      </c>
      <c r="E207" s="10" t="inlineStr">
        <is>
          <t>Medium reef assoc. fish (30 - 89 cm)</t>
        </is>
      </c>
      <c r="F207" s="10" t="inlineStr">
        <is>
          <t>Perch-likes</t>
        </is>
      </c>
      <c r="G207" s="11" t="inlineStr">
        <is>
          <t>Med.dem.pisc.</t>
        </is>
      </c>
      <c r="H207" s="12" t="n">
        <v>1</v>
      </c>
      <c r="I207" s="10" t="inlineStr">
        <is>
          <t>single</t>
        </is>
      </c>
      <c r="J207" s="14" t="inlineStr">
        <is>
          <t>high</t>
        </is>
      </c>
      <c r="K207" s="10" t="inlineStr">
        <is>
          <t>explicit_member</t>
        </is>
      </c>
      <c r="L20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07" s="10" t="n">
        <v>7265.591</v>
      </c>
    </row>
    <row r="208" ht="51" customHeight="1">
      <c r="A208" s="10" t="inlineStr">
        <is>
          <t>LME_035</t>
        </is>
      </c>
      <c r="B208" s="11" t="inlineStr">
        <is>
          <t>35_412_Gulf_of_Thailande_(1963)</t>
        </is>
      </c>
      <c r="C208" s="11" t="inlineStr">
        <is>
          <t>Dussumieria elopsoides</t>
        </is>
      </c>
      <c r="D208" s="10" t="inlineStr">
        <is>
          <t>Slender rainbow sardine</t>
        </is>
      </c>
      <c r="E208" s="10" t="inlineStr">
        <is>
          <t>Small pelagics (&lt;30 cm)</t>
        </is>
      </c>
      <c r="F208" s="10" t="inlineStr">
        <is>
          <t>Herring-likes</t>
        </is>
      </c>
      <c r="G208" s="11" t="inlineStr">
        <is>
          <t>Sm. pelagics</t>
        </is>
      </c>
      <c r="H208" s="12" t="n">
        <v>1</v>
      </c>
      <c r="I208" s="10" t="inlineStr">
        <is>
          <t>single</t>
        </is>
      </c>
      <c r="J208" s="13" t="inlineStr">
        <is>
          <t>medium</t>
        </is>
      </c>
      <c r="K208" s="10" t="inlineStr">
        <is>
          <t>habitat_size_guild</t>
        </is>
      </c>
      <c r="L208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08" s="10" t="n">
        <v>7124.206</v>
      </c>
    </row>
    <row r="209" ht="51" customHeight="1">
      <c r="A209" s="10" t="inlineStr">
        <is>
          <t>LME_035</t>
        </is>
      </c>
      <c r="B209" s="11" t="inlineStr">
        <is>
          <t>35_412_Gulf_of_Thailande_(1963)</t>
        </is>
      </c>
      <c r="C209" s="11" t="inlineStr">
        <is>
          <t>Rastrelliger brachysoma</t>
        </is>
      </c>
      <c r="D209" s="10" t="inlineStr">
        <is>
          <t>Short mackerel</t>
        </is>
      </c>
      <c r="E209" s="10" t="inlineStr">
        <is>
          <t>Medium pelagics (30 - 89 cm)</t>
        </is>
      </c>
      <c r="F209" s="10" t="inlineStr">
        <is>
          <t>Perch-likes</t>
        </is>
      </c>
      <c r="G209" s="11" t="inlineStr">
        <is>
          <t>Mackerel</t>
        </is>
      </c>
      <c r="H209" s="12" t="n">
        <v>1</v>
      </c>
      <c r="I209" s="10" t="inlineStr">
        <is>
          <t>single</t>
        </is>
      </c>
      <c r="J209" s="14" t="inlineStr">
        <is>
          <t>high</t>
        </is>
      </c>
      <c r="K209" s="10" t="inlineStr">
        <is>
          <t>taxonomic_containment</t>
        </is>
      </c>
      <c r="L20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09" s="10" t="n">
        <v>6247.989</v>
      </c>
    </row>
    <row r="210" ht="51" customHeight="1">
      <c r="A210" s="10" t="inlineStr">
        <is>
          <t>LME_035</t>
        </is>
      </c>
      <c r="B210" s="11" t="inlineStr">
        <is>
          <t>35_412_Gulf_of_Thailande_(1963)</t>
        </is>
      </c>
      <c r="C210" s="11" t="inlineStr">
        <is>
          <t>Photopectoralis bindus</t>
        </is>
      </c>
      <c r="D210" s="10" t="inlineStr">
        <is>
          <t>Orangefin ponyfish</t>
        </is>
      </c>
      <c r="E210" s="10" t="inlineStr">
        <is>
          <t>Large reef assoc. fish (&gt;=90 cm)</t>
        </is>
      </c>
      <c r="F210" s="10" t="inlineStr">
        <is>
          <t>Perch-likes</t>
        </is>
      </c>
      <c r="G210" s="11" t="inlineStr">
        <is>
          <t>Ponyfishes</t>
        </is>
      </c>
      <c r="H210" s="12" t="n">
        <v>1</v>
      </c>
      <c r="I210" s="10" t="inlineStr">
        <is>
          <t>single</t>
        </is>
      </c>
      <c r="J210" s="14" t="inlineStr">
        <is>
          <t>high</t>
        </is>
      </c>
      <c r="K210" s="10" t="inlineStr">
        <is>
          <t>taxonomic_containment</t>
        </is>
      </c>
      <c r="L210" s="11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  <c r="M210" s="10" t="n">
        <v>6242.333</v>
      </c>
    </row>
    <row r="211" ht="36" customHeight="1">
      <c r="A211" s="10" t="inlineStr">
        <is>
          <t>LME_035</t>
        </is>
      </c>
      <c r="B211" s="11" t="inlineStr">
        <is>
          <t>35_412_Gulf_of_Thailande_(1963)</t>
        </is>
      </c>
      <c r="C211" s="11" t="inlineStr">
        <is>
          <t>Istiophoridae</t>
        </is>
      </c>
      <c r="D211" s="10" t="inlineStr">
        <is>
          <t>Billfishes</t>
        </is>
      </c>
      <c r="E211" s="10" t="inlineStr">
        <is>
          <t>Large pelagics (&gt;=90 cm)</t>
        </is>
      </c>
      <c r="F211" s="10" t="inlineStr">
        <is>
          <t>Tuna &amp; billfishes</t>
        </is>
      </c>
      <c r="G211" s="11" t="inlineStr">
        <is>
          <t>Unresolved</t>
        </is>
      </c>
      <c r="H211" s="12" t="n"/>
      <c r="I211" s="10" t="inlineStr"/>
      <c r="J211" s="16" t="inlineStr">
        <is>
          <t>unresolved</t>
        </is>
      </c>
      <c r="K211" s="10" t="inlineStr">
        <is>
          <t>none</t>
        </is>
      </c>
      <c r="L211" s="11" t="inlineStr">
        <is>
          <t>Billfish family, taxonomically distinct from Scombridae Tuna; no billfish compartment in this model.</t>
        </is>
      </c>
      <c r="M211" s="10" t="n">
        <v>6152.41</v>
      </c>
    </row>
    <row r="212" ht="51" customHeight="1">
      <c r="A212" s="10" t="inlineStr">
        <is>
          <t>LME_035</t>
        </is>
      </c>
      <c r="B212" s="11" t="inlineStr">
        <is>
          <t>35_412_Gulf_of_Thailande_(1963)</t>
        </is>
      </c>
      <c r="C212" s="11" t="inlineStr">
        <is>
          <t>Palinuridae</t>
        </is>
      </c>
      <c r="D212" s="10" t="inlineStr">
        <is>
          <t>Spiny lobsters</t>
        </is>
      </c>
      <c r="E212" s="10" t="inlineStr">
        <is>
          <t>Lobsters, crabs</t>
        </is>
      </c>
      <c r="F212" s="10" t="inlineStr">
        <is>
          <t>Crustaceans</t>
        </is>
      </c>
      <c r="G212" s="11" t="inlineStr">
        <is>
          <t>Crab, lobster</t>
        </is>
      </c>
      <c r="H212" s="12" t="n">
        <v>1</v>
      </c>
      <c r="I212" s="10" t="inlineStr">
        <is>
          <t>single</t>
        </is>
      </c>
      <c r="J212" s="14" t="inlineStr">
        <is>
          <t>high</t>
        </is>
      </c>
      <c r="K212" s="10" t="inlineStr">
        <is>
          <t>taxonomic_containment</t>
        </is>
      </c>
      <c r="L212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12" s="10" t="n">
        <v>6131.358</v>
      </c>
    </row>
    <row r="213" ht="51" customHeight="1">
      <c r="A213" s="10" t="inlineStr">
        <is>
          <t>LME_035</t>
        </is>
      </c>
      <c r="B213" s="11" t="inlineStr">
        <is>
          <t>35_412_Gulf_of_Thailande_(1963)</t>
        </is>
      </c>
      <c r="C213" s="11" t="inlineStr">
        <is>
          <t>Gazza minuta</t>
        </is>
      </c>
      <c r="D213" s="10" t="inlineStr">
        <is>
          <t>Toothpony</t>
        </is>
      </c>
      <c r="E213" s="10" t="inlineStr">
        <is>
          <t>Small demersals (&lt;30 cm)</t>
        </is>
      </c>
      <c r="F213" s="10" t="inlineStr">
        <is>
          <t>Perch-likes</t>
        </is>
      </c>
      <c r="G213" s="11" t="inlineStr">
        <is>
          <t>Ponyfishes</t>
        </is>
      </c>
      <c r="H213" s="12" t="n">
        <v>1</v>
      </c>
      <c r="I213" s="10" t="inlineStr">
        <is>
          <t>single</t>
        </is>
      </c>
      <c r="J213" s="14" t="inlineStr">
        <is>
          <t>high</t>
        </is>
      </c>
      <c r="K213" s="10" t="inlineStr">
        <is>
          <t>taxonomic_containment</t>
        </is>
      </c>
      <c r="L213" s="11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  <c r="M213" s="10" t="n">
        <v>5502.37</v>
      </c>
    </row>
    <row r="214" ht="51" customHeight="1">
      <c r="A214" s="10" t="inlineStr">
        <is>
          <t>LME_035</t>
        </is>
      </c>
      <c r="B214" s="11" t="inlineStr">
        <is>
          <t>35_412_Gulf_of_Thailande_(1963)</t>
        </is>
      </c>
      <c r="C214" s="11" t="inlineStr">
        <is>
          <t>Sardinella fimbriata</t>
        </is>
      </c>
      <c r="D214" s="10" t="inlineStr">
        <is>
          <t>Fringescale sardinella</t>
        </is>
      </c>
      <c r="E214" s="10" t="inlineStr">
        <is>
          <t>Small pelagics (&lt;30 cm)</t>
        </is>
      </c>
      <c r="F214" s="10" t="inlineStr">
        <is>
          <t>Herring-likes</t>
        </is>
      </c>
      <c r="G214" s="11" t="inlineStr">
        <is>
          <t>Sm. pelagics</t>
        </is>
      </c>
      <c r="H214" s="12" t="n">
        <v>1</v>
      </c>
      <c r="I214" s="10" t="inlineStr">
        <is>
          <t>single</t>
        </is>
      </c>
      <c r="J214" s="13" t="inlineStr">
        <is>
          <t>medium</t>
        </is>
      </c>
      <c r="K214" s="10" t="inlineStr">
        <is>
          <t>habitat_size_guild</t>
        </is>
      </c>
      <c r="L214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14" s="10" t="n">
        <v>5338.104</v>
      </c>
    </row>
    <row r="215" ht="66" customHeight="1">
      <c r="A215" s="10" t="inlineStr">
        <is>
          <t>LME_035</t>
        </is>
      </c>
      <c r="B215" s="11" t="inlineStr">
        <is>
          <t>35_412_Gulf_of_Thailande_(1963)</t>
        </is>
      </c>
      <c r="C215" s="11" t="inlineStr">
        <is>
          <t>Terapon theraps</t>
        </is>
      </c>
      <c r="D215" s="10" t="inlineStr">
        <is>
          <t>Largescaled terapon</t>
        </is>
      </c>
      <c r="E215" s="10" t="inlineStr">
        <is>
          <t>Small pelagics (&lt;30 cm)</t>
        </is>
      </c>
      <c r="F215" s="10" t="inlineStr">
        <is>
          <t>Perch-likes</t>
        </is>
      </c>
      <c r="G215" s="11" t="inlineStr">
        <is>
          <t>Sm.dem.benth.</t>
        </is>
      </c>
      <c r="H215" s="12" t="n">
        <v>1</v>
      </c>
      <c r="I215" s="10" t="inlineStr">
        <is>
          <t>single</t>
        </is>
      </c>
      <c r="J215" s="13" t="inlineStr">
        <is>
          <t>medium</t>
        </is>
      </c>
      <c r="K215" s="10" t="inlineStr">
        <is>
          <t>habitat_size_guild</t>
        </is>
      </c>
      <c r="L215" s="11" t="inlineStr">
        <is>
          <t>Terapontid; bottom-associated benthivore/omnivore, consistent with genus Terapon despite an apparently mistagged "small pelagics" SAU functional_group. Reviewed against the Ecobase group name and diet; the original paper p.130 lists important components but does not settle this taxon.</t>
        </is>
      </c>
      <c r="M215" s="10" t="n">
        <v>5057.575</v>
      </c>
    </row>
    <row r="216" ht="51" customHeight="1">
      <c r="A216" s="10" t="inlineStr">
        <is>
          <t>LME_035</t>
        </is>
      </c>
      <c r="B216" s="11" t="inlineStr">
        <is>
          <t>35_412_Gulf_of_Thailande_(1963)</t>
        </is>
      </c>
      <c r="C216" s="11" t="inlineStr">
        <is>
          <t>Psettodidae</t>
        </is>
      </c>
      <c r="D216" s="10" t="inlineStr">
        <is>
          <t>Turbots, Indian halibuts</t>
        </is>
      </c>
      <c r="E216" s="10" t="inlineStr">
        <is>
          <t>Small to medium flatfishes (&lt;90 cm)</t>
        </is>
      </c>
      <c r="F216" s="10" t="inlineStr">
        <is>
          <t>Flatfishes</t>
        </is>
      </c>
      <c r="G216" s="11" t="inlineStr">
        <is>
          <t>Med.dem.pisc.</t>
        </is>
      </c>
      <c r="H216" s="12" t="n">
        <v>1</v>
      </c>
      <c r="I216" s="10" t="inlineStr">
        <is>
          <t>single</t>
        </is>
      </c>
      <c r="J216" s="14" t="inlineStr">
        <is>
          <t>high</t>
        </is>
      </c>
      <c r="K216" s="10" t="inlineStr">
        <is>
          <t>taxonomic_containment</t>
        </is>
      </c>
      <c r="L21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6" s="10" t="n">
        <v>4663.545</v>
      </c>
    </row>
    <row r="217" ht="51" customHeight="1">
      <c r="A217" s="10" t="inlineStr">
        <is>
          <t>LME_035</t>
        </is>
      </c>
      <c r="B217" s="11" t="inlineStr">
        <is>
          <t>35_412_Gulf_of_Thailande_(1963)</t>
        </is>
      </c>
      <c r="C217" s="11" t="inlineStr">
        <is>
          <t>Pampus chinensis</t>
        </is>
      </c>
      <c r="D217" s="10" t="inlineStr">
        <is>
          <t>Chinese silver pomfret</t>
        </is>
      </c>
      <c r="E217" s="10" t="inlineStr">
        <is>
          <t>Medium benthopelagics (30 - 89 cm)</t>
        </is>
      </c>
      <c r="F217" s="10" t="inlineStr">
        <is>
          <t>Perch-likes</t>
        </is>
      </c>
      <c r="G217" s="11" t="inlineStr">
        <is>
          <t>Med.dem.benth.</t>
        </is>
      </c>
      <c r="H217" s="12" t="n">
        <v>1</v>
      </c>
      <c r="I217" s="10" t="inlineStr">
        <is>
          <t>single</t>
        </is>
      </c>
      <c r="J217" s="14" t="inlineStr">
        <is>
          <t>high</t>
        </is>
      </c>
      <c r="K217" s="10" t="inlineStr">
        <is>
          <t>taxonomic_containment</t>
        </is>
      </c>
      <c r="L21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7" s="10" t="n">
        <v>4279.161</v>
      </c>
    </row>
    <row r="218" ht="51" customHeight="1">
      <c r="A218" s="10" t="inlineStr">
        <is>
          <t>LME_035</t>
        </is>
      </c>
      <c r="B218" s="11" t="inlineStr">
        <is>
          <t>35_412_Gulf_of_Thailande_(1963)</t>
        </is>
      </c>
      <c r="C218" s="11" t="inlineStr">
        <is>
          <t>Perciformes</t>
        </is>
      </c>
      <c r="D218" s="10" t="inlineStr">
        <is>
          <t>Perch-likes</t>
        </is>
      </c>
      <c r="E218" s="10" t="inlineStr">
        <is>
          <t>Medium demersals (30 - 89 cm)</t>
        </is>
      </c>
      <c r="F218" s="10" t="inlineStr">
        <is>
          <t>Perch-likes</t>
        </is>
      </c>
      <c r="G218" s="11" t="inlineStr">
        <is>
          <t>Grouper/snapper</t>
        </is>
      </c>
      <c r="H218" s="12" t="n">
        <v>0.03679001721170395</v>
      </c>
      <c r="I218" s="10" t="inlineStr">
        <is>
          <t>model_catch</t>
        </is>
      </c>
      <c r="J218" s="13" t="inlineStr">
        <is>
          <t>medium</t>
        </is>
      </c>
      <c r="K218" s="10" t="inlineStr">
        <is>
          <t>composite_split</t>
        </is>
      </c>
      <c r="L21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8" s="10" t="n">
        <v>3693.187</v>
      </c>
    </row>
    <row r="219" ht="51" customHeight="1">
      <c r="A219" s="10" t="inlineStr">
        <is>
          <t>LME_035</t>
        </is>
      </c>
      <c r="B219" s="11" t="inlineStr">
        <is>
          <t>35_412_Gulf_of_Thailande_(1963)</t>
        </is>
      </c>
      <c r="C219" s="11" t="inlineStr">
        <is>
          <t>Perciformes</t>
        </is>
      </c>
      <c r="D219" s="10" t="inlineStr">
        <is>
          <t>Perch-likes</t>
        </is>
      </c>
      <c r="E219" s="10" t="inlineStr">
        <is>
          <t>Medium demersals (30 - 89 cm)</t>
        </is>
      </c>
      <c r="F219" s="10" t="inlineStr">
        <is>
          <t>Perch-likes</t>
        </is>
      </c>
      <c r="G219" s="11" t="inlineStr">
        <is>
          <t>Juv. groupers</t>
        </is>
      </c>
      <c r="H219" s="12" t="n">
        <v>0</v>
      </c>
      <c r="I219" s="10" t="inlineStr">
        <is>
          <t>model_catch</t>
        </is>
      </c>
      <c r="J219" s="13" t="inlineStr">
        <is>
          <t>medium</t>
        </is>
      </c>
      <c r="K219" s="10" t="inlineStr">
        <is>
          <t>composite_split</t>
        </is>
      </c>
      <c r="L21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9" s="10" t="n">
        <v>3693.187</v>
      </c>
    </row>
    <row r="220" ht="51" customHeight="1">
      <c r="A220" s="10" t="inlineStr">
        <is>
          <t>LME_035</t>
        </is>
      </c>
      <c r="B220" s="11" t="inlineStr">
        <is>
          <t>35_412_Gulf_of_Thailande_(1963)</t>
        </is>
      </c>
      <c r="C220" s="11" t="inlineStr">
        <is>
          <t>Perciformes</t>
        </is>
      </c>
      <c r="D220" s="10" t="inlineStr">
        <is>
          <t>Perch-likes</t>
        </is>
      </c>
      <c r="E220" s="10" t="inlineStr">
        <is>
          <t>Medium demersals (30 - 89 cm)</t>
        </is>
      </c>
      <c r="F220" s="10" t="inlineStr">
        <is>
          <t>Perch-likes</t>
        </is>
      </c>
      <c r="G220" s="11" t="inlineStr">
        <is>
          <t>Med.dem.benth.</t>
        </is>
      </c>
      <c r="H220" s="12" t="n">
        <v>0.06045611015490533</v>
      </c>
      <c r="I220" s="10" t="inlineStr">
        <is>
          <t>model_catch</t>
        </is>
      </c>
      <c r="J220" s="13" t="inlineStr">
        <is>
          <t>medium</t>
        </is>
      </c>
      <c r="K220" s="10" t="inlineStr">
        <is>
          <t>composite_split</t>
        </is>
      </c>
      <c r="L22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0" s="10" t="n">
        <v>3693.187</v>
      </c>
    </row>
    <row r="221" ht="51" customHeight="1">
      <c r="A221" s="10" t="inlineStr">
        <is>
          <t>LME_035</t>
        </is>
      </c>
      <c r="B221" s="11" t="inlineStr">
        <is>
          <t>35_412_Gulf_of_Thailande_(1963)</t>
        </is>
      </c>
      <c r="C221" s="11" t="inlineStr">
        <is>
          <t>Perciformes</t>
        </is>
      </c>
      <c r="D221" s="10" t="inlineStr">
        <is>
          <t>Perch-likes</t>
        </is>
      </c>
      <c r="E221" s="10" t="inlineStr">
        <is>
          <t>Medium demersals (30 - 89 cm)</t>
        </is>
      </c>
      <c r="F221" s="10" t="inlineStr">
        <is>
          <t>Perch-likes</t>
        </is>
      </c>
      <c r="G221" s="11" t="inlineStr">
        <is>
          <t>Med.dem.pisc.</t>
        </is>
      </c>
      <c r="H221" s="12" t="n">
        <v>0.1376936316695353</v>
      </c>
      <c r="I221" s="10" t="inlineStr">
        <is>
          <t>model_catch</t>
        </is>
      </c>
      <c r="J221" s="13" t="inlineStr">
        <is>
          <t>medium</t>
        </is>
      </c>
      <c r="K221" s="10" t="inlineStr">
        <is>
          <t>composite_split</t>
        </is>
      </c>
      <c r="L22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1" s="10" t="n">
        <v>3693.187</v>
      </c>
    </row>
    <row r="222" ht="51" customHeight="1">
      <c r="A222" s="10" t="inlineStr">
        <is>
          <t>LME_035</t>
        </is>
      </c>
      <c r="B222" s="11" t="inlineStr">
        <is>
          <t>35_412_Gulf_of_Thailande_(1963)</t>
        </is>
      </c>
      <c r="C222" s="11" t="inlineStr">
        <is>
          <t>Perciformes</t>
        </is>
      </c>
      <c r="D222" s="10" t="inlineStr">
        <is>
          <t>Perch-likes</t>
        </is>
      </c>
      <c r="E222" s="10" t="inlineStr">
        <is>
          <t>Medium demersals (30 - 89 cm)</t>
        </is>
      </c>
      <c r="F222" s="10" t="inlineStr">
        <is>
          <t>Perch-likes</t>
        </is>
      </c>
      <c r="G222" s="11" t="inlineStr">
        <is>
          <t>O.fish</t>
        </is>
      </c>
      <c r="H222" s="12" t="n">
        <v>0.4672977624784854</v>
      </c>
      <c r="I222" s="10" t="inlineStr">
        <is>
          <t>model_catch</t>
        </is>
      </c>
      <c r="J222" s="13" t="inlineStr">
        <is>
          <t>medium</t>
        </is>
      </c>
      <c r="K222" s="10" t="inlineStr">
        <is>
          <t>composite_split</t>
        </is>
      </c>
      <c r="L22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2" s="10" t="n">
        <v>3693.187</v>
      </c>
    </row>
    <row r="223" ht="51" customHeight="1">
      <c r="A223" s="10" t="inlineStr">
        <is>
          <t>LME_035</t>
        </is>
      </c>
      <c r="B223" s="11" t="inlineStr">
        <is>
          <t>35_412_Gulf_of_Thailande_(1963)</t>
        </is>
      </c>
      <c r="C223" s="11" t="inlineStr">
        <is>
          <t>Perciformes</t>
        </is>
      </c>
      <c r="D223" s="10" t="inlineStr">
        <is>
          <t>Perch-likes</t>
        </is>
      </c>
      <c r="E223" s="10" t="inlineStr">
        <is>
          <t>Medium demersals (30 - 89 cm)</t>
        </is>
      </c>
      <c r="F223" s="10" t="inlineStr">
        <is>
          <t>Perch-likes</t>
        </is>
      </c>
      <c r="G223" s="11" t="inlineStr">
        <is>
          <t>Sm.dem.benth.</t>
        </is>
      </c>
      <c r="H223" s="12" t="n">
        <v>0.161144578313253</v>
      </c>
      <c r="I223" s="10" t="inlineStr">
        <is>
          <t>model_catch</t>
        </is>
      </c>
      <c r="J223" s="13" t="inlineStr">
        <is>
          <t>medium</t>
        </is>
      </c>
      <c r="K223" s="10" t="inlineStr">
        <is>
          <t>composite_split</t>
        </is>
      </c>
      <c r="L223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3" s="10" t="n">
        <v>3693.187</v>
      </c>
    </row>
    <row r="224" ht="51" customHeight="1">
      <c r="A224" s="10" t="inlineStr">
        <is>
          <t>LME_035</t>
        </is>
      </c>
      <c r="B224" s="11" t="inlineStr">
        <is>
          <t>35_412_Gulf_of_Thailande_(1963)</t>
        </is>
      </c>
      <c r="C224" s="11" t="inlineStr">
        <is>
          <t>Perciformes</t>
        </is>
      </c>
      <c r="D224" s="10" t="inlineStr">
        <is>
          <t>Perch-likes</t>
        </is>
      </c>
      <c r="E224" s="10" t="inlineStr">
        <is>
          <t>Medium demersals (30 - 89 cm)</t>
        </is>
      </c>
      <c r="F224" s="10" t="inlineStr">
        <is>
          <t>Perch-likes</t>
        </is>
      </c>
      <c r="G224" s="11" t="inlineStr">
        <is>
          <t>Sm.dem.pisc.</t>
        </is>
      </c>
      <c r="H224" s="12" t="n">
        <v>0.136617900172117</v>
      </c>
      <c r="I224" s="10" t="inlineStr">
        <is>
          <t>model_catch</t>
        </is>
      </c>
      <c r="J224" s="13" t="inlineStr">
        <is>
          <t>medium</t>
        </is>
      </c>
      <c r="K224" s="10" t="inlineStr">
        <is>
          <t>composite_split</t>
        </is>
      </c>
      <c r="L224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4" s="10" t="n">
        <v>3693.187</v>
      </c>
    </row>
    <row r="225" ht="51" customHeight="1">
      <c r="A225" s="10" t="inlineStr">
        <is>
          <t>LME_035</t>
        </is>
      </c>
      <c r="B225" s="11" t="inlineStr">
        <is>
          <t>35_412_Gulf_of_Thailande_(1963)</t>
        </is>
      </c>
      <c r="C225" s="11" t="inlineStr">
        <is>
          <t>Priacanthus tayenus</t>
        </is>
      </c>
      <c r="D225" s="10" t="inlineStr">
        <is>
          <t>Purple-spotted bigeye</t>
        </is>
      </c>
      <c r="E225" s="10" t="inlineStr">
        <is>
          <t>Small pelagics (&lt;30 cm)</t>
        </is>
      </c>
      <c r="F225" s="10" t="inlineStr">
        <is>
          <t>Perch-likes</t>
        </is>
      </c>
      <c r="G225" s="11" t="inlineStr">
        <is>
          <t>Sm.dem.pisc.</t>
        </is>
      </c>
      <c r="H225" s="12" t="n">
        <v>1</v>
      </c>
      <c r="I225" s="10" t="inlineStr">
        <is>
          <t>single</t>
        </is>
      </c>
      <c r="J225" s="14" t="inlineStr">
        <is>
          <t>high</t>
        </is>
      </c>
      <c r="K225" s="10" t="inlineStr">
        <is>
          <t>taxonomic_containment</t>
        </is>
      </c>
      <c r="L225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5" s="10" t="n">
        <v>3690.165</v>
      </c>
    </row>
    <row r="226" ht="51" customHeight="1">
      <c r="A226" s="10" t="inlineStr">
        <is>
          <t>LME_035</t>
        </is>
      </c>
      <c r="B226" s="11" t="inlineStr">
        <is>
          <t>35_412_Gulf_of_Thailande_(1963)</t>
        </is>
      </c>
      <c r="C226" s="11" t="inlineStr">
        <is>
          <t>Eubleekeria splendens</t>
        </is>
      </c>
      <c r="D226" s="10" t="inlineStr">
        <is>
          <t>Splendid ponyfish</t>
        </is>
      </c>
      <c r="E226" s="10" t="inlineStr">
        <is>
          <t>Small pelagics (&lt;30 cm)</t>
        </is>
      </c>
      <c r="F226" s="10" t="inlineStr">
        <is>
          <t>Perch-likes</t>
        </is>
      </c>
      <c r="G226" s="11" t="inlineStr">
        <is>
          <t>Ponyfishes</t>
        </is>
      </c>
      <c r="H226" s="12" t="n">
        <v>1</v>
      </c>
      <c r="I226" s="10" t="inlineStr">
        <is>
          <t>single</t>
        </is>
      </c>
      <c r="J226" s="14" t="inlineStr">
        <is>
          <t>high</t>
        </is>
      </c>
      <c r="K226" s="10" t="inlineStr">
        <is>
          <t>taxonomic_containment</t>
        </is>
      </c>
      <c r="L226" s="11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  <c r="M226" s="10" t="n">
        <v>3355.92</v>
      </c>
    </row>
    <row r="227" ht="51" customHeight="1">
      <c r="A227" s="10" t="inlineStr">
        <is>
          <t>LME_035</t>
        </is>
      </c>
      <c r="B227" s="11" t="inlineStr">
        <is>
          <t>35_412_Gulf_of_Thailande_(1963)</t>
        </is>
      </c>
      <c r="C227" s="11" t="inlineStr">
        <is>
          <t>Scyllaridae</t>
        </is>
      </c>
      <c r="D227" s="10" t="inlineStr">
        <is>
          <t>Slipper lobsters</t>
        </is>
      </c>
      <c r="E227" s="10" t="inlineStr">
        <is>
          <t>Lobsters, crabs</t>
        </is>
      </c>
      <c r="F227" s="10" t="inlineStr">
        <is>
          <t>Crustaceans</t>
        </is>
      </c>
      <c r="G227" s="11" t="inlineStr">
        <is>
          <t>Crab, lobster</t>
        </is>
      </c>
      <c r="H227" s="12" t="n">
        <v>1</v>
      </c>
      <c r="I227" s="10" t="inlineStr">
        <is>
          <t>single</t>
        </is>
      </c>
      <c r="J227" s="14" t="inlineStr">
        <is>
          <t>high</t>
        </is>
      </c>
      <c r="K227" s="10" t="inlineStr">
        <is>
          <t>taxonomic_containment</t>
        </is>
      </c>
      <c r="L227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27" s="10" t="n">
        <v>3117.85</v>
      </c>
    </row>
    <row r="228" ht="51" customHeight="1">
      <c r="A228" s="10" t="inlineStr">
        <is>
          <t>LME_035</t>
        </is>
      </c>
      <c r="B228" s="11" t="inlineStr">
        <is>
          <t>35_412_Gulf_of_Thailande_(1963)</t>
        </is>
      </c>
      <c r="C228" s="11" t="inlineStr">
        <is>
          <t>Sphyraenidae</t>
        </is>
      </c>
      <c r="D228" s="10" t="inlineStr">
        <is>
          <t>Barracudas</t>
        </is>
      </c>
      <c r="E228" s="10" t="inlineStr">
        <is>
          <t>Medium reef assoc. fish (30 - 89 cm)</t>
        </is>
      </c>
      <c r="F228" s="10" t="inlineStr">
        <is>
          <t>Perch-likes</t>
        </is>
      </c>
      <c r="G228" s="11" t="inlineStr">
        <is>
          <t>Juv.Lg.Pisciv.</t>
        </is>
      </c>
      <c r="H228" s="12" t="n">
        <v>0</v>
      </c>
      <c r="I228" s="10" t="inlineStr">
        <is>
          <t>model_catch</t>
        </is>
      </c>
      <c r="J228" s="13" t="inlineStr">
        <is>
          <t>medium</t>
        </is>
      </c>
      <c r="K228" s="10" t="inlineStr">
        <is>
          <t>composite_split</t>
        </is>
      </c>
      <c r="L22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8" s="10" t="n">
        <v>3067.953</v>
      </c>
    </row>
    <row r="229" ht="51" customHeight="1">
      <c r="A229" s="10" t="inlineStr">
        <is>
          <t>LME_035</t>
        </is>
      </c>
      <c r="B229" s="11" t="inlineStr">
        <is>
          <t>35_412_Gulf_of_Thailande_(1963)</t>
        </is>
      </c>
      <c r="C229" s="11" t="inlineStr">
        <is>
          <t>Sphyraenidae</t>
        </is>
      </c>
      <c r="D229" s="10" t="inlineStr">
        <is>
          <t>Barracudas</t>
        </is>
      </c>
      <c r="E229" s="10" t="inlineStr">
        <is>
          <t>Medium reef assoc. fish (30 - 89 cm)</t>
        </is>
      </c>
      <c r="F229" s="10" t="inlineStr">
        <is>
          <t>Perch-likes</t>
        </is>
      </c>
      <c r="G229" s="11" t="inlineStr">
        <is>
          <t>Lg. piscivores</t>
        </is>
      </c>
      <c r="H229" s="12" t="n">
        <v>1</v>
      </c>
      <c r="I229" s="10" t="inlineStr">
        <is>
          <t>model_catch</t>
        </is>
      </c>
      <c r="J229" s="13" t="inlineStr">
        <is>
          <t>medium</t>
        </is>
      </c>
      <c r="K229" s="10" t="inlineStr">
        <is>
          <t>composite_split</t>
        </is>
      </c>
      <c r="L229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9" s="10" t="n">
        <v>3067.953</v>
      </c>
    </row>
    <row r="230" ht="51" customHeight="1">
      <c r="A230" s="10" t="inlineStr">
        <is>
          <t>LME_035</t>
        </is>
      </c>
      <c r="B230" s="11" t="inlineStr">
        <is>
          <t>35_412_Gulf_of_Thailande_(1963)</t>
        </is>
      </c>
      <c r="C230" s="11" t="inlineStr">
        <is>
          <t>Gerres</t>
        </is>
      </c>
      <c r="D230" s="10" t="inlineStr">
        <is>
          <t>Silver biddies</t>
        </is>
      </c>
      <c r="E230" s="10" t="inlineStr">
        <is>
          <t>Small benthopelagics (&lt;30 cm)</t>
        </is>
      </c>
      <c r="F230" s="10" t="inlineStr">
        <is>
          <t>Perch-likes</t>
        </is>
      </c>
      <c r="G230" s="11" t="inlineStr">
        <is>
          <t>Sm.dem.benth.</t>
        </is>
      </c>
      <c r="H230" s="12" t="n">
        <v>1</v>
      </c>
      <c r="I230" s="10" t="inlineStr">
        <is>
          <t>single</t>
        </is>
      </c>
      <c r="J230" s="13" t="inlineStr">
        <is>
          <t>medium</t>
        </is>
      </c>
      <c r="K230" s="10" t="inlineStr">
        <is>
          <t>habitat_size_guild</t>
        </is>
      </c>
      <c r="L230" s="11" t="inlineStr">
        <is>
          <t>Silver biddy genus; same benthivorous sand-flat feeding as Gerreidae. Reviewed against the Ecobase group name and diet; the original paper p.130 lists important components but does not settle this taxon.</t>
        </is>
      </c>
      <c r="M230" s="10" t="n">
        <v>2956.841</v>
      </c>
    </row>
    <row r="231" ht="36" customHeight="1">
      <c r="A231" s="10" t="inlineStr">
        <is>
          <t>LME_035</t>
        </is>
      </c>
      <c r="B231" s="11" t="inlineStr">
        <is>
          <t>35_412_Gulf_of_Thailande_(1963)</t>
        </is>
      </c>
      <c r="C231" s="11" t="inlineStr">
        <is>
          <t>Xiphias gladius</t>
        </is>
      </c>
      <c r="D231" s="10" t="inlineStr">
        <is>
          <t>Swordfish</t>
        </is>
      </c>
      <c r="E231" s="10" t="inlineStr">
        <is>
          <t>Large pelagics (&gt;=90 cm)</t>
        </is>
      </c>
      <c r="F231" s="10" t="inlineStr">
        <is>
          <t>Tuna &amp; billfishes</t>
        </is>
      </c>
      <c r="G231" s="11" t="inlineStr">
        <is>
          <t>Unresolved</t>
        </is>
      </c>
      <c r="H231" s="12" t="n"/>
      <c r="I231" s="10" t="inlineStr"/>
      <c r="J231" s="16" t="inlineStr">
        <is>
          <t>unresolved</t>
        </is>
      </c>
      <c r="K231" s="10" t="inlineStr">
        <is>
          <t>none</t>
        </is>
      </c>
      <c r="L231" s="11" t="inlineStr">
        <is>
          <t>Swordfish (Xiphiidae), an oceanic epipelagic species outside the demersal/coastal-pelagic scope of the 1963 Gulf of Thailand shelf model; no billfish compartment exists.</t>
        </is>
      </c>
      <c r="M231" s="10" t="n">
        <v>2801.158</v>
      </c>
    </row>
    <row r="232" ht="51" customHeight="1">
      <c r="A232" s="10" t="inlineStr">
        <is>
          <t>LME_035</t>
        </is>
      </c>
      <c r="B232" s="11" t="inlineStr">
        <is>
          <t>35_412_Gulf_of_Thailande_(1963)</t>
        </is>
      </c>
      <c r="C232" s="11" t="inlineStr">
        <is>
          <t>Haemulidae</t>
        </is>
      </c>
      <c r="D232" s="10" t="inlineStr">
        <is>
          <t>Grunts, sweetlips, bonnetmouths</t>
        </is>
      </c>
      <c r="E232" s="10" t="inlineStr">
        <is>
          <t>Medium demersals (30 - 89 cm)</t>
        </is>
      </c>
      <c r="F232" s="10" t="inlineStr">
        <is>
          <t>Perch-likes</t>
        </is>
      </c>
      <c r="G232" s="11" t="inlineStr">
        <is>
          <t>Med.dem.benth.</t>
        </is>
      </c>
      <c r="H232" s="12" t="n">
        <v>1</v>
      </c>
      <c r="I232" s="10" t="inlineStr">
        <is>
          <t>single</t>
        </is>
      </c>
      <c r="J232" s="14" t="inlineStr">
        <is>
          <t>high</t>
        </is>
      </c>
      <c r="K232" s="10" t="inlineStr">
        <is>
          <t>taxonomic_containment</t>
        </is>
      </c>
      <c r="L232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32" s="10" t="n">
        <v>2653.409</v>
      </c>
    </row>
    <row r="233" ht="51" customHeight="1">
      <c r="A233" s="10" t="inlineStr">
        <is>
          <t>LME_035</t>
        </is>
      </c>
      <c r="B233" s="11" t="inlineStr">
        <is>
          <t>35_412_Gulf_of_Thailande_(1963)</t>
        </is>
      </c>
      <c r="C233" s="11" t="inlineStr">
        <is>
          <t>Thryssa</t>
        </is>
      </c>
      <c r="D233" s="10" t="inlineStr">
        <is>
          <t>Thryssas</t>
        </is>
      </c>
      <c r="E233" s="10" t="inlineStr">
        <is>
          <t>Small pelagics (&lt;30 cm)</t>
        </is>
      </c>
      <c r="F233" s="10" t="inlineStr">
        <is>
          <t>Anchovies</t>
        </is>
      </c>
      <c r="G233" s="11" t="inlineStr">
        <is>
          <t>Sm. pelagics</t>
        </is>
      </c>
      <c r="H233" s="12" t="n">
        <v>1</v>
      </c>
      <c r="I233" s="10" t="inlineStr">
        <is>
          <t>single</t>
        </is>
      </c>
      <c r="J233" s="13" t="inlineStr">
        <is>
          <t>medium</t>
        </is>
      </c>
      <c r="K233" s="10" t="inlineStr">
        <is>
          <t>habitat_size_guild</t>
        </is>
      </c>
      <c r="L233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33" s="10" t="n">
        <v>2597.241</v>
      </c>
    </row>
    <row r="234" ht="51" customHeight="1">
      <c r="A234" s="10" t="inlineStr">
        <is>
          <t>LME_035</t>
        </is>
      </c>
      <c r="B234" s="11" t="inlineStr">
        <is>
          <t>35_412_Gulf_of_Thailande_(1963)</t>
        </is>
      </c>
      <c r="C234" s="11" t="inlineStr">
        <is>
          <t>Hilsa kelee</t>
        </is>
      </c>
      <c r="D234" s="10" t="inlineStr">
        <is>
          <t>Kelee shad</t>
        </is>
      </c>
      <c r="E234" s="10" t="inlineStr">
        <is>
          <t>Small pelagics (&lt;30 cm)</t>
        </is>
      </c>
      <c r="F234" s="10" t="inlineStr">
        <is>
          <t>Herring-likes</t>
        </is>
      </c>
      <c r="G234" s="11" t="inlineStr">
        <is>
          <t>Sm. pelagics</t>
        </is>
      </c>
      <c r="H234" s="12" t="n">
        <v>1</v>
      </c>
      <c r="I234" s="10" t="inlineStr">
        <is>
          <t>single</t>
        </is>
      </c>
      <c r="J234" s="13" t="inlineStr">
        <is>
          <t>medium</t>
        </is>
      </c>
      <c r="K234" s="10" t="inlineStr">
        <is>
          <t>habitat_size_guild</t>
        </is>
      </c>
      <c r="L234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34" s="10" t="n">
        <v>2397.876</v>
      </c>
    </row>
    <row r="235" ht="51" customHeight="1">
      <c r="A235" s="10" t="inlineStr">
        <is>
          <t>LME_035</t>
        </is>
      </c>
      <c r="B235" s="11" t="inlineStr">
        <is>
          <t>35_412_Gulf_of_Thailande_(1963)</t>
        </is>
      </c>
      <c r="C235" s="11" t="inlineStr">
        <is>
          <t>Octopus</t>
        </is>
      </c>
      <c r="D235" s="10" t="inlineStr">
        <is>
          <t>Octopuses, pikas</t>
        </is>
      </c>
      <c r="E235" s="10" t="inlineStr">
        <is>
          <t>Cephalopods</t>
        </is>
      </c>
      <c r="F235" s="10" t="inlineStr">
        <is>
          <t>Other fishes &amp; inverts</t>
        </is>
      </c>
      <c r="G235" s="11" t="inlineStr">
        <is>
          <t>Cephalopods</t>
        </is>
      </c>
      <c r="H235" s="12" t="n">
        <v>1</v>
      </c>
      <c r="I235" s="10" t="inlineStr">
        <is>
          <t>single</t>
        </is>
      </c>
      <c r="J235" s="14" t="inlineStr">
        <is>
          <t>high</t>
        </is>
      </c>
      <c r="K235" s="10" t="inlineStr">
        <is>
          <t>taxonomic_containment</t>
        </is>
      </c>
      <c r="L235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35" s="10" t="n">
        <v>2190.909</v>
      </c>
    </row>
    <row r="236" ht="51" customHeight="1">
      <c r="A236" s="10" t="inlineStr">
        <is>
          <t>LME_035</t>
        </is>
      </c>
      <c r="B236" s="11" t="inlineStr">
        <is>
          <t>35_412_Gulf_of_Thailande_(1963)</t>
        </is>
      </c>
      <c r="C236" s="11" t="inlineStr">
        <is>
          <t>Lethrinidae</t>
        </is>
      </c>
      <c r="D236" s="10" t="inlineStr">
        <is>
          <t>Emperors, scavengers</t>
        </is>
      </c>
      <c r="E236" s="10" t="inlineStr">
        <is>
          <t>Medium reef assoc. fish (30 - 89 cm)</t>
        </is>
      </c>
      <c r="F236" s="10" t="inlineStr">
        <is>
          <t>Perch-likes</t>
        </is>
      </c>
      <c r="G236" s="11" t="inlineStr">
        <is>
          <t>Med.dem.pisc.</t>
        </is>
      </c>
      <c r="H236" s="12" t="n">
        <v>1</v>
      </c>
      <c r="I236" s="10" t="inlineStr">
        <is>
          <t>single</t>
        </is>
      </c>
      <c r="J236" s="14" t="inlineStr">
        <is>
          <t>high</t>
        </is>
      </c>
      <c r="K236" s="10" t="inlineStr">
        <is>
          <t>taxonomic_containment</t>
        </is>
      </c>
      <c r="L23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36" s="10" t="n">
        <v>1991.544</v>
      </c>
    </row>
    <row r="237" ht="51" customHeight="1">
      <c r="A237" s="10" t="inlineStr">
        <is>
          <t>LME_035</t>
        </is>
      </c>
      <c r="B237" s="11" t="inlineStr">
        <is>
          <t>35_412_Gulf_of_Thailande_(1963)</t>
        </is>
      </c>
      <c r="C237" s="11" t="inlineStr">
        <is>
          <t>Pampus</t>
        </is>
      </c>
      <c r="D237" s="10" t="inlineStr">
        <is>
          <t>Silver pomfrets</t>
        </is>
      </c>
      <c r="E237" s="10" t="inlineStr">
        <is>
          <t>Medium benthopelagics (30 - 89 cm)</t>
        </is>
      </c>
      <c r="F237" s="10" t="inlineStr">
        <is>
          <t>Perch-likes</t>
        </is>
      </c>
      <c r="G237" s="11" t="inlineStr">
        <is>
          <t>Med.dem.benth.</t>
        </is>
      </c>
      <c r="H237" s="12" t="n">
        <v>1</v>
      </c>
      <c r="I237" s="10" t="inlineStr">
        <is>
          <t>single</t>
        </is>
      </c>
      <c r="J237" s="14" t="inlineStr">
        <is>
          <t>high</t>
        </is>
      </c>
      <c r="K237" s="10" t="inlineStr">
        <is>
          <t>explicit_member</t>
        </is>
      </c>
      <c r="L23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37" s="10" t="n">
        <v>1990.444</v>
      </c>
    </row>
    <row r="238" ht="66" customHeight="1">
      <c r="A238" s="10" t="inlineStr">
        <is>
          <t>LME_035</t>
        </is>
      </c>
      <c r="B238" s="11" t="inlineStr">
        <is>
          <t>35_412_Gulf_of_Thailande_(1963)</t>
        </is>
      </c>
      <c r="C238" s="11" t="inlineStr">
        <is>
          <t>Platycaranx malabaricus</t>
        </is>
      </c>
      <c r="D238" s="10" t="inlineStr">
        <is>
          <t>Malabar trevally</t>
        </is>
      </c>
      <c r="E238" s="10" t="inlineStr">
        <is>
          <t>Medium reef assoc. fish (30 - 89 cm)</t>
        </is>
      </c>
      <c r="F238" s="10" t="inlineStr">
        <is>
          <t>Perch-likes</t>
        </is>
      </c>
      <c r="G238" s="11" t="inlineStr">
        <is>
          <t>Lg. piscivores</t>
        </is>
      </c>
      <c r="H238" s="12" t="n">
        <v>1</v>
      </c>
      <c r="I238" s="10" t="inlineStr">
        <is>
          <t>model_catch</t>
        </is>
      </c>
      <c r="J238" s="13" t="inlineStr">
        <is>
          <t>medium</t>
        </is>
      </c>
      <c r="K238" s="10" t="inlineStr">
        <is>
          <t>composite_split</t>
        </is>
      </c>
      <c r="L238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38" s="10" t="n">
        <v>1824.127</v>
      </c>
    </row>
    <row r="239" ht="66" customHeight="1">
      <c r="A239" s="10" t="inlineStr">
        <is>
          <t>LME_035</t>
        </is>
      </c>
      <c r="B239" s="11" t="inlineStr">
        <is>
          <t>35_412_Gulf_of_Thailande_(1963)</t>
        </is>
      </c>
      <c r="C239" s="11" t="inlineStr">
        <is>
          <t>Platycaranx malabaricus</t>
        </is>
      </c>
      <c r="D239" s="10" t="inlineStr">
        <is>
          <t>Malabar trevally</t>
        </is>
      </c>
      <c r="E239" s="10" t="inlineStr">
        <is>
          <t>Medium reef assoc. fish (30 - 89 cm)</t>
        </is>
      </c>
      <c r="F239" s="10" t="inlineStr">
        <is>
          <t>Perch-likes</t>
        </is>
      </c>
      <c r="G239" s="11" t="inlineStr">
        <is>
          <t>Juv.Lg.Pisciv.</t>
        </is>
      </c>
      <c r="H239" s="12" t="n">
        <v>0</v>
      </c>
      <c r="I239" s="10" t="inlineStr">
        <is>
          <t>model_catch</t>
        </is>
      </c>
      <c r="J239" s="13" t="inlineStr">
        <is>
          <t>medium</t>
        </is>
      </c>
      <c r="K239" s="10" t="inlineStr">
        <is>
          <t>composite_split</t>
        </is>
      </c>
      <c r="L239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39" s="10" t="n">
        <v>1824.127</v>
      </c>
    </row>
    <row r="240" ht="66" customHeight="1">
      <c r="A240" s="10" t="inlineStr">
        <is>
          <t>LME_035</t>
        </is>
      </c>
      <c r="B240" s="11" t="inlineStr">
        <is>
          <t>35_412_Gulf_of_Thailande_(1963)</t>
        </is>
      </c>
      <c r="C240" s="11" t="inlineStr">
        <is>
          <t>Crassostrea</t>
        </is>
      </c>
      <c r="D240" s="10" t="inlineStr">
        <is>
          <t>Cupped oysters</t>
        </is>
      </c>
      <c r="E240" s="10" t="inlineStr">
        <is>
          <t>Other demersal invertebrates</t>
        </is>
      </c>
      <c r="F240" s="10" t="inlineStr">
        <is>
          <t>Molluscs</t>
        </is>
      </c>
      <c r="G240" s="11" t="inlineStr">
        <is>
          <t>Molluscs</t>
        </is>
      </c>
      <c r="H240" s="12" t="n">
        <v>1</v>
      </c>
      <c r="I240" s="10" t="inlineStr">
        <is>
          <t>single</t>
        </is>
      </c>
      <c r="J240" s="14" t="inlineStr">
        <is>
          <t>high</t>
        </is>
      </c>
      <c r="K240" s="10" t="inlineStr">
        <is>
          <t>taxonomic_containment</t>
        </is>
      </c>
      <c r="L240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40" s="10" t="n">
        <v>1676.511</v>
      </c>
    </row>
    <row r="241" ht="66" customHeight="1">
      <c r="A241" s="10" t="inlineStr">
        <is>
          <t>LME_035</t>
        </is>
      </c>
      <c r="B241" s="11" t="inlineStr">
        <is>
          <t>35_412_Gulf_of_Thailande_(1963)</t>
        </is>
      </c>
      <c r="C241" s="11" t="inlineStr">
        <is>
          <t>Gnathanodon speciosus</t>
        </is>
      </c>
      <c r="D241" s="10" t="inlineStr">
        <is>
          <t>Golden trevally</t>
        </is>
      </c>
      <c r="E241" s="10" t="inlineStr">
        <is>
          <t>Large reef assoc. fish (&gt;=90 cm)</t>
        </is>
      </c>
      <c r="F241" s="10" t="inlineStr">
        <is>
          <t>Perch-likes</t>
        </is>
      </c>
      <c r="G241" s="11" t="inlineStr">
        <is>
          <t>Lg. piscivores</t>
        </is>
      </c>
      <c r="H241" s="12" t="n">
        <v>1</v>
      </c>
      <c r="I241" s="10" t="inlineStr">
        <is>
          <t>model_catch</t>
        </is>
      </c>
      <c r="J241" s="13" t="inlineStr">
        <is>
          <t>medium</t>
        </is>
      </c>
      <c r="K241" s="10" t="inlineStr">
        <is>
          <t>composite_split</t>
        </is>
      </c>
      <c r="L241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41" s="10" t="n">
        <v>1594.457</v>
      </c>
    </row>
    <row r="242" ht="66" customHeight="1">
      <c r="A242" s="10" t="inlineStr">
        <is>
          <t>LME_035</t>
        </is>
      </c>
      <c r="B242" s="11" t="inlineStr">
        <is>
          <t>35_412_Gulf_of_Thailande_(1963)</t>
        </is>
      </c>
      <c r="C242" s="11" t="inlineStr">
        <is>
          <t>Gnathanodon speciosus</t>
        </is>
      </c>
      <c r="D242" s="10" t="inlineStr">
        <is>
          <t>Golden trevally</t>
        </is>
      </c>
      <c r="E242" s="10" t="inlineStr">
        <is>
          <t>Large reef assoc. fish (&gt;=90 cm)</t>
        </is>
      </c>
      <c r="F242" s="10" t="inlineStr">
        <is>
          <t>Perch-likes</t>
        </is>
      </c>
      <c r="G242" s="11" t="inlineStr">
        <is>
          <t>Juv.Lg.Pisciv.</t>
        </is>
      </c>
      <c r="H242" s="12" t="n">
        <v>0</v>
      </c>
      <c r="I242" s="10" t="inlineStr">
        <is>
          <t>model_catch</t>
        </is>
      </c>
      <c r="J242" s="13" t="inlineStr">
        <is>
          <t>medium</t>
        </is>
      </c>
      <c r="K242" s="10" t="inlineStr">
        <is>
          <t>composite_split</t>
        </is>
      </c>
      <c r="L242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42" s="10" t="n">
        <v>1594.457</v>
      </c>
    </row>
    <row r="243" ht="36" customHeight="1">
      <c r="A243" s="10" t="inlineStr">
        <is>
          <t>LME_035</t>
        </is>
      </c>
      <c r="B243" s="11" t="inlineStr">
        <is>
          <t>35_412_Gulf_of_Thailande_(1963)</t>
        </is>
      </c>
      <c r="C243" s="11" t="inlineStr">
        <is>
          <t>Aluterus</t>
        </is>
      </c>
      <c r="D243" s="10" t="inlineStr">
        <is>
          <t>Aluterid filefishes</t>
        </is>
      </c>
      <c r="E243" s="10" t="inlineStr">
        <is>
          <t>Large reef assoc. fish (&gt;=90 cm)</t>
        </is>
      </c>
      <c r="F243" s="10" t="inlineStr">
        <is>
          <t>Other fishes &amp; inverts</t>
        </is>
      </c>
      <c r="G243" s="11" t="inlineStr">
        <is>
          <t>Med.dem.benth.</t>
        </is>
      </c>
      <c r="H243" s="12" t="n">
        <v>1</v>
      </c>
      <c r="I243" s="10" t="inlineStr">
        <is>
          <t>single</t>
        </is>
      </c>
      <c r="J243" s="15" t="inlineStr">
        <is>
          <t>low</t>
        </is>
      </c>
      <c r="K243" s="10" t="inlineStr">
        <is>
          <t>analogue</t>
        </is>
      </c>
      <c r="L243" s="11" t="inlineStr">
        <is>
          <t>Filefishes consume benthic organisms including invertebrates; provisional analogue to the benthivore pool used for Monacanthidae, with species-level diet variation unresolved.</t>
        </is>
      </c>
      <c r="M243" s="10" t="n">
        <v>1369.928</v>
      </c>
    </row>
    <row r="244" ht="66" customHeight="1">
      <c r="A244" s="10" t="inlineStr">
        <is>
          <t>LME_035</t>
        </is>
      </c>
      <c r="B244" s="11" t="inlineStr">
        <is>
          <t>35_412_Gulf_of_Thailande_(1963)</t>
        </is>
      </c>
      <c r="C244" s="11" t="inlineStr">
        <is>
          <t>Scatophagus</t>
        </is>
      </c>
      <c r="D244" s="10" t="inlineStr">
        <is>
          <t>Scats</t>
        </is>
      </c>
      <c r="E244" s="10" t="inlineStr">
        <is>
          <t>Medium demersals (30 - 89 cm)</t>
        </is>
      </c>
      <c r="F244" s="10" t="inlineStr">
        <is>
          <t>Perch-likes</t>
        </is>
      </c>
      <c r="G244" s="11" t="inlineStr">
        <is>
          <t>O.fish</t>
        </is>
      </c>
      <c r="H244" s="12" t="n">
        <v>1</v>
      </c>
      <c r="I244" s="10" t="inlineStr">
        <is>
          <t>single</t>
        </is>
      </c>
      <c r="J244" s="15" t="inlineStr">
        <is>
          <t>low</t>
        </is>
      </c>
      <c r="K244" s="10" t="inlineStr">
        <is>
          <t>analogue</t>
        </is>
      </c>
      <c r="L244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244" s="10" t="n">
        <v>1295.047</v>
      </c>
    </row>
    <row r="245" ht="51" customHeight="1">
      <c r="A245" s="10" t="inlineStr">
        <is>
          <t>LME_035</t>
        </is>
      </c>
      <c r="B245" s="11" t="inlineStr">
        <is>
          <t>35_412_Gulf_of_Thailande_(1963)</t>
        </is>
      </c>
      <c r="C245" s="11" t="inlineStr">
        <is>
          <t>Panulirus polyphagus</t>
        </is>
      </c>
      <c r="D245" s="10" t="inlineStr">
        <is>
          <t>Mud spiny lobster</t>
        </is>
      </c>
      <c r="E245" s="10" t="inlineStr">
        <is>
          <t>Lobsters, crabs</t>
        </is>
      </c>
      <c r="F245" s="10" t="inlineStr">
        <is>
          <t>Crustaceans</t>
        </is>
      </c>
      <c r="G245" s="11" t="inlineStr">
        <is>
          <t>Crab, lobster</t>
        </is>
      </c>
      <c r="H245" s="12" t="n">
        <v>1</v>
      </c>
      <c r="I245" s="10" t="inlineStr">
        <is>
          <t>single</t>
        </is>
      </c>
      <c r="J245" s="14" t="inlineStr">
        <is>
          <t>high</t>
        </is>
      </c>
      <c r="K245" s="10" t="inlineStr">
        <is>
          <t>taxonomic_containment</t>
        </is>
      </c>
      <c r="L245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45" s="10" t="n">
        <v>1294.74</v>
      </c>
    </row>
    <row r="246" ht="21" customHeight="1">
      <c r="A246" s="10" t="inlineStr">
        <is>
          <t>LME_035</t>
        </is>
      </c>
      <c r="B246" s="11" t="inlineStr">
        <is>
          <t>35_412_Gulf_of_Thailande_(1963)</t>
        </is>
      </c>
      <c r="C246" s="11" t="inlineStr">
        <is>
          <t>Makaira mazara</t>
        </is>
      </c>
      <c r="D246" s="10" t="inlineStr">
        <is>
          <t>Indo-Pacific blue marlin</t>
        </is>
      </c>
      <c r="E246" s="10" t="inlineStr">
        <is>
          <t>Large pelagics (&gt;=90 cm)</t>
        </is>
      </c>
      <c r="F246" s="10" t="inlineStr">
        <is>
          <t>Tuna &amp; billfishes</t>
        </is>
      </c>
      <c r="G246" s="11" t="inlineStr">
        <is>
          <t>Unresolved</t>
        </is>
      </c>
      <c r="H246" s="12" t="n"/>
      <c r="I246" s="10" t="inlineStr"/>
      <c r="J246" s="16" t="inlineStr">
        <is>
          <t>unresolved</t>
        </is>
      </c>
      <c r="K246" s="10" t="inlineStr">
        <is>
          <t>none</t>
        </is>
      </c>
      <c r="L246" s="11" t="inlineStr">
        <is>
          <t>Blue marlin (Istiophoridae); no billfish compartment in this model.</t>
        </is>
      </c>
      <c r="M246" s="10" t="n">
        <v>1283.147</v>
      </c>
    </row>
    <row r="247" ht="66" customHeight="1">
      <c r="A247" s="10" t="inlineStr">
        <is>
          <t>LME_035</t>
        </is>
      </c>
      <c r="B247" s="11" t="inlineStr">
        <is>
          <t>35_412_Gulf_of_Thailande_(1963)</t>
        </is>
      </c>
      <c r="C247" s="11" t="inlineStr">
        <is>
          <t>Miscellaneous marine crustaceans</t>
        </is>
      </c>
      <c r="D247" s="10" t="inlineStr">
        <is>
          <t>Marine crabs, shrimps, lobsters nei</t>
        </is>
      </c>
      <c r="E247" s="10" t="inlineStr">
        <is>
          <t>Shrimps</t>
        </is>
      </c>
      <c r="F247" s="10" t="inlineStr">
        <is>
          <t>Crustaceans</t>
        </is>
      </c>
      <c r="G247" s="11" t="inlineStr">
        <is>
          <t>Shrimps</t>
        </is>
      </c>
      <c r="H247" s="12" t="n">
        <v>1</v>
      </c>
      <c r="I247" s="10" t="inlineStr">
        <is>
          <t>single</t>
        </is>
      </c>
      <c r="J247" s="14" t="inlineStr">
        <is>
          <t>high</t>
        </is>
      </c>
      <c r="K247" s="10" t="inlineStr">
        <is>
          <t>taxonomic_containment</t>
        </is>
      </c>
      <c r="L247" s="11" t="inlineStr">
        <is>
          <t>Unidentified/broad crustacean catch record that Sea Around Us has itself classified under the "Shrimps" functional_group, though the higher taxon nominally also spans crabs and lobsters. Reviewed against the Ecobase group name and diet; the original paper p.130 lists important components but does not settle this taxon.</t>
        </is>
      </c>
      <c r="M247" s="10" t="n">
        <v>1137.66</v>
      </c>
    </row>
    <row r="248" ht="51" customHeight="1">
      <c r="A248" s="10" t="inlineStr">
        <is>
          <t>LME_035</t>
        </is>
      </c>
      <c r="B248" s="11" t="inlineStr">
        <is>
          <t>35_412_Gulf_of_Thailande_(1963)</t>
        </is>
      </c>
      <c r="C248" s="11" t="inlineStr">
        <is>
          <t>Platycephalus indicus</t>
        </is>
      </c>
      <c r="D248" s="10" t="inlineStr">
        <is>
          <t>Bartail flathead</t>
        </is>
      </c>
      <c r="E248" s="10" t="inlineStr">
        <is>
          <t>Medium demersals (30 - 89 cm)</t>
        </is>
      </c>
      <c r="F248" s="10" t="inlineStr">
        <is>
          <t>Scorpionfishes</t>
        </is>
      </c>
      <c r="G248" s="11" t="inlineStr">
        <is>
          <t>Med.dem.pisc.</t>
        </is>
      </c>
      <c r="H248" s="12" t="n">
        <v>1</v>
      </c>
      <c r="I248" s="10" t="inlineStr">
        <is>
          <t>single</t>
        </is>
      </c>
      <c r="J248" s="13" t="inlineStr">
        <is>
          <t>medium</t>
        </is>
      </c>
      <c r="K248" s="10" t="inlineStr">
        <is>
          <t>habitat_size_guild</t>
        </is>
      </c>
      <c r="L248" s="11" t="inlineStr">
        <is>
          <t>Bartail flathead; same ambush-piscivore guild as Platycephalidae. Reviewed against the Ecobase group name and diet; the original paper p.130 lists important components but does not settle this taxon.</t>
        </is>
      </c>
      <c r="M248" s="10" t="n">
        <v>1000.343</v>
      </c>
    </row>
    <row r="249" ht="51" customHeight="1">
      <c r="A249" s="10" t="inlineStr">
        <is>
          <t>LME_035</t>
        </is>
      </c>
      <c r="B249" s="11" t="inlineStr">
        <is>
          <t>35_412_Gulf_of_Thailande_(1963)</t>
        </is>
      </c>
      <c r="C249" s="11" t="inlineStr">
        <is>
          <t>Holothuriidae</t>
        </is>
      </c>
      <c r="D249" s="10" t="inlineStr">
        <is>
          <t>Fleshy sea cucumbers</t>
        </is>
      </c>
      <c r="E249" s="10" t="inlineStr">
        <is>
          <t>Other demersal invertebrates</t>
        </is>
      </c>
      <c r="F249" s="10" t="inlineStr">
        <is>
          <t>Other fishes &amp; inverts</t>
        </is>
      </c>
      <c r="G249" s="11" t="inlineStr">
        <is>
          <t>Benthos</t>
        </is>
      </c>
      <c r="H249" s="12" t="n">
        <v>1</v>
      </c>
      <c r="I249" s="10" t="inlineStr">
        <is>
          <t>single</t>
        </is>
      </c>
      <c r="J249" s="13" t="inlineStr">
        <is>
          <t>medium</t>
        </is>
      </c>
      <c r="K249" s="10" t="inlineStr">
        <is>
          <t>habitat_size_guild</t>
        </is>
      </c>
      <c r="L249" s="11" t="inlineStr">
        <is>
          <t>Sea cucumbers are unambiguously benthic invertebrates, the taxonomic scope of the Benthos compartment. Reviewed against the Ecobase group name and diet; the original paper p.130 lists important components but does not settle this taxon.</t>
        </is>
      </c>
      <c r="M249" s="10" t="n">
        <v>930.987</v>
      </c>
    </row>
    <row r="250" ht="21" customHeight="1">
      <c r="A250" s="10" t="inlineStr">
        <is>
          <t>LME_035</t>
        </is>
      </c>
      <c r="B250" s="11" t="inlineStr">
        <is>
          <t>35_412_Gulf_of_Thailande_(1963)</t>
        </is>
      </c>
      <c r="C250" s="11" t="inlineStr">
        <is>
          <t>Istiompax indica</t>
        </is>
      </c>
      <c r="D250" s="10" t="inlineStr">
        <is>
          <t>Black marlin</t>
        </is>
      </c>
      <c r="E250" s="10" t="inlineStr">
        <is>
          <t>Large pelagics (&gt;=90 cm)</t>
        </is>
      </c>
      <c r="F250" s="10" t="inlineStr">
        <is>
          <t>Tuna &amp; billfishes</t>
        </is>
      </c>
      <c r="G250" s="11" t="inlineStr">
        <is>
          <t>Unresolved</t>
        </is>
      </c>
      <c r="H250" s="12" t="n"/>
      <c r="I250" s="10" t="inlineStr"/>
      <c r="J250" s="16" t="inlineStr">
        <is>
          <t>unresolved</t>
        </is>
      </c>
      <c r="K250" s="10" t="inlineStr">
        <is>
          <t>none</t>
        </is>
      </c>
      <c r="L250" s="11" t="inlineStr">
        <is>
          <t>Black marlin (Istiophoridae); no billfish compartment in this model.</t>
        </is>
      </c>
      <c r="M250" s="10" t="n">
        <v>851.096</v>
      </c>
    </row>
    <row r="251" ht="51" customHeight="1">
      <c r="A251" s="10" t="inlineStr">
        <is>
          <t>LME_035</t>
        </is>
      </c>
      <c r="B251" s="11" t="inlineStr">
        <is>
          <t>35_412_Gulf_of_Thailande_(1963)</t>
        </is>
      </c>
      <c r="C251" s="11" t="inlineStr">
        <is>
          <t>Menidae</t>
        </is>
      </c>
      <c r="D251" s="10" t="inlineStr">
        <is>
          <t>Moonfishes</t>
        </is>
      </c>
      <c r="E251" s="10" t="inlineStr">
        <is>
          <t>Medium reef assoc. fish (30 - 89 cm)</t>
        </is>
      </c>
      <c r="F251" s="10" t="inlineStr">
        <is>
          <t>Perch-likes</t>
        </is>
      </c>
      <c r="G251" s="11" t="inlineStr">
        <is>
          <t>Med.dem.benth.</t>
        </is>
      </c>
      <c r="H251" s="12" t="n">
        <v>1</v>
      </c>
      <c r="I251" s="10" t="inlineStr">
        <is>
          <t>single</t>
        </is>
      </c>
      <c r="J251" s="13" t="inlineStr">
        <is>
          <t>medium</t>
        </is>
      </c>
      <c r="K251" s="10" t="inlineStr">
        <is>
          <t>habitat_size_guild</t>
        </is>
      </c>
      <c r="L251" s="11" t="inlineStr">
        <is>
          <t>Moonfish/mono are schooling zooplanktivores in estuaries; mapped to the closest bottom-associated bucket absent a dedicated compartment. Reviewed against the Ecobase group name and diet; the original paper p.130 lists important components but does not settle this taxon.</t>
        </is>
      </c>
      <c r="M251" s="10" t="n">
        <v>665.819</v>
      </c>
    </row>
    <row r="252" ht="51" customHeight="1">
      <c r="A252" s="10" t="inlineStr">
        <is>
          <t>LME_035</t>
        </is>
      </c>
      <c r="B252" s="11" t="inlineStr">
        <is>
          <t>35_412_Gulf_of_Thailande_(1963)</t>
        </is>
      </c>
      <c r="C252" s="11" t="inlineStr">
        <is>
          <t>Hyporhamphus</t>
        </is>
      </c>
      <c r="D252" s="10" t="inlineStr">
        <is>
          <t>Sea garfishes</t>
        </is>
      </c>
      <c r="E252" s="10" t="inlineStr">
        <is>
          <t>Small reef assoc. fish (&lt;30 cm)</t>
        </is>
      </c>
      <c r="F252" s="10" t="inlineStr">
        <is>
          <t>Other fishes &amp; inverts</t>
        </is>
      </c>
      <c r="G252" s="11" t="inlineStr">
        <is>
          <t>Sm. pelagics</t>
        </is>
      </c>
      <c r="H252" s="12" t="n">
        <v>1</v>
      </c>
      <c r="I252" s="10" t="inlineStr">
        <is>
          <t>single</t>
        </is>
      </c>
      <c r="J252" s="13" t="inlineStr">
        <is>
          <t>medium</t>
        </is>
      </c>
      <c r="K252" s="10" t="inlineStr">
        <is>
          <t>habitat_size_guild</t>
        </is>
      </c>
      <c r="L252" s="11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  <c r="M252" s="10" t="n">
        <v>605.279</v>
      </c>
    </row>
    <row r="253" ht="66" customHeight="1">
      <c r="A253" s="10" t="inlineStr">
        <is>
          <t>LME_035</t>
        </is>
      </c>
      <c r="B253" s="11" t="inlineStr">
        <is>
          <t>35_412_Gulf_of_Thailande_(1963)</t>
        </is>
      </c>
      <c r="C253" s="11" t="inlineStr">
        <is>
          <t>Caranx sexfasciatus</t>
        </is>
      </c>
      <c r="D253" s="10" t="inlineStr">
        <is>
          <t>Bigeye trevally</t>
        </is>
      </c>
      <c r="E253" s="10" t="inlineStr">
        <is>
          <t>Large reef assoc. fish (&gt;=90 cm)</t>
        </is>
      </c>
      <c r="F253" s="10" t="inlineStr">
        <is>
          <t>Perch-likes</t>
        </is>
      </c>
      <c r="G253" s="11" t="inlineStr">
        <is>
          <t>Lg. piscivores</t>
        </is>
      </c>
      <c r="H253" s="12" t="n">
        <v>1</v>
      </c>
      <c r="I253" s="10" t="inlineStr">
        <is>
          <t>model_catch</t>
        </is>
      </c>
      <c r="J253" s="13" t="inlineStr">
        <is>
          <t>medium</t>
        </is>
      </c>
      <c r="K253" s="10" t="inlineStr">
        <is>
          <t>composite_split</t>
        </is>
      </c>
      <c r="L253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53" s="10" t="n">
        <v>538.636</v>
      </c>
    </row>
    <row r="254" ht="66" customHeight="1">
      <c r="A254" s="10" t="inlineStr">
        <is>
          <t>LME_035</t>
        </is>
      </c>
      <c r="B254" s="11" t="inlineStr">
        <is>
          <t>35_412_Gulf_of_Thailande_(1963)</t>
        </is>
      </c>
      <c r="C254" s="11" t="inlineStr">
        <is>
          <t>Caranx sexfasciatus</t>
        </is>
      </c>
      <c r="D254" s="10" t="inlineStr">
        <is>
          <t>Bigeye trevally</t>
        </is>
      </c>
      <c r="E254" s="10" t="inlineStr">
        <is>
          <t>Large reef assoc. fish (&gt;=90 cm)</t>
        </is>
      </c>
      <c r="F254" s="10" t="inlineStr">
        <is>
          <t>Perch-likes</t>
        </is>
      </c>
      <c r="G254" s="11" t="inlineStr">
        <is>
          <t>Juv.Lg.Pisciv.</t>
        </is>
      </c>
      <c r="H254" s="12" t="n">
        <v>0</v>
      </c>
      <c r="I254" s="10" t="inlineStr">
        <is>
          <t>model_catch</t>
        </is>
      </c>
      <c r="J254" s="13" t="inlineStr">
        <is>
          <t>medium</t>
        </is>
      </c>
      <c r="K254" s="10" t="inlineStr">
        <is>
          <t>composite_split</t>
        </is>
      </c>
      <c r="L254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54" s="10" t="n">
        <v>538.636</v>
      </c>
    </row>
    <row r="255" ht="51" customHeight="1">
      <c r="A255" s="10" t="inlineStr">
        <is>
          <t>LME_035</t>
        </is>
      </c>
      <c r="B255" s="11" t="inlineStr">
        <is>
          <t>35_412_Gulf_of_Thailande_(1963)</t>
        </is>
      </c>
      <c r="C255" s="11" t="inlineStr">
        <is>
          <t>Megalops cyprinoides</t>
        </is>
      </c>
      <c r="D255" s="10" t="inlineStr">
        <is>
          <t>Indo-Pacific tarpon</t>
        </is>
      </c>
      <c r="E255" s="10" t="inlineStr">
        <is>
          <t>Large pelagics (&gt;=90 cm)</t>
        </is>
      </c>
      <c r="F255" s="10" t="inlineStr">
        <is>
          <t>Other fishes &amp; inverts</t>
        </is>
      </c>
      <c r="G255" s="11" t="inlineStr">
        <is>
          <t>Lg. piscivores</t>
        </is>
      </c>
      <c r="H255" s="12" t="n">
        <v>1</v>
      </c>
      <c r="I255" s="10" t="inlineStr">
        <is>
          <t>model_catch</t>
        </is>
      </c>
      <c r="J255" s="13" t="inlineStr">
        <is>
          <t>medium</t>
        </is>
      </c>
      <c r="K255" s="10" t="inlineStr">
        <is>
          <t>composite_split</t>
        </is>
      </c>
      <c r="L255" s="11" t="inlineStr">
        <is>
          <t>Indo-Pacific tarpon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255" s="10" t="n">
        <v>422.413</v>
      </c>
    </row>
    <row r="256" ht="51" customHeight="1">
      <c r="A256" s="10" t="inlineStr">
        <is>
          <t>LME_035</t>
        </is>
      </c>
      <c r="B256" s="11" t="inlineStr">
        <is>
          <t>35_412_Gulf_of_Thailande_(1963)</t>
        </is>
      </c>
      <c r="C256" s="11" t="inlineStr">
        <is>
          <t>Megalops cyprinoides</t>
        </is>
      </c>
      <c r="D256" s="10" t="inlineStr">
        <is>
          <t>Indo-Pacific tarpon</t>
        </is>
      </c>
      <c r="E256" s="10" t="inlineStr">
        <is>
          <t>Large pelagics (&gt;=90 cm)</t>
        </is>
      </c>
      <c r="F256" s="10" t="inlineStr">
        <is>
          <t>Other fishes &amp; inverts</t>
        </is>
      </c>
      <c r="G256" s="11" t="inlineStr">
        <is>
          <t>Juv.Lg.Pisciv.</t>
        </is>
      </c>
      <c r="H256" s="12" t="n">
        <v>0</v>
      </c>
      <c r="I256" s="10" t="inlineStr">
        <is>
          <t>model_catch</t>
        </is>
      </c>
      <c r="J256" s="13" t="inlineStr">
        <is>
          <t>medium</t>
        </is>
      </c>
      <c r="K256" s="10" t="inlineStr">
        <is>
          <t>composite_split</t>
        </is>
      </c>
      <c r="L256" s="11" t="inlineStr">
        <is>
          <t>Indo-Pacific tarpon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256" s="10" t="n">
        <v>422.413</v>
      </c>
    </row>
    <row r="257" ht="66" customHeight="1">
      <c r="A257" s="10" t="inlineStr">
        <is>
          <t>LME_035</t>
        </is>
      </c>
      <c r="B257" s="11" t="inlineStr">
        <is>
          <t>35_412_Gulf_of_Thailande_(1963)</t>
        </is>
      </c>
      <c r="C257" s="11" t="inlineStr">
        <is>
          <t>Spratelloides</t>
        </is>
      </c>
      <c r="D257" s="10" t="inlineStr">
        <is>
          <t>Round herrings</t>
        </is>
      </c>
      <c r="E257" s="10" t="inlineStr">
        <is>
          <t>Small reef assoc. fish (&lt;30 cm)</t>
        </is>
      </c>
      <c r="F257" s="10" t="inlineStr">
        <is>
          <t>Herring-likes</t>
        </is>
      </c>
      <c r="G257" s="11" t="inlineStr">
        <is>
          <t>Sm. pelagics</t>
        </is>
      </c>
      <c r="H257" s="12" t="n">
        <v>1</v>
      </c>
      <c r="I257" s="10" t="inlineStr">
        <is>
          <t>single</t>
        </is>
      </c>
      <c r="J257" s="13" t="inlineStr">
        <is>
          <t>medium</t>
        </is>
      </c>
      <c r="K257" s="10" t="inlineStr">
        <is>
          <t>habitat_size_guild</t>
        </is>
      </c>
      <c r="L257" s="11" t="inlineStr">
        <is>
          <t>Round herrings (Dussumieriidae/Clupeidae) are open-water schooling clupeiforms despite the SAU "reef assoc." tag; treated by taxonomic/ecological identity as small schooling pelagics. Reviewed against the Ecobase group name and diet; the original paper p.130 lists important components but does not settle this taxon.</t>
        </is>
      </c>
      <c r="M257" s="10" t="n">
        <v>392.614</v>
      </c>
    </row>
    <row r="258" ht="36" customHeight="1">
      <c r="A258" s="10" t="inlineStr">
        <is>
          <t>LME_035</t>
        </is>
      </c>
      <c r="B258" s="11" t="inlineStr">
        <is>
          <t>35_412_Gulf_of_Thailande_(1963)</t>
        </is>
      </c>
      <c r="C258" s="11" t="inlineStr">
        <is>
          <t>Marine pelagic fishes not identified</t>
        </is>
      </c>
      <c r="D258" s="10" t="inlineStr">
        <is>
          <t>Pelagic fishes</t>
        </is>
      </c>
      <c r="E258" s="10" t="inlineStr">
        <is>
          <t>Medium pelagics (30 - 89 cm)</t>
        </is>
      </c>
      <c r="F258" s="10" t="inlineStr">
        <is>
          <t>Other fishes &amp; inverts</t>
        </is>
      </c>
      <c r="G258" s="11" t="inlineStr">
        <is>
          <t>Sm. pelagics</t>
        </is>
      </c>
      <c r="H258" s="12" t="n">
        <v>0.6771864400735447</v>
      </c>
      <c r="I258" s="10" t="inlineStr">
        <is>
          <t>catch_composition</t>
        </is>
      </c>
      <c r="J258" s="15" t="inlineStr">
        <is>
          <t>low</t>
        </is>
      </c>
      <c r="K258" s="10" t="inlineStr">
        <is>
          <t>composite_split</t>
        </is>
      </c>
      <c r="L258" s="11" t="inlineStr">
        <is>
          <t>Unidentified pelagic catch spans the broad schooling pelagic and scad pools; exclude the exclusively benthic/omnivorous O.fish pool and named tuna/mackerel stocks.</t>
        </is>
      </c>
      <c r="M258" s="10" t="n">
        <v>331.328</v>
      </c>
    </row>
    <row r="259" ht="36" customHeight="1">
      <c r="A259" s="10" t="inlineStr">
        <is>
          <t>LME_035</t>
        </is>
      </c>
      <c r="B259" s="11" t="inlineStr">
        <is>
          <t>35_412_Gulf_of_Thailande_(1963)</t>
        </is>
      </c>
      <c r="C259" s="11" t="inlineStr">
        <is>
          <t>Marine pelagic fishes not identified</t>
        </is>
      </c>
      <c r="D259" s="10" t="inlineStr">
        <is>
          <t>Pelagic fishes</t>
        </is>
      </c>
      <c r="E259" s="10" t="inlineStr">
        <is>
          <t>Medium pelagics (30 - 89 cm)</t>
        </is>
      </c>
      <c r="F259" s="10" t="inlineStr">
        <is>
          <t>Other fishes &amp; inverts</t>
        </is>
      </c>
      <c r="G259" s="11" t="inlineStr">
        <is>
          <t>Scad</t>
        </is>
      </c>
      <c r="H259" s="12" t="n">
        <v>0.3228135599264554</v>
      </c>
      <c r="I259" s="10" t="inlineStr">
        <is>
          <t>catch_composition</t>
        </is>
      </c>
      <c r="J259" s="15" t="inlineStr">
        <is>
          <t>low</t>
        </is>
      </c>
      <c r="K259" s="10" t="inlineStr">
        <is>
          <t>composite_split</t>
        </is>
      </c>
      <c r="L259" s="11" t="inlineStr">
        <is>
          <t>Unidentified pelagic catch spans the broad schooling pelagic and scad pools; exclude the exclusively benthic/omnivorous O.fish pool and named tuna/mackerel stocks.</t>
        </is>
      </c>
      <c r="M259" s="10" t="n">
        <v>331.328</v>
      </c>
    </row>
    <row r="260" ht="21" customHeight="1">
      <c r="A260" s="10" t="inlineStr">
        <is>
          <t>LME_035</t>
        </is>
      </c>
      <c r="B260" s="11" t="inlineStr">
        <is>
          <t>35_412_Gulf_of_Thailande_(1963)</t>
        </is>
      </c>
      <c r="C260" s="11" t="inlineStr">
        <is>
          <t>Makaira</t>
        </is>
      </c>
      <c r="D260" s="10" t="inlineStr">
        <is>
          <t>Blue marlins</t>
        </is>
      </c>
      <c r="E260" s="10" t="inlineStr">
        <is>
          <t>Large pelagics (&gt;=90 cm)</t>
        </is>
      </c>
      <c r="F260" s="10" t="inlineStr">
        <is>
          <t>Tuna &amp; billfishes</t>
        </is>
      </c>
      <c r="G260" s="11" t="inlineStr">
        <is>
          <t>Unresolved</t>
        </is>
      </c>
      <c r="H260" s="12" t="n"/>
      <c r="I260" s="10" t="inlineStr"/>
      <c r="J260" s="16" t="inlineStr">
        <is>
          <t>unresolved</t>
        </is>
      </c>
      <c r="K260" s="10" t="inlineStr">
        <is>
          <t>none</t>
        </is>
      </c>
      <c r="L260" s="11" t="inlineStr">
        <is>
          <t>Marlin genus (Istiophoridae); no billfish compartment in this model.</t>
        </is>
      </c>
      <c r="M260" s="10" t="n">
        <v>263.415</v>
      </c>
    </row>
    <row r="261" ht="51" customHeight="1">
      <c r="A261" s="10" t="inlineStr">
        <is>
          <t>LME_035</t>
        </is>
      </c>
      <c r="B261" s="11" t="inlineStr">
        <is>
          <t>35_412_Gulf_of_Thailande_(1963)</t>
        </is>
      </c>
      <c r="C261" s="11" t="inlineStr">
        <is>
          <t>Thunnus alalunga</t>
        </is>
      </c>
      <c r="D261" s="10" t="inlineStr">
        <is>
          <t>Albacore</t>
        </is>
      </c>
      <c r="E261" s="10" t="inlineStr">
        <is>
          <t>Large pelagics (&gt;=90 cm)</t>
        </is>
      </c>
      <c r="F261" s="10" t="inlineStr">
        <is>
          <t>Tuna &amp; billfishes</t>
        </is>
      </c>
      <c r="G261" s="11" t="inlineStr">
        <is>
          <t>Tuna</t>
        </is>
      </c>
      <c r="H261" s="12" t="n">
        <v>1</v>
      </c>
      <c r="I261" s="10" t="inlineStr">
        <is>
          <t>single</t>
        </is>
      </c>
      <c r="J261" s="13" t="inlineStr">
        <is>
          <t>medium</t>
        </is>
      </c>
      <c r="K261" s="10" t="inlineStr">
        <is>
          <t>habitat_size_guild</t>
        </is>
      </c>
      <c r="L261" s="11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261" s="10" t="n">
        <v>248.976</v>
      </c>
    </row>
    <row r="262" ht="66" customHeight="1">
      <c r="A262" s="10" t="inlineStr">
        <is>
          <t>LME_035</t>
        </is>
      </c>
      <c r="B262" s="11" t="inlineStr">
        <is>
          <t>35_412_Gulf_of_Thailande_(1963)</t>
        </is>
      </c>
      <c r="C262" s="11" t="inlineStr">
        <is>
          <t>Scatophagus argus</t>
        </is>
      </c>
      <c r="D262" s="10" t="inlineStr">
        <is>
          <t>Spotted scat</t>
        </is>
      </c>
      <c r="E262" s="10" t="inlineStr">
        <is>
          <t>Medium demersals (30 - 89 cm)</t>
        </is>
      </c>
      <c r="F262" s="10" t="inlineStr">
        <is>
          <t>Perch-likes</t>
        </is>
      </c>
      <c r="G262" s="11" t="inlineStr">
        <is>
          <t>O.fish</t>
        </is>
      </c>
      <c r="H262" s="12" t="n">
        <v>1</v>
      </c>
      <c r="I262" s="10" t="inlineStr">
        <is>
          <t>single</t>
        </is>
      </c>
      <c r="J262" s="15" t="inlineStr">
        <is>
          <t>low</t>
        </is>
      </c>
      <c r="K262" s="10" t="inlineStr">
        <is>
          <t>analogue</t>
        </is>
      </c>
      <c r="L262" s="11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262" s="10" t="n">
        <v>174.131</v>
      </c>
    </row>
    <row r="263" ht="51" customHeight="1">
      <c r="A263" s="10" t="inlineStr">
        <is>
          <t>LME_035</t>
        </is>
      </c>
      <c r="B263" s="11" t="inlineStr">
        <is>
          <t>35_412_Gulf_of_Thailande_(1963)</t>
        </is>
      </c>
      <c r="C263" s="11" t="inlineStr">
        <is>
          <t>Panulirus</t>
        </is>
      </c>
      <c r="D263" s="10" t="inlineStr">
        <is>
          <t>Spiny lobsters</t>
        </is>
      </c>
      <c r="E263" s="10" t="inlineStr">
        <is>
          <t>Lobsters, crabs</t>
        </is>
      </c>
      <c r="F263" s="10" t="inlineStr">
        <is>
          <t>Crustaceans</t>
        </is>
      </c>
      <c r="G263" s="11" t="inlineStr">
        <is>
          <t>Crab, lobster</t>
        </is>
      </c>
      <c r="H263" s="12" t="n">
        <v>1</v>
      </c>
      <c r="I263" s="10" t="inlineStr">
        <is>
          <t>single</t>
        </is>
      </c>
      <c r="J263" s="14" t="inlineStr">
        <is>
          <t>high</t>
        </is>
      </c>
      <c r="K263" s="10" t="inlineStr">
        <is>
          <t>taxonomic_containment</t>
        </is>
      </c>
      <c r="L263" s="11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63" s="10" t="n">
        <v>169.883</v>
      </c>
    </row>
    <row r="264" ht="36" customHeight="1">
      <c r="A264" s="10" t="inlineStr">
        <is>
          <t>LME_035</t>
        </is>
      </c>
      <c r="B264" s="11" t="inlineStr">
        <is>
          <t>35_412_Gulf_of_Thailande_(1963)</t>
        </is>
      </c>
      <c r="C264" s="11" t="inlineStr">
        <is>
          <t>Istiophorus platypterus</t>
        </is>
      </c>
      <c r="D264" s="10" t="inlineStr">
        <is>
          <t>Indo-Pacific sailfish</t>
        </is>
      </c>
      <c r="E264" s="10" t="inlineStr">
        <is>
          <t>Large pelagics (&gt;=90 cm)</t>
        </is>
      </c>
      <c r="F264" s="10" t="inlineStr">
        <is>
          <t>Tuna &amp; billfishes</t>
        </is>
      </c>
      <c r="G264" s="11" t="inlineStr">
        <is>
          <t>Unresolved</t>
        </is>
      </c>
      <c r="H264" s="12" t="n"/>
      <c r="I264" s="10" t="inlineStr"/>
      <c r="J264" s="16" t="inlineStr">
        <is>
          <t>unresolved</t>
        </is>
      </c>
      <c r="K264" s="10" t="inlineStr">
        <is>
          <t>none</t>
        </is>
      </c>
      <c r="L264" s="11" t="inlineStr">
        <is>
          <t>Sailfish (Istiophoridae), not Scombridae; no billfish compartment exists in this 1963 coastal-shelf model.</t>
        </is>
      </c>
      <c r="M264" s="10" t="n">
        <v>164.275</v>
      </c>
    </row>
    <row r="265" ht="66" customHeight="1">
      <c r="A265" s="10" t="inlineStr">
        <is>
          <t>LME_035</t>
        </is>
      </c>
      <c r="B265" s="11" t="inlineStr">
        <is>
          <t>35_412_Gulf_of_Thailande_(1963)</t>
        </is>
      </c>
      <c r="C265" s="11" t="inlineStr">
        <is>
          <t>Ostreidae</t>
        </is>
      </c>
      <c r="D265" s="10" t="inlineStr">
        <is>
          <t>True oysters</t>
        </is>
      </c>
      <c r="E265" s="10" t="inlineStr">
        <is>
          <t>Other demersal invertebrates</t>
        </is>
      </c>
      <c r="F265" s="10" t="inlineStr">
        <is>
          <t>Molluscs</t>
        </is>
      </c>
      <c r="G265" s="11" t="inlineStr">
        <is>
          <t>Molluscs</t>
        </is>
      </c>
      <c r="H265" s="12" t="n">
        <v>1</v>
      </c>
      <c r="I265" s="10" t="inlineStr">
        <is>
          <t>single</t>
        </is>
      </c>
      <c r="J265" s="14" t="inlineStr">
        <is>
          <t>high</t>
        </is>
      </c>
      <c r="K265" s="10" t="inlineStr">
        <is>
          <t>taxonomic_containment</t>
        </is>
      </c>
      <c r="L265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65" s="10" t="n">
        <v>153.208</v>
      </c>
    </row>
    <row r="266" ht="51" customHeight="1">
      <c r="A266" s="10" t="inlineStr">
        <is>
          <t>LME_035</t>
        </is>
      </c>
      <c r="B266" s="11" t="inlineStr">
        <is>
          <t>35_412_Gulf_of_Thailande_(1963)</t>
        </is>
      </c>
      <c r="C266" s="11" t="inlineStr">
        <is>
          <t>Stromateidae</t>
        </is>
      </c>
      <c r="D266" s="10" t="inlineStr">
        <is>
          <t>Butterfishes</t>
        </is>
      </c>
      <c r="E266" s="10" t="inlineStr">
        <is>
          <t>Small benthopelagics (&lt;30 cm)</t>
        </is>
      </c>
      <c r="F266" s="10" t="inlineStr">
        <is>
          <t>Perch-likes</t>
        </is>
      </c>
      <c r="G266" s="11" t="inlineStr">
        <is>
          <t>Med.dem.benth.</t>
        </is>
      </c>
      <c r="H266" s="12" t="n">
        <v>1</v>
      </c>
      <c r="I266" s="10" t="inlineStr">
        <is>
          <t>single</t>
        </is>
      </c>
      <c r="J266" s="14" t="inlineStr">
        <is>
          <t>high</t>
        </is>
      </c>
      <c r="K266" s="10" t="inlineStr">
        <is>
          <t>taxonomic_containment</t>
        </is>
      </c>
      <c r="L26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66" s="10" t="n">
        <v>131.578</v>
      </c>
    </row>
    <row r="267" ht="51" customHeight="1">
      <c r="A267" s="10" t="inlineStr">
        <is>
          <t>LME_035</t>
        </is>
      </c>
      <c r="B267" s="11" t="inlineStr">
        <is>
          <t>35_412_Gulf_of_Thailande_(1963)</t>
        </is>
      </c>
      <c r="C267" s="11" t="inlineStr">
        <is>
          <t>Aluterus monoceros</t>
        </is>
      </c>
      <c r="D267" s="10" t="inlineStr">
        <is>
          <t>Unicorn leatherjacket filefish</t>
        </is>
      </c>
      <c r="E267" s="10" t="inlineStr">
        <is>
          <t>Medium reef assoc. fish (30 - 89 cm)</t>
        </is>
      </c>
      <c r="F267" s="10" t="inlineStr">
        <is>
          <t>Other fishes &amp; inverts</t>
        </is>
      </c>
      <c r="G267" s="11" t="inlineStr">
        <is>
          <t>Med.dem.benth.</t>
        </is>
      </c>
      <c r="H267" s="12" t="n">
        <v>1</v>
      </c>
      <c r="I267" s="10" t="inlineStr">
        <is>
          <t>single</t>
        </is>
      </c>
      <c r="J267" s="13" t="inlineStr">
        <is>
          <t>medium</t>
        </is>
      </c>
      <c r="K267" s="10" t="inlineStr">
        <is>
          <t>habitat_size_guild</t>
        </is>
      </c>
      <c r="L267" s="11" t="inlineStr">
        <is>
          <t>Unicorn filefish; same benthic invertivore/omnivore guild as Monacanthidae. Reviewed against the Ecobase group name and diet; the original paper p.130 lists important components but does not settle this taxon.</t>
        </is>
      </c>
      <c r="M267" s="10" t="n">
        <v>88.80800000000001</v>
      </c>
    </row>
    <row r="268" ht="36" customHeight="1">
      <c r="A268" s="10" t="inlineStr">
        <is>
          <t>LME_035</t>
        </is>
      </c>
      <c r="B268" s="11" t="inlineStr">
        <is>
          <t>35_412_Gulf_of_Thailande_(1963)</t>
        </is>
      </c>
      <c r="C268" s="11" t="inlineStr">
        <is>
          <t>Chondrichthyes</t>
        </is>
      </c>
      <c r="D268" s="10" t="inlineStr">
        <is>
          <t>Sharks, rays, chimaeras</t>
        </is>
      </c>
      <c r="E268" s="10" t="inlineStr">
        <is>
          <t>Large sharks (&gt;=90 cm)</t>
        </is>
      </c>
      <c r="F268" s="10" t="inlineStr">
        <is>
          <t>Sharks &amp; rays</t>
        </is>
      </c>
      <c r="G268" s="11" t="inlineStr">
        <is>
          <t>Sharks</t>
        </is>
      </c>
      <c r="H268" s="12" t="n">
        <v>0</v>
      </c>
      <c r="I268" s="10" t="inlineStr">
        <is>
          <t>catch_composition</t>
        </is>
      </c>
      <c r="J268" s="15" t="inlineStr">
        <is>
          <t>low</t>
        </is>
      </c>
      <c r="K268" s="10" t="inlineStr">
        <is>
          <t>composite_split</t>
        </is>
      </c>
      <c r="L268" s="11" t="inlineStr">
        <is>
          <t>The coarse cartilaginous-fish catch is allocated across modeled sharks and rays; any chimaera component is unsupported by this shelf model.</t>
        </is>
      </c>
      <c r="M268" s="10" t="n">
        <v>84.401</v>
      </c>
    </row>
    <row r="269" ht="36" customHeight="1">
      <c r="A269" s="10" t="inlineStr">
        <is>
          <t>LME_035</t>
        </is>
      </c>
      <c r="B269" s="11" t="inlineStr">
        <is>
          <t>35_412_Gulf_of_Thailande_(1963)</t>
        </is>
      </c>
      <c r="C269" s="11" t="inlineStr">
        <is>
          <t>Chondrichthyes</t>
        </is>
      </c>
      <c r="D269" s="10" t="inlineStr">
        <is>
          <t>Sharks, rays, chimaeras</t>
        </is>
      </c>
      <c r="E269" s="10" t="inlineStr">
        <is>
          <t>Large sharks (&gt;=90 cm)</t>
        </is>
      </c>
      <c r="F269" s="10" t="inlineStr">
        <is>
          <t>Sharks &amp; rays</t>
        </is>
      </c>
      <c r="G269" s="11" t="inlineStr">
        <is>
          <t>Juv. sharks</t>
        </is>
      </c>
      <c r="H269" s="12" t="n">
        <v>0</v>
      </c>
      <c r="I269" s="10" t="inlineStr">
        <is>
          <t>catch_composition</t>
        </is>
      </c>
      <c r="J269" s="15" t="inlineStr">
        <is>
          <t>low</t>
        </is>
      </c>
      <c r="K269" s="10" t="inlineStr">
        <is>
          <t>composite_split</t>
        </is>
      </c>
      <c r="L269" s="11" t="inlineStr">
        <is>
          <t>The coarse cartilaginous-fish catch is allocated across modeled sharks and rays; any chimaera component is unsupported by this shelf model.</t>
        </is>
      </c>
      <c r="M269" s="10" t="n">
        <v>84.401</v>
      </c>
    </row>
    <row r="270" ht="36" customHeight="1">
      <c r="A270" s="10" t="inlineStr">
        <is>
          <t>LME_035</t>
        </is>
      </c>
      <c r="B270" s="11" t="inlineStr">
        <is>
          <t>35_412_Gulf_of_Thailande_(1963)</t>
        </is>
      </c>
      <c r="C270" s="11" t="inlineStr">
        <is>
          <t>Chondrichthyes</t>
        </is>
      </c>
      <c r="D270" s="10" t="inlineStr">
        <is>
          <t>Sharks, rays, chimaeras</t>
        </is>
      </c>
      <c r="E270" s="10" t="inlineStr">
        <is>
          <t>Large sharks (&gt;=90 cm)</t>
        </is>
      </c>
      <c r="F270" s="10" t="inlineStr">
        <is>
          <t>Sharks &amp; rays</t>
        </is>
      </c>
      <c r="G270" s="11" t="inlineStr">
        <is>
          <t>Rays</t>
        </is>
      </c>
      <c r="H270" s="12" t="n">
        <v>1</v>
      </c>
      <c r="I270" s="10" t="inlineStr">
        <is>
          <t>catch_composition</t>
        </is>
      </c>
      <c r="J270" s="15" t="inlineStr">
        <is>
          <t>low</t>
        </is>
      </c>
      <c r="K270" s="10" t="inlineStr">
        <is>
          <t>composite_split</t>
        </is>
      </c>
      <c r="L270" s="11" t="inlineStr">
        <is>
          <t>The coarse cartilaginous-fish catch is allocated across modeled sharks and rays; any chimaera component is unsupported by this shelf model.</t>
        </is>
      </c>
      <c r="M270" s="10" t="n">
        <v>84.401</v>
      </c>
    </row>
    <row r="271" ht="51" customHeight="1">
      <c r="A271" s="10" t="inlineStr">
        <is>
          <t>LME_035</t>
        </is>
      </c>
      <c r="B271" s="11" t="inlineStr">
        <is>
          <t>35_412_Gulf_of_Thailande_(1963)</t>
        </is>
      </c>
      <c r="C271" s="11" t="inlineStr">
        <is>
          <t>Echinodermata</t>
        </is>
      </c>
      <c r="D271" s="10" t="inlineStr">
        <is>
          <t>Sea urchins, stars, cucumbers</t>
        </is>
      </c>
      <c r="E271" s="10" t="inlineStr">
        <is>
          <t>Other demersal invertebrates</t>
        </is>
      </c>
      <c r="F271" s="10" t="inlineStr">
        <is>
          <t>Other fishes &amp; inverts</t>
        </is>
      </c>
      <c r="G271" s="11" t="inlineStr">
        <is>
          <t>Benthos</t>
        </is>
      </c>
      <c r="H271" s="12" t="n">
        <v>1</v>
      </c>
      <c r="I271" s="10" t="inlineStr">
        <is>
          <t>single</t>
        </is>
      </c>
      <c r="J271" s="13" t="inlineStr">
        <is>
          <t>medium</t>
        </is>
      </c>
      <c r="K271" s="10" t="inlineStr">
        <is>
          <t>habitat_size_guild</t>
        </is>
      </c>
      <c r="L271" s="11" t="inlineStr">
        <is>
          <t>Echinoderm phylum (urchins, stars, cucumbers) are unambiguously benthic invertebrates, matching Benthos directly. Reviewed against the Ecobase group name and diet; the original paper p.130 lists important components but does not settle this taxon.</t>
        </is>
      </c>
      <c r="M271" s="10" t="n">
        <v>45.294</v>
      </c>
    </row>
    <row r="272" ht="66" customHeight="1">
      <c r="A272" s="10" t="inlineStr">
        <is>
          <t>LME_035</t>
        </is>
      </c>
      <c r="B272" s="11" t="inlineStr">
        <is>
          <t>35_412_Gulf_of_Thailande_(1963)</t>
        </is>
      </c>
      <c r="C272" s="11" t="inlineStr">
        <is>
          <t>Caranx</t>
        </is>
      </c>
      <c r="D272" s="10" t="inlineStr">
        <is>
          <t>Jacks</t>
        </is>
      </c>
      <c r="E272" s="10" t="inlineStr">
        <is>
          <t>Medium reef assoc. fish (30 - 89 cm)</t>
        </is>
      </c>
      <c r="F272" s="10" t="inlineStr">
        <is>
          <t>Perch-likes</t>
        </is>
      </c>
      <c r="G272" s="11" t="inlineStr">
        <is>
          <t>Lg. piscivores</t>
        </is>
      </c>
      <c r="H272" s="12" t="n">
        <v>1</v>
      </c>
      <c r="I272" s="10" t="inlineStr">
        <is>
          <t>model_catch</t>
        </is>
      </c>
      <c r="J272" s="13" t="inlineStr">
        <is>
          <t>medium</t>
        </is>
      </c>
      <c r="K272" s="10" t="inlineStr">
        <is>
          <t>composite_split</t>
        </is>
      </c>
      <c r="L272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72" s="10" t="n">
        <v>39.75</v>
      </c>
    </row>
    <row r="273" ht="66" customHeight="1">
      <c r="A273" s="10" t="inlineStr">
        <is>
          <t>LME_035</t>
        </is>
      </c>
      <c r="B273" s="11" t="inlineStr">
        <is>
          <t>35_412_Gulf_of_Thailande_(1963)</t>
        </is>
      </c>
      <c r="C273" s="11" t="inlineStr">
        <is>
          <t>Caranx</t>
        </is>
      </c>
      <c r="D273" s="10" t="inlineStr">
        <is>
          <t>Jacks</t>
        </is>
      </c>
      <c r="E273" s="10" t="inlineStr">
        <is>
          <t>Medium reef assoc. fish (30 - 89 cm)</t>
        </is>
      </c>
      <c r="F273" s="10" t="inlineStr">
        <is>
          <t>Perch-likes</t>
        </is>
      </c>
      <c r="G273" s="11" t="inlineStr">
        <is>
          <t>Juv.Lg.Pisciv.</t>
        </is>
      </c>
      <c r="H273" s="12" t="n">
        <v>0</v>
      </c>
      <c r="I273" s="10" t="inlineStr">
        <is>
          <t>model_catch</t>
        </is>
      </c>
      <c r="J273" s="13" t="inlineStr">
        <is>
          <t>medium</t>
        </is>
      </c>
      <c r="K273" s="10" t="inlineStr">
        <is>
          <t>composite_split</t>
        </is>
      </c>
      <c r="L273" s="11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73" s="10" t="n">
        <v>39.75</v>
      </c>
    </row>
    <row r="274" ht="51" customHeight="1">
      <c r="A274" s="10" t="inlineStr">
        <is>
          <t>LME_035</t>
        </is>
      </c>
      <c r="B274" s="11" t="inlineStr">
        <is>
          <t>35_412_Gulf_of_Thailande_(1963)</t>
        </is>
      </c>
      <c r="C274" s="11" t="inlineStr">
        <is>
          <t>Pellona ditchela</t>
        </is>
      </c>
      <c r="D274" s="10" t="inlineStr">
        <is>
          <t>Indian pellona</t>
        </is>
      </c>
      <c r="E274" s="10" t="inlineStr">
        <is>
          <t>Small pelagics (&lt;30 cm)</t>
        </is>
      </c>
      <c r="F274" s="10" t="inlineStr">
        <is>
          <t>Herring-likes</t>
        </is>
      </c>
      <c r="G274" s="11" t="inlineStr">
        <is>
          <t>Sm. pelagics</t>
        </is>
      </c>
      <c r="H274" s="12" t="n">
        <v>1</v>
      </c>
      <c r="I274" s="10" t="inlineStr">
        <is>
          <t>single</t>
        </is>
      </c>
      <c r="J274" s="13" t="inlineStr">
        <is>
          <t>medium</t>
        </is>
      </c>
      <c r="K274" s="10" t="inlineStr">
        <is>
          <t>habitat_size_guild</t>
        </is>
      </c>
      <c r="L274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74" s="10" t="n">
        <v>30.364</v>
      </c>
    </row>
    <row r="275" ht="36" customHeight="1">
      <c r="A275" s="10" t="inlineStr">
        <is>
          <t>LME_035</t>
        </is>
      </c>
      <c r="B275" s="11" t="inlineStr">
        <is>
          <t>35_412_Gulf_of_Thailande_(1963)</t>
        </is>
      </c>
      <c r="C275" s="11" t="inlineStr">
        <is>
          <t>Carcharhinus falciformis</t>
        </is>
      </c>
      <c r="D275" s="10" t="inlineStr">
        <is>
          <t>Silky shark</t>
        </is>
      </c>
      <c r="E275" s="10" t="inlineStr">
        <is>
          <t>Large sharks (&gt;=90 cm)</t>
        </is>
      </c>
      <c r="F275" s="10" t="inlineStr">
        <is>
          <t>Sharks &amp; rays</t>
        </is>
      </c>
      <c r="G275" s="11" t="inlineStr">
        <is>
          <t>Sharks</t>
        </is>
      </c>
      <c r="H275" s="12" t="n">
        <v>1</v>
      </c>
      <c r="I275" s="10" t="inlineStr">
        <is>
          <t>model_catch</t>
        </is>
      </c>
      <c r="J275" s="13" t="inlineStr">
        <is>
          <t>medium</t>
        </is>
      </c>
      <c r="K275" s="10" t="inlineStr">
        <is>
          <t>composite_split</t>
        </is>
      </c>
      <c r="L275" s="11" t="inlineStr">
        <is>
          <t>The Ecobase model splits sharks by life stage; catch has no stage split. Model catch is recorded only on Sharks.</t>
        </is>
      </c>
      <c r="M275" s="10" t="n">
        <v>22.869</v>
      </c>
    </row>
    <row r="276" ht="36" customHeight="1">
      <c r="A276" s="10" t="inlineStr">
        <is>
          <t>LME_035</t>
        </is>
      </c>
      <c r="B276" s="11" t="inlineStr">
        <is>
          <t>35_412_Gulf_of_Thailande_(1963)</t>
        </is>
      </c>
      <c r="C276" s="11" t="inlineStr">
        <is>
          <t>Carcharhinus falciformis</t>
        </is>
      </c>
      <c r="D276" s="10" t="inlineStr">
        <is>
          <t>Silky shark</t>
        </is>
      </c>
      <c r="E276" s="10" t="inlineStr">
        <is>
          <t>Large sharks (&gt;=90 cm)</t>
        </is>
      </c>
      <c r="F276" s="10" t="inlineStr">
        <is>
          <t>Sharks &amp; rays</t>
        </is>
      </c>
      <c r="G276" s="11" t="inlineStr">
        <is>
          <t>Juv. sharks</t>
        </is>
      </c>
      <c r="H276" s="12" t="n">
        <v>0</v>
      </c>
      <c r="I276" s="10" t="inlineStr">
        <is>
          <t>model_catch</t>
        </is>
      </c>
      <c r="J276" s="13" t="inlineStr">
        <is>
          <t>medium</t>
        </is>
      </c>
      <c r="K276" s="10" t="inlineStr">
        <is>
          <t>composite_split</t>
        </is>
      </c>
      <c r="L276" s="11" t="inlineStr">
        <is>
          <t>The Ecobase model splits sharks by life stage; catch has no stage split. Model catch is recorded only on Sharks.</t>
        </is>
      </c>
      <c r="M276" s="10" t="n">
        <v>22.869</v>
      </c>
    </row>
    <row r="277" ht="51" customHeight="1">
      <c r="A277" s="10" t="inlineStr">
        <is>
          <t>LME_035</t>
        </is>
      </c>
      <c r="B277" s="11" t="inlineStr">
        <is>
          <t>35_412_Gulf_of_Thailande_(1963)</t>
        </is>
      </c>
      <c r="C277" s="11" t="inlineStr">
        <is>
          <t>Scyphozoa</t>
        </is>
      </c>
      <c r="D277" s="10" t="inlineStr">
        <is>
          <t>True jellyfishes</t>
        </is>
      </c>
      <c r="E277" s="10" t="inlineStr">
        <is>
          <t>Jellyfish</t>
        </is>
      </c>
      <c r="F277" s="10" t="inlineStr">
        <is>
          <t>Other fishes &amp; inverts</t>
        </is>
      </c>
      <c r="G277" s="11" t="inlineStr">
        <is>
          <t>Jellyfish</t>
        </is>
      </c>
      <c r="H277" s="12" t="n">
        <v>1</v>
      </c>
      <c r="I277" s="10" t="inlineStr">
        <is>
          <t>single</t>
        </is>
      </c>
      <c r="J277" s="14" t="inlineStr">
        <is>
          <t>high</t>
        </is>
      </c>
      <c r="K277" s="10" t="inlineStr">
        <is>
          <t>taxonomic_containment</t>
        </is>
      </c>
      <c r="L277" s="11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  <c r="M277" s="10" t="n">
        <v>22.4</v>
      </c>
    </row>
    <row r="278" ht="66" customHeight="1">
      <c r="A278" s="10" t="inlineStr">
        <is>
          <t>LME_035</t>
        </is>
      </c>
      <c r="B278" s="11" t="inlineStr">
        <is>
          <t>35_412_Gulf_of_Thailande_(1963)</t>
        </is>
      </c>
      <c r="C278" s="11" t="inlineStr">
        <is>
          <t>Coryphaena hippurus</t>
        </is>
      </c>
      <c r="D278" s="10" t="inlineStr">
        <is>
          <t>Common dolphinfish</t>
        </is>
      </c>
      <c r="E278" s="10" t="inlineStr">
        <is>
          <t>Large pelagics (&gt;=90 cm)</t>
        </is>
      </c>
      <c r="F278" s="10" t="inlineStr">
        <is>
          <t>Perch-likes</t>
        </is>
      </c>
      <c r="G278" s="11" t="inlineStr">
        <is>
          <t>Lg. piscivores</t>
        </is>
      </c>
      <c r="H278" s="12" t="n">
        <v>1</v>
      </c>
      <c r="I278" s="10" t="inlineStr">
        <is>
          <t>model_catch</t>
        </is>
      </c>
      <c r="J278" s="13" t="inlineStr">
        <is>
          <t>medium</t>
        </is>
      </c>
      <c r="K278" s="10" t="inlineStr">
        <is>
          <t>composite_split</t>
        </is>
      </c>
      <c r="L278" s="11" t="inlineStr">
        <is>
          <t>Dolphinfish is a large, fast pelagic piscivore; closest ecological analogue absent a dedicated compartment. Reviewed against the Ecobase group name and diet; the original paper p.130 lists important components but does not settle this taxon. Catch has no age split; model catch assigns no catch to the juvenile pool.</t>
        </is>
      </c>
      <c r="M278" s="10" t="n">
        <v>22.145</v>
      </c>
    </row>
    <row r="279" ht="66" customHeight="1">
      <c r="A279" s="10" t="inlineStr">
        <is>
          <t>LME_035</t>
        </is>
      </c>
      <c r="B279" s="11" t="inlineStr">
        <is>
          <t>35_412_Gulf_of_Thailande_(1963)</t>
        </is>
      </c>
      <c r="C279" s="11" t="inlineStr">
        <is>
          <t>Coryphaena hippurus</t>
        </is>
      </c>
      <c r="D279" s="10" t="inlineStr">
        <is>
          <t>Common dolphinfish</t>
        </is>
      </c>
      <c r="E279" s="10" t="inlineStr">
        <is>
          <t>Large pelagics (&gt;=90 cm)</t>
        </is>
      </c>
      <c r="F279" s="10" t="inlineStr">
        <is>
          <t>Perch-likes</t>
        </is>
      </c>
      <c r="G279" s="11" t="inlineStr">
        <is>
          <t>Juv.Lg.Pisciv.</t>
        </is>
      </c>
      <c r="H279" s="12" t="n">
        <v>0</v>
      </c>
      <c r="I279" s="10" t="inlineStr">
        <is>
          <t>model_catch</t>
        </is>
      </c>
      <c r="J279" s="13" t="inlineStr">
        <is>
          <t>medium</t>
        </is>
      </c>
      <c r="K279" s="10" t="inlineStr">
        <is>
          <t>composite_split</t>
        </is>
      </c>
      <c r="L279" s="11" t="inlineStr">
        <is>
          <t>Dolphinfish is a large, fast pelagic piscivore; closest ecological analogue absent a dedicated compartment. Reviewed against the Ecobase group name and diet; the original paper p.130 lists important components but does not settle this taxon. Catch has no age split; model catch assigns no catch to the juvenile pool.</t>
        </is>
      </c>
      <c r="M279" s="10" t="n">
        <v>22.145</v>
      </c>
    </row>
    <row r="280" ht="51" customHeight="1">
      <c r="A280" s="10" t="inlineStr">
        <is>
          <t>LME_035</t>
        </is>
      </c>
      <c r="B280" s="11" t="inlineStr">
        <is>
          <t>35_412_Gulf_of_Thailande_(1963)</t>
        </is>
      </c>
      <c r="C280" s="11" t="inlineStr">
        <is>
          <t>Labridae</t>
        </is>
      </c>
      <c r="D280" s="10" t="inlineStr">
        <is>
          <t>Wrasses, gropers, tuskfishes</t>
        </is>
      </c>
      <c r="E280" s="10" t="inlineStr">
        <is>
          <t>Medium reef assoc. fish (30 - 89 cm)</t>
        </is>
      </c>
      <c r="F280" s="10" t="inlineStr">
        <is>
          <t>Perch-likes</t>
        </is>
      </c>
      <c r="G280" s="11" t="inlineStr">
        <is>
          <t>Med.dem.benth.</t>
        </is>
      </c>
      <c r="H280" s="12" t="n">
        <v>1</v>
      </c>
      <c r="I280" s="10" t="inlineStr">
        <is>
          <t>single</t>
        </is>
      </c>
      <c r="J280" s="13" t="inlineStr">
        <is>
          <t>medium</t>
        </is>
      </c>
      <c r="K280" s="10" t="inlineStr">
        <is>
          <t>habitat_size_guild</t>
        </is>
      </c>
      <c r="L280" s="11" t="inlineStr">
        <is>
          <t>Wrasse feed on benthic invertebrates (crustaceans, molluscs). Reviewed against the Ecobase group name and diet; the original paper p.130 lists important components but does not settle this taxon.</t>
        </is>
      </c>
      <c r="M280" s="10" t="n">
        <v>4.968</v>
      </c>
    </row>
    <row r="281" ht="21" customHeight="1">
      <c r="A281" s="10" t="inlineStr">
        <is>
          <t>LME_035</t>
        </is>
      </c>
      <c r="B281" s="11" t="inlineStr">
        <is>
          <t>35_412_Gulf_of_Thailande_(1963)</t>
        </is>
      </c>
      <c r="C281" s="11" t="inlineStr">
        <is>
          <t>Decapoda</t>
        </is>
      </c>
      <c r="D281" s="10" t="inlineStr">
        <is>
          <t>Crabs, lobsters, shrimps</t>
        </is>
      </c>
      <c r="E281" s="10" t="inlineStr">
        <is>
          <t>Lobsters, crabs</t>
        </is>
      </c>
      <c r="F281" s="10" t="inlineStr">
        <is>
          <t>Crustaceans</t>
        </is>
      </c>
      <c r="G281" s="11" t="inlineStr">
        <is>
          <t>Shrimps</t>
        </is>
      </c>
      <c r="H281" s="12" t="n">
        <v>0.7726100583246687</v>
      </c>
      <c r="I281" s="10" t="inlineStr">
        <is>
          <t>catch_composition</t>
        </is>
      </c>
      <c r="J281" s="13" t="inlineStr">
        <is>
          <t>medium</t>
        </is>
      </c>
      <c r="K281" s="10" t="inlineStr">
        <is>
          <t>composite_split</t>
        </is>
      </c>
      <c r="L281" s="11" t="inlineStr">
        <is>
          <t>Decapoda contains shrimp, crabs and lobsters; both named model compartments are candidates.</t>
        </is>
      </c>
      <c r="M281" s="10" t="n">
        <v>4.152</v>
      </c>
    </row>
    <row r="282" ht="21" customHeight="1">
      <c r="A282" s="10" t="inlineStr">
        <is>
          <t>LME_035</t>
        </is>
      </c>
      <c r="B282" s="11" t="inlineStr">
        <is>
          <t>35_412_Gulf_of_Thailande_(1963)</t>
        </is>
      </c>
      <c r="C282" s="11" t="inlineStr">
        <is>
          <t>Decapoda</t>
        </is>
      </c>
      <c r="D282" s="10" t="inlineStr">
        <is>
          <t>Crabs, lobsters, shrimps</t>
        </is>
      </c>
      <c r="E282" s="10" t="inlineStr">
        <is>
          <t>Lobsters, crabs</t>
        </is>
      </c>
      <c r="F282" s="10" t="inlineStr">
        <is>
          <t>Crustaceans</t>
        </is>
      </c>
      <c r="G282" s="11" t="inlineStr">
        <is>
          <t>Crab, lobster</t>
        </is>
      </c>
      <c r="H282" s="12" t="n">
        <v>0.2273899416753314</v>
      </c>
      <c r="I282" s="10" t="inlineStr">
        <is>
          <t>catch_composition</t>
        </is>
      </c>
      <c r="J282" s="13" t="inlineStr">
        <is>
          <t>medium</t>
        </is>
      </c>
      <c r="K282" s="10" t="inlineStr">
        <is>
          <t>composite_split</t>
        </is>
      </c>
      <c r="L282" s="11" t="inlineStr">
        <is>
          <t>Decapoda contains shrimp, crabs and lobsters; both named model compartments are candidates.</t>
        </is>
      </c>
      <c r="M282" s="10" t="n">
        <v>4.152</v>
      </c>
    </row>
    <row r="283" ht="36" customHeight="1">
      <c r="A283" s="10" t="inlineStr">
        <is>
          <t>LME_035</t>
        </is>
      </c>
      <c r="B283" s="11" t="inlineStr">
        <is>
          <t>35_412_Gulf_of_Thailande_(1963)</t>
        </is>
      </c>
      <c r="C283" s="11" t="inlineStr">
        <is>
          <t>Netuma thalassina</t>
        </is>
      </c>
      <c r="D283" s="10" t="inlineStr">
        <is>
          <t>Giant catfish</t>
        </is>
      </c>
      <c r="E283" s="10" t="inlineStr">
        <is>
          <t>Large demersals (&gt;=90 cm)</t>
        </is>
      </c>
      <c r="F283" s="10" t="inlineStr">
        <is>
          <t>Other fishes &amp; inverts</t>
        </is>
      </c>
      <c r="G283" s="11" t="inlineStr">
        <is>
          <t>Med.dem.benth.</t>
        </is>
      </c>
      <c r="H283" s="12" t="n">
        <v>1</v>
      </c>
      <c r="I283" s="10" t="inlineStr">
        <is>
          <t>single</t>
        </is>
      </c>
      <c r="J283" s="13" t="inlineStr">
        <is>
          <t>medium</t>
        </is>
      </c>
      <c r="K283" s="10" t="inlineStr">
        <is>
          <t>habitat_size_guild</t>
        </is>
      </c>
      <c r="L283" s="11" t="inlineStr">
        <is>
          <t>Source p.130 includes Arius in medium demersal benthivores. The broader sea-catfish family and Netuma are inferred to that guild; no historical genus synonym is asserted.</t>
        </is>
      </c>
      <c r="M283" s="10" t="n">
        <v>3.825</v>
      </c>
    </row>
    <row r="284" ht="51" customHeight="1">
      <c r="A284" s="10" t="inlineStr">
        <is>
          <t>LME_035</t>
        </is>
      </c>
      <c r="B284" s="11" t="inlineStr">
        <is>
          <t>35_412_Gulf_of_Thailande_(1963)</t>
        </is>
      </c>
      <c r="C284" s="11" t="inlineStr">
        <is>
          <t>Sardinella lemuru</t>
        </is>
      </c>
      <c r="D284" s="10" t="inlineStr">
        <is>
          <t>Bali sardinella</t>
        </is>
      </c>
      <c r="E284" s="10" t="inlineStr">
        <is>
          <t>Small pelagics (&lt;30 cm)</t>
        </is>
      </c>
      <c r="F284" s="10" t="inlineStr">
        <is>
          <t>Herring-likes</t>
        </is>
      </c>
      <c r="G284" s="11" t="inlineStr">
        <is>
          <t>Sm. pelagics</t>
        </is>
      </c>
      <c r="H284" s="12" t="n">
        <v>1</v>
      </c>
      <c r="I284" s="10" t="inlineStr">
        <is>
          <t>single</t>
        </is>
      </c>
      <c r="J284" s="13" t="inlineStr">
        <is>
          <t>medium</t>
        </is>
      </c>
      <c r="K284" s="10" t="inlineStr">
        <is>
          <t>habitat_size_guild</t>
        </is>
      </c>
      <c r="L284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84" s="10" t="n">
        <v>3.107</v>
      </c>
    </row>
    <row r="285" ht="51" customHeight="1">
      <c r="A285" s="10" t="inlineStr">
        <is>
          <t>LME_035</t>
        </is>
      </c>
      <c r="B285" s="11" t="inlineStr">
        <is>
          <t>35_412_Gulf_of_Thailande_(1963)</t>
        </is>
      </c>
      <c r="C285" s="11" t="inlineStr">
        <is>
          <t>Teuthida</t>
        </is>
      </c>
      <c r="D285" s="10" t="inlineStr">
        <is>
          <t>Squids</t>
        </is>
      </c>
      <c r="E285" s="10" t="inlineStr">
        <is>
          <t>Cephalopods</t>
        </is>
      </c>
      <c r="F285" s="10" t="inlineStr">
        <is>
          <t>Other fishes &amp; inverts</t>
        </is>
      </c>
      <c r="G285" s="11" t="inlineStr">
        <is>
          <t>Cephalopods</t>
        </is>
      </c>
      <c r="H285" s="12" t="n">
        <v>1</v>
      </c>
      <c r="I285" s="10" t="inlineStr">
        <is>
          <t>single</t>
        </is>
      </c>
      <c r="J285" s="14" t="inlineStr">
        <is>
          <t>high</t>
        </is>
      </c>
      <c r="K285" s="10" t="inlineStr">
        <is>
          <t>taxonomic_containment</t>
        </is>
      </c>
      <c r="L285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85" s="10" t="n">
        <v>3.062</v>
      </c>
    </row>
    <row r="286" ht="51" customHeight="1">
      <c r="A286" s="10" t="inlineStr">
        <is>
          <t>LME_035</t>
        </is>
      </c>
      <c r="B286" s="11" t="inlineStr">
        <is>
          <t>35_412_Gulf_of_Thailande_(1963)</t>
        </is>
      </c>
      <c r="C286" s="11" t="inlineStr">
        <is>
          <t>Acetes japonicus</t>
        </is>
      </c>
      <c r="D286" s="10" t="inlineStr">
        <is>
          <t>Akiami paste shrimp</t>
        </is>
      </c>
      <c r="E286" s="10" t="inlineStr">
        <is>
          <t>Shrimps</t>
        </is>
      </c>
      <c r="F286" s="10" t="inlineStr">
        <is>
          <t>Crustaceans</t>
        </is>
      </c>
      <c r="G286" s="11" t="inlineStr">
        <is>
          <t>Shrimps</t>
        </is>
      </c>
      <c r="H286" s="12" t="n">
        <v>1</v>
      </c>
      <c r="I286" s="10" t="inlineStr">
        <is>
          <t>single</t>
        </is>
      </c>
      <c r="J286" s="14" t="inlineStr">
        <is>
          <t>high</t>
        </is>
      </c>
      <c r="K286" s="10" t="inlineStr">
        <is>
          <t>taxonomic_containment</t>
        </is>
      </c>
      <c r="L286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286" s="10" t="n">
        <v>2.818</v>
      </c>
    </row>
    <row r="287" ht="51" customHeight="1">
      <c r="A287" s="10" t="inlineStr">
        <is>
          <t>LME_035</t>
        </is>
      </c>
      <c r="B287" s="11" t="inlineStr">
        <is>
          <t>35_412_Gulf_of_Thailande_(1963)</t>
        </is>
      </c>
      <c r="C287" s="11" t="inlineStr">
        <is>
          <t>Lutjanus argentimaculatus</t>
        </is>
      </c>
      <c r="D287" s="10" t="inlineStr">
        <is>
          <t>Mangrove red snapper</t>
        </is>
      </c>
      <c r="E287" s="10" t="inlineStr">
        <is>
          <t>Large reef assoc. fish (&gt;=90 cm)</t>
        </is>
      </c>
      <c r="F287" s="10" t="inlineStr">
        <is>
          <t>Perch-likes</t>
        </is>
      </c>
      <c r="G287" s="11" t="inlineStr">
        <is>
          <t>Grouper/snapper</t>
        </is>
      </c>
      <c r="H287" s="12" t="n">
        <v>1</v>
      </c>
      <c r="I287" s="10" t="inlineStr">
        <is>
          <t>model_catch</t>
        </is>
      </c>
      <c r="J287" s="13" t="inlineStr">
        <is>
          <t>medium</t>
        </is>
      </c>
      <c r="K287" s="10" t="inlineStr">
        <is>
          <t>composite_split</t>
        </is>
      </c>
      <c r="L28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87" s="10" t="n">
        <v>2.71</v>
      </c>
    </row>
    <row r="288" ht="51" customHeight="1">
      <c r="A288" s="10" t="inlineStr">
        <is>
          <t>LME_035</t>
        </is>
      </c>
      <c r="B288" s="11" t="inlineStr">
        <is>
          <t>35_412_Gulf_of_Thailande_(1963)</t>
        </is>
      </c>
      <c r="C288" s="11" t="inlineStr">
        <is>
          <t>Lutjanus argentimaculatus</t>
        </is>
      </c>
      <c r="D288" s="10" t="inlineStr">
        <is>
          <t>Mangrove red snapper</t>
        </is>
      </c>
      <c r="E288" s="10" t="inlineStr">
        <is>
          <t>Large reef assoc. fish (&gt;=90 cm)</t>
        </is>
      </c>
      <c r="F288" s="10" t="inlineStr">
        <is>
          <t>Perch-likes</t>
        </is>
      </c>
      <c r="G288" s="11" t="inlineStr">
        <is>
          <t>Juv. groupers</t>
        </is>
      </c>
      <c r="H288" s="12" t="n">
        <v>0</v>
      </c>
      <c r="I288" s="10" t="inlineStr">
        <is>
          <t>model_catch</t>
        </is>
      </c>
      <c r="J288" s="13" t="inlineStr">
        <is>
          <t>medium</t>
        </is>
      </c>
      <c r="K288" s="10" t="inlineStr">
        <is>
          <t>composite_split</t>
        </is>
      </c>
      <c r="L288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88" s="10" t="n">
        <v>2.71</v>
      </c>
    </row>
    <row r="289" ht="51" customHeight="1">
      <c r="A289" s="10" t="inlineStr">
        <is>
          <t>LME_035</t>
        </is>
      </c>
      <c r="B289" s="11" t="inlineStr">
        <is>
          <t>35_412_Gulf_of_Thailande_(1963)</t>
        </is>
      </c>
      <c r="C289" s="11" t="inlineStr">
        <is>
          <t>Penaeus indicus</t>
        </is>
      </c>
      <c r="D289" s="10" t="inlineStr">
        <is>
          <t>Indian white prawn</t>
        </is>
      </c>
      <c r="E289" s="10" t="inlineStr">
        <is>
          <t>Shrimps</t>
        </is>
      </c>
      <c r="F289" s="10" t="inlineStr">
        <is>
          <t>Crustaceans</t>
        </is>
      </c>
      <c r="G289" s="11" t="inlineStr">
        <is>
          <t>Shrimps</t>
        </is>
      </c>
      <c r="H289" s="12" t="n">
        <v>1</v>
      </c>
      <c r="I289" s="10" t="inlineStr">
        <is>
          <t>single</t>
        </is>
      </c>
      <c r="J289" s="14" t="inlineStr">
        <is>
          <t>high</t>
        </is>
      </c>
      <c r="K289" s="10" t="inlineStr">
        <is>
          <t>taxonomic_containment</t>
        </is>
      </c>
      <c r="L289" s="11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289" s="10" t="n">
        <v>2.579</v>
      </c>
    </row>
    <row r="290" ht="51" customHeight="1">
      <c r="A290" s="10" t="inlineStr">
        <is>
          <t>LME_035</t>
        </is>
      </c>
      <c r="B290" s="11" t="inlineStr">
        <is>
          <t>35_412_Gulf_of_Thailande_(1963)</t>
        </is>
      </c>
      <c r="C290" s="11" t="inlineStr">
        <is>
          <t>Nemipterus hexodon</t>
        </is>
      </c>
      <c r="D290" s="10" t="inlineStr">
        <is>
          <t>Ornate threadfin bream</t>
        </is>
      </c>
      <c r="E290" s="10" t="inlineStr">
        <is>
          <t>Small demersals (&lt;30 cm)</t>
        </is>
      </c>
      <c r="F290" s="10" t="inlineStr">
        <is>
          <t>Perch-likes</t>
        </is>
      </c>
      <c r="G290" s="11" t="inlineStr">
        <is>
          <t>Sm.dem.benth.</t>
        </is>
      </c>
      <c r="H290" s="12" t="n">
        <v>1</v>
      </c>
      <c r="I290" s="10" t="inlineStr">
        <is>
          <t>single</t>
        </is>
      </c>
      <c r="J290" s="14" t="inlineStr">
        <is>
          <t>high</t>
        </is>
      </c>
      <c r="K290" s="10" t="inlineStr">
        <is>
          <t>taxonomic_containment</t>
        </is>
      </c>
      <c r="L29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0" s="10" t="n">
        <v>1.705</v>
      </c>
    </row>
    <row r="291" ht="36" customHeight="1">
      <c r="A291" s="10" t="inlineStr">
        <is>
          <t>LME_035</t>
        </is>
      </c>
      <c r="B291" s="11" t="inlineStr">
        <is>
          <t>35_412_Gulf_of_Thailande_(1963)</t>
        </is>
      </c>
      <c r="C291" s="11" t="inlineStr">
        <is>
          <t>Cephalopholis boenak</t>
        </is>
      </c>
      <c r="D291" s="10" t="inlineStr">
        <is>
          <t>Chocolate hind</t>
        </is>
      </c>
      <c r="E291" s="10" t="inlineStr">
        <is>
          <t>Small reef assoc. fish (&lt;30 cm)</t>
        </is>
      </c>
      <c r="F291" s="10" t="inlineStr">
        <is>
          <t>Perch-likes</t>
        </is>
      </c>
      <c r="G291" s="11" t="inlineStr">
        <is>
          <t>Grouper/snapper</t>
        </is>
      </c>
      <c r="H291" s="12" t="n">
        <v>1</v>
      </c>
      <c r="I291" s="10" t="inlineStr">
        <is>
          <t>model_catch</t>
        </is>
      </c>
      <c r="J291" s="13" t="inlineStr">
        <is>
          <t>medium</t>
        </is>
      </c>
      <c r="K291" s="10" t="inlineStr">
        <is>
          <t>composite_split</t>
        </is>
      </c>
      <c r="L291" s="11" t="inlineStr">
        <is>
          <t>Groupers have juvenile and adult compartments; catch lacks life-stage detail. Use reported model catch, which assigns no catch to juveniles.</t>
        </is>
      </c>
      <c r="M291" s="10" t="n">
        <v>0.986</v>
      </c>
    </row>
    <row r="292" ht="36" customHeight="1">
      <c r="A292" s="10" t="inlineStr">
        <is>
          <t>LME_035</t>
        </is>
      </c>
      <c r="B292" s="11" t="inlineStr">
        <is>
          <t>35_412_Gulf_of_Thailande_(1963)</t>
        </is>
      </c>
      <c r="C292" s="11" t="inlineStr">
        <is>
          <t>Cephalopholis boenak</t>
        </is>
      </c>
      <c r="D292" s="10" t="inlineStr">
        <is>
          <t>Chocolate hind</t>
        </is>
      </c>
      <c r="E292" s="10" t="inlineStr">
        <is>
          <t>Small reef assoc. fish (&lt;30 cm)</t>
        </is>
      </c>
      <c r="F292" s="10" t="inlineStr">
        <is>
          <t>Perch-likes</t>
        </is>
      </c>
      <c r="G292" s="11" t="inlineStr">
        <is>
          <t>Juv. groupers</t>
        </is>
      </c>
      <c r="H292" s="12" t="n">
        <v>0</v>
      </c>
      <c r="I292" s="10" t="inlineStr">
        <is>
          <t>model_catch</t>
        </is>
      </c>
      <c r="J292" s="13" t="inlineStr">
        <is>
          <t>medium</t>
        </is>
      </c>
      <c r="K292" s="10" t="inlineStr">
        <is>
          <t>composite_split</t>
        </is>
      </c>
      <c r="L292" s="11" t="inlineStr">
        <is>
          <t>Groupers have juvenile and adult compartments; catch lacks life-stage detail. Use reported model catch, which assigns no catch to juveniles.</t>
        </is>
      </c>
      <c r="M292" s="10" t="n">
        <v>0.986</v>
      </c>
    </row>
    <row r="293" ht="51" customHeight="1">
      <c r="A293" s="10" t="inlineStr">
        <is>
          <t>LME_035</t>
        </is>
      </c>
      <c r="B293" s="11" t="inlineStr">
        <is>
          <t>35_412_Gulf_of_Thailande_(1963)</t>
        </is>
      </c>
      <c r="C293" s="11" t="inlineStr">
        <is>
          <t>Dussumieria acuta</t>
        </is>
      </c>
      <c r="D293" s="10" t="inlineStr">
        <is>
          <t>Rainbow sardine</t>
        </is>
      </c>
      <c r="E293" s="10" t="inlineStr">
        <is>
          <t>Small pelagics (&lt;30 cm)</t>
        </is>
      </c>
      <c r="F293" s="10" t="inlineStr">
        <is>
          <t>Herring-likes</t>
        </is>
      </c>
      <c r="G293" s="11" t="inlineStr">
        <is>
          <t>Sm. pelagics</t>
        </is>
      </c>
      <c r="H293" s="12" t="n">
        <v>1</v>
      </c>
      <c r="I293" s="10" t="inlineStr">
        <is>
          <t>single</t>
        </is>
      </c>
      <c r="J293" s="13" t="inlineStr">
        <is>
          <t>medium</t>
        </is>
      </c>
      <c r="K293" s="10" t="inlineStr">
        <is>
          <t>habitat_size_guild</t>
        </is>
      </c>
      <c r="L293" s="11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93" s="10" t="n">
        <v>0.8100000000000001</v>
      </c>
    </row>
    <row r="294" ht="36" customHeight="1">
      <c r="A294" s="10" t="inlineStr">
        <is>
          <t>LME_035</t>
        </is>
      </c>
      <c r="B294" s="11" t="inlineStr">
        <is>
          <t>35_412_Gulf_of_Thailande_(1963)</t>
        </is>
      </c>
      <c r="C294" s="11" t="inlineStr">
        <is>
          <t>Sphyrna lewini</t>
        </is>
      </c>
      <c r="D294" s="10" t="inlineStr">
        <is>
          <t>Scalloped hammerhead</t>
        </is>
      </c>
      <c r="E294" s="10" t="inlineStr">
        <is>
          <t>Large sharks (&gt;=90 cm)</t>
        </is>
      </c>
      <c r="F294" s="10" t="inlineStr">
        <is>
          <t>Sharks &amp; rays</t>
        </is>
      </c>
      <c r="G294" s="11" t="inlineStr">
        <is>
          <t>Sharks</t>
        </is>
      </c>
      <c r="H294" s="12" t="n">
        <v>1</v>
      </c>
      <c r="I294" s="10" t="inlineStr">
        <is>
          <t>model_catch</t>
        </is>
      </c>
      <c r="J294" s="13" t="inlineStr">
        <is>
          <t>medium</t>
        </is>
      </c>
      <c r="K294" s="10" t="inlineStr">
        <is>
          <t>composite_split</t>
        </is>
      </c>
      <c r="L294" s="11" t="inlineStr">
        <is>
          <t>The Ecobase model splits sharks by life stage; catch has no stage split. Model catch is recorded only on Sharks.</t>
        </is>
      </c>
      <c r="M294" s="10" t="n">
        <v>0.658</v>
      </c>
    </row>
    <row r="295" ht="36" customHeight="1">
      <c r="A295" s="10" t="inlineStr">
        <is>
          <t>LME_035</t>
        </is>
      </c>
      <c r="B295" s="11" t="inlineStr">
        <is>
          <t>35_412_Gulf_of_Thailande_(1963)</t>
        </is>
      </c>
      <c r="C295" s="11" t="inlineStr">
        <is>
          <t>Sphyrna lewini</t>
        </is>
      </c>
      <c r="D295" s="10" t="inlineStr">
        <is>
          <t>Scalloped hammerhead</t>
        </is>
      </c>
      <c r="E295" s="10" t="inlineStr">
        <is>
          <t>Large sharks (&gt;=90 cm)</t>
        </is>
      </c>
      <c r="F295" s="10" t="inlineStr">
        <is>
          <t>Sharks &amp; rays</t>
        </is>
      </c>
      <c r="G295" s="11" t="inlineStr">
        <is>
          <t>Juv. sharks</t>
        </is>
      </c>
      <c r="H295" s="12" t="n">
        <v>0</v>
      </c>
      <c r="I295" s="10" t="inlineStr">
        <is>
          <t>model_catch</t>
        </is>
      </c>
      <c r="J295" s="13" t="inlineStr">
        <is>
          <t>medium</t>
        </is>
      </c>
      <c r="K295" s="10" t="inlineStr">
        <is>
          <t>composite_split</t>
        </is>
      </c>
      <c r="L295" s="11" t="inlineStr">
        <is>
          <t>The Ecobase model splits sharks by life stage; catch has no stage split. Model catch is recorded only on Sharks.</t>
        </is>
      </c>
      <c r="M295" s="10" t="n">
        <v>0.658</v>
      </c>
    </row>
    <row r="296" ht="51" customHeight="1">
      <c r="A296" s="10" t="inlineStr">
        <is>
          <t>LME_035</t>
        </is>
      </c>
      <c r="B296" s="11" t="inlineStr">
        <is>
          <t>35_412_Gulf_of_Thailande_(1963)</t>
        </is>
      </c>
      <c r="C296" s="11" t="inlineStr">
        <is>
          <t>Trichiuridae</t>
        </is>
      </c>
      <c r="D296" s="10" t="inlineStr">
        <is>
          <t>Cutlassfishes</t>
        </is>
      </c>
      <c r="E296" s="10" t="inlineStr">
        <is>
          <t>Large benthopelagics (&gt;=90 cm)</t>
        </is>
      </c>
      <c r="F296" s="10" t="inlineStr">
        <is>
          <t>Perch-likes</t>
        </is>
      </c>
      <c r="G296" s="11" t="inlineStr">
        <is>
          <t>Juv.Lg.Pisciv.</t>
        </is>
      </c>
      <c r="H296" s="12" t="n">
        <v>0</v>
      </c>
      <c r="I296" s="10" t="inlineStr">
        <is>
          <t>model_catch</t>
        </is>
      </c>
      <c r="J296" s="13" t="inlineStr">
        <is>
          <t>medium</t>
        </is>
      </c>
      <c r="K296" s="10" t="inlineStr">
        <is>
          <t>composite_split</t>
        </is>
      </c>
      <c r="L296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6" s="10" t="n">
        <v>0.447</v>
      </c>
    </row>
    <row r="297" ht="51" customHeight="1">
      <c r="A297" s="10" t="inlineStr">
        <is>
          <t>LME_035</t>
        </is>
      </c>
      <c r="B297" s="11" t="inlineStr">
        <is>
          <t>35_412_Gulf_of_Thailande_(1963)</t>
        </is>
      </c>
      <c r="C297" s="11" t="inlineStr">
        <is>
          <t>Trichiuridae</t>
        </is>
      </c>
      <c r="D297" s="10" t="inlineStr">
        <is>
          <t>Cutlassfishes</t>
        </is>
      </c>
      <c r="E297" s="10" t="inlineStr">
        <is>
          <t>Large benthopelagics (&gt;=90 cm)</t>
        </is>
      </c>
      <c r="F297" s="10" t="inlineStr">
        <is>
          <t>Perch-likes</t>
        </is>
      </c>
      <c r="G297" s="11" t="inlineStr">
        <is>
          <t>Lg. piscivores</t>
        </is>
      </c>
      <c r="H297" s="12" t="n">
        <v>1</v>
      </c>
      <c r="I297" s="10" t="inlineStr">
        <is>
          <t>model_catch</t>
        </is>
      </c>
      <c r="J297" s="13" t="inlineStr">
        <is>
          <t>medium</t>
        </is>
      </c>
      <c r="K297" s="10" t="inlineStr">
        <is>
          <t>composite_split</t>
        </is>
      </c>
      <c r="L29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7" s="10" t="n">
        <v>0.447</v>
      </c>
    </row>
    <row r="298" ht="51" customHeight="1">
      <c r="A298" s="10" t="inlineStr">
        <is>
          <t>LME_035</t>
        </is>
      </c>
      <c r="B298" s="11" t="inlineStr">
        <is>
          <t>35_412_Gulf_of_Thailande_(1963)</t>
        </is>
      </c>
      <c r="C298" s="11" t="inlineStr">
        <is>
          <t>Auxis rochei</t>
        </is>
      </c>
      <c r="D298" s="10" t="inlineStr">
        <is>
          <t>Bullet tuna</t>
        </is>
      </c>
      <c r="E298" s="10" t="inlineStr">
        <is>
          <t>Medium pelagics (30 - 89 cm)</t>
        </is>
      </c>
      <c r="F298" s="10" t="inlineStr">
        <is>
          <t>Tuna &amp; billfishes</t>
        </is>
      </c>
      <c r="G298" s="11" t="inlineStr">
        <is>
          <t>Tuna</t>
        </is>
      </c>
      <c r="H298" s="12" t="n">
        <v>1</v>
      </c>
      <c r="I298" s="10" t="inlineStr">
        <is>
          <t>single</t>
        </is>
      </c>
      <c r="J298" s="13" t="inlineStr">
        <is>
          <t>medium</t>
        </is>
      </c>
      <c r="K298" s="10" t="inlineStr">
        <is>
          <t>habitat_size_guild</t>
        </is>
      </c>
      <c r="L298" s="11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298" s="10" t="n">
        <v>0.317</v>
      </c>
    </row>
    <row r="299" ht="51" customHeight="1">
      <c r="A299" s="10" t="inlineStr">
        <is>
          <t>LME_035</t>
        </is>
      </c>
      <c r="B299" s="11" t="inlineStr">
        <is>
          <t>35_412_Gulf_of_Thailande_(1963)</t>
        </is>
      </c>
      <c r="C299" s="11" t="inlineStr">
        <is>
          <t>Hemiramphus</t>
        </is>
      </c>
      <c r="D299" s="10" t="inlineStr">
        <is>
          <t>Halfbeaks</t>
        </is>
      </c>
      <c r="E299" s="10" t="inlineStr">
        <is>
          <t>Medium pelagics (30 - 89 cm)</t>
        </is>
      </c>
      <c r="F299" s="10" t="inlineStr">
        <is>
          <t>Other fishes &amp; inverts</t>
        </is>
      </c>
      <c r="G299" s="11" t="inlineStr">
        <is>
          <t>Sm. pelagics</t>
        </is>
      </c>
      <c r="H299" s="12" t="n">
        <v>1</v>
      </c>
      <c r="I299" s="10" t="inlineStr">
        <is>
          <t>single</t>
        </is>
      </c>
      <c r="J299" s="13" t="inlineStr">
        <is>
          <t>medium</t>
        </is>
      </c>
      <c r="K299" s="10" t="inlineStr">
        <is>
          <t>habitat_size_guild</t>
        </is>
      </c>
      <c r="L299" s="11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  <c r="M299" s="10" t="n">
        <v>0.257</v>
      </c>
    </row>
    <row r="300" ht="36" customHeight="1">
      <c r="A300" s="10" t="inlineStr">
        <is>
          <t>LME_035</t>
        </is>
      </c>
      <c r="B300" s="11" t="inlineStr">
        <is>
          <t>35_412_Gulf_of_Thailande_(1963)</t>
        </is>
      </c>
      <c r="C300" s="11" t="inlineStr">
        <is>
          <t>Tetrapturus angustirostris</t>
        </is>
      </c>
      <c r="D300" s="10" t="inlineStr">
        <is>
          <t>Shortbill spearfish</t>
        </is>
      </c>
      <c r="E300" s="10" t="inlineStr">
        <is>
          <t>Large pelagics (&gt;=90 cm)</t>
        </is>
      </c>
      <c r="F300" s="10" t="inlineStr">
        <is>
          <t>Tuna &amp; billfishes</t>
        </is>
      </c>
      <c r="G300" s="11" t="inlineStr">
        <is>
          <t>Unresolved</t>
        </is>
      </c>
      <c r="H300" s="12" t="n"/>
      <c r="I300" s="10" t="inlineStr"/>
      <c r="J300" s="16" t="inlineStr">
        <is>
          <t>unresolved</t>
        </is>
      </c>
      <c r="K300" s="10" t="inlineStr">
        <is>
          <t>none</t>
        </is>
      </c>
      <c r="L300" s="11" t="inlineStr">
        <is>
          <t>Shortbill spearfish (Istiophoridae), an oceanic species with no counterpart compartment in this shallow-shelf 1963 model.</t>
        </is>
      </c>
      <c r="M300" s="10" t="n">
        <v>0.143</v>
      </c>
    </row>
    <row r="301" ht="36" customHeight="1">
      <c r="A301" s="10" t="inlineStr">
        <is>
          <t>LME_035</t>
        </is>
      </c>
      <c r="B301" s="11" t="inlineStr">
        <is>
          <t>35_412_Gulf_of_Thailande_(1963)</t>
        </is>
      </c>
      <c r="C301" s="11" t="inlineStr">
        <is>
          <t>Kajikia audax</t>
        </is>
      </c>
      <c r="D301" s="10" t="inlineStr">
        <is>
          <t>Striped marlin</t>
        </is>
      </c>
      <c r="E301" s="10" t="inlineStr">
        <is>
          <t>Large pelagics (&gt;=90 cm)</t>
        </is>
      </c>
      <c r="F301" s="10" t="inlineStr">
        <is>
          <t>Tuna &amp; billfishes</t>
        </is>
      </c>
      <c r="G301" s="11" t="inlineStr">
        <is>
          <t>Unresolved</t>
        </is>
      </c>
      <c r="H301" s="12" t="n"/>
      <c r="I301" s="10" t="inlineStr"/>
      <c r="J301" s="16" t="inlineStr">
        <is>
          <t>unresolved</t>
        </is>
      </c>
      <c r="K301" s="10" t="inlineStr">
        <is>
          <t>none</t>
        </is>
      </c>
      <c r="L301" s="11" t="inlineStr">
        <is>
          <t>Striped marlin (Istiophoridae), an oceanic species with no counterpart compartment in this shallow-shelf 1963 model.</t>
        </is>
      </c>
      <c r="M301" s="10" t="n">
        <v>0.052</v>
      </c>
    </row>
    <row r="302" ht="36" customHeight="1">
      <c r="A302" s="10" t="inlineStr">
        <is>
          <t>LME_035</t>
        </is>
      </c>
      <c r="B302" s="11" t="inlineStr">
        <is>
          <t>35_412_Gulf_of_Thailande_(1963)</t>
        </is>
      </c>
      <c r="C302" s="11" t="inlineStr">
        <is>
          <t>Prionace glauca</t>
        </is>
      </c>
      <c r="D302" s="10" t="inlineStr">
        <is>
          <t>Blue shark</t>
        </is>
      </c>
      <c r="E302" s="10" t="inlineStr">
        <is>
          <t>Large sharks (&gt;=90 cm)</t>
        </is>
      </c>
      <c r="F302" s="10" t="inlineStr">
        <is>
          <t>Sharks &amp; rays</t>
        </is>
      </c>
      <c r="G302" s="11" t="inlineStr">
        <is>
          <t>Sharks</t>
        </is>
      </c>
      <c r="H302" s="12" t="n">
        <v>1</v>
      </c>
      <c r="I302" s="10" t="inlineStr">
        <is>
          <t>model_catch</t>
        </is>
      </c>
      <c r="J302" s="13" t="inlineStr">
        <is>
          <t>medium</t>
        </is>
      </c>
      <c r="K302" s="10" t="inlineStr">
        <is>
          <t>composite_split</t>
        </is>
      </c>
      <c r="L302" s="11" t="inlineStr">
        <is>
          <t>The Ecobase model splits sharks by life stage; catch has no stage split. Model catch is recorded only on Sharks.</t>
        </is>
      </c>
      <c r="M302" s="10" t="n">
        <v>0.022</v>
      </c>
    </row>
    <row r="303" ht="36" customHeight="1">
      <c r="A303" s="10" t="inlineStr">
        <is>
          <t>LME_035</t>
        </is>
      </c>
      <c r="B303" s="11" t="inlineStr">
        <is>
          <t>35_412_Gulf_of_Thailande_(1963)</t>
        </is>
      </c>
      <c r="C303" s="11" t="inlineStr">
        <is>
          <t>Prionace glauca</t>
        </is>
      </c>
      <c r="D303" s="10" t="inlineStr">
        <is>
          <t>Blue shark</t>
        </is>
      </c>
      <c r="E303" s="10" t="inlineStr">
        <is>
          <t>Large sharks (&gt;=90 cm)</t>
        </is>
      </c>
      <c r="F303" s="10" t="inlineStr">
        <is>
          <t>Sharks &amp; rays</t>
        </is>
      </c>
      <c r="G303" s="11" t="inlineStr">
        <is>
          <t>Juv. sharks</t>
        </is>
      </c>
      <c r="H303" s="12" t="n">
        <v>0</v>
      </c>
      <c r="I303" s="10" t="inlineStr">
        <is>
          <t>model_catch</t>
        </is>
      </c>
      <c r="J303" s="13" t="inlineStr">
        <is>
          <t>medium</t>
        </is>
      </c>
      <c r="K303" s="10" t="inlineStr">
        <is>
          <t>composite_split</t>
        </is>
      </c>
      <c r="L303" s="11" t="inlineStr">
        <is>
          <t>The Ecobase model splits sharks by life stage; catch has no stage split. Model catch is recorded only on Sharks.</t>
        </is>
      </c>
      <c r="M303" s="10" t="n">
        <v>0.022</v>
      </c>
    </row>
    <row r="304" ht="51" customHeight="1">
      <c r="A304" s="10" t="inlineStr">
        <is>
          <t>LME_035</t>
        </is>
      </c>
      <c r="B304" s="11" t="inlineStr">
        <is>
          <t>35_412_Gulf_of_Thailande_(1963)</t>
        </is>
      </c>
      <c r="C304" s="11" t="inlineStr">
        <is>
          <t>Dasyatidae</t>
        </is>
      </c>
      <c r="D304" s="10" t="inlineStr">
        <is>
          <t>Whiptail stingrays</t>
        </is>
      </c>
      <c r="E304" s="10" t="inlineStr">
        <is>
          <t>Large rays (&gt;=90 cm)</t>
        </is>
      </c>
      <c r="F304" s="10" t="inlineStr">
        <is>
          <t>Sharks &amp; rays</t>
        </is>
      </c>
      <c r="G304" s="11" t="inlineStr">
        <is>
          <t>Rays</t>
        </is>
      </c>
      <c r="H304" s="12" t="n">
        <v>1</v>
      </c>
      <c r="I304" s="10" t="inlineStr">
        <is>
          <t>single</t>
        </is>
      </c>
      <c r="J304" s="14" t="inlineStr">
        <is>
          <t>high</t>
        </is>
      </c>
      <c r="K304" s="10" t="inlineStr">
        <is>
          <t>taxonomic_containment</t>
        </is>
      </c>
      <c r="L304" s="11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  <c r="M304" s="10" t="n">
        <v>0.021</v>
      </c>
    </row>
    <row r="305" ht="51" customHeight="1">
      <c r="A305" s="10" t="inlineStr">
        <is>
          <t>LME_035</t>
        </is>
      </c>
      <c r="B305" s="11" t="inlineStr">
        <is>
          <t>35_412_Gulf_of_Thailande_(1963)</t>
        </is>
      </c>
      <c r="C305" s="11" t="inlineStr">
        <is>
          <t>Cypselurus poecilopterus</t>
        </is>
      </c>
      <c r="D305" s="10" t="inlineStr">
        <is>
          <t>Yellowing flyingfish</t>
        </is>
      </c>
      <c r="E305" s="10" t="inlineStr">
        <is>
          <t>Small pelagics (&lt;30 cm)</t>
        </is>
      </c>
      <c r="F305" s="10" t="inlineStr">
        <is>
          <t>Other fishes &amp; inverts</t>
        </is>
      </c>
      <c r="G305" s="11" t="inlineStr">
        <is>
          <t>Sm. pelagics</t>
        </is>
      </c>
      <c r="H305" s="12" t="n">
        <v>1</v>
      </c>
      <c r="I305" s="10" t="inlineStr">
        <is>
          <t>single</t>
        </is>
      </c>
      <c r="J305" s="13" t="inlineStr">
        <is>
          <t>medium</t>
        </is>
      </c>
      <c r="K305" s="10" t="inlineStr">
        <is>
          <t>habitat_size_guild</t>
        </is>
      </c>
      <c r="L305" s="11" t="inlineStr">
        <is>
          <t>Flyingfish: a small epipelagic surface-schooling fish, ecologically the closest match to Sm. pelagics though not a clupeiform. Reviewed against the Ecobase group name and diet; the original paper p.130 lists important components but does not settle this taxon.</t>
        </is>
      </c>
      <c r="M305" s="10" t="n">
        <v>0.011</v>
      </c>
    </row>
    <row r="306" ht="36" customHeight="1">
      <c r="A306" s="10" t="inlineStr">
        <is>
          <t>LME_035</t>
        </is>
      </c>
      <c r="B306" s="11" t="inlineStr">
        <is>
          <t>35_412_Gulf_of_Thailande_(1963)</t>
        </is>
      </c>
      <c r="C306" s="11" t="inlineStr">
        <is>
          <t>Carcharhinus longimanus</t>
        </is>
      </c>
      <c r="D306" s="10" t="inlineStr">
        <is>
          <t>Oceanic whitetip shark</t>
        </is>
      </c>
      <c r="E306" s="10" t="inlineStr">
        <is>
          <t>Large sharks (&gt;=90 cm)</t>
        </is>
      </c>
      <c r="F306" s="10" t="inlineStr">
        <is>
          <t>Sharks &amp; rays</t>
        </is>
      </c>
      <c r="G306" s="11" t="inlineStr">
        <is>
          <t>Sharks</t>
        </is>
      </c>
      <c r="H306" s="12" t="n">
        <v>1</v>
      </c>
      <c r="I306" s="10" t="inlineStr">
        <is>
          <t>model_catch</t>
        </is>
      </c>
      <c r="J306" s="13" t="inlineStr">
        <is>
          <t>medium</t>
        </is>
      </c>
      <c r="K306" s="10" t="inlineStr">
        <is>
          <t>composite_split</t>
        </is>
      </c>
      <c r="L306" s="11" t="inlineStr">
        <is>
          <t>The Ecobase model splits sharks by life stage; catch has no stage split. Model catch is recorded only on Sharks.</t>
        </is>
      </c>
      <c r="M306" s="10" t="n">
        <v>0.002</v>
      </c>
    </row>
    <row r="307" ht="36" customHeight="1">
      <c r="A307" s="10" t="inlineStr">
        <is>
          <t>LME_035</t>
        </is>
      </c>
      <c r="B307" s="11" t="inlineStr">
        <is>
          <t>35_412_Gulf_of_Thailande_(1963)</t>
        </is>
      </c>
      <c r="C307" s="11" t="inlineStr">
        <is>
          <t>Carcharhinus longimanus</t>
        </is>
      </c>
      <c r="D307" s="10" t="inlineStr">
        <is>
          <t>Oceanic whitetip shark</t>
        </is>
      </c>
      <c r="E307" s="10" t="inlineStr">
        <is>
          <t>Large sharks (&gt;=90 cm)</t>
        </is>
      </c>
      <c r="F307" s="10" t="inlineStr">
        <is>
          <t>Sharks &amp; rays</t>
        </is>
      </c>
      <c r="G307" s="11" t="inlineStr">
        <is>
          <t>Juv. sharks</t>
        </is>
      </c>
      <c r="H307" s="12" t="n">
        <v>0</v>
      </c>
      <c r="I307" s="10" t="inlineStr">
        <is>
          <t>model_catch</t>
        </is>
      </c>
      <c r="J307" s="13" t="inlineStr">
        <is>
          <t>medium</t>
        </is>
      </c>
      <c r="K307" s="10" t="inlineStr">
        <is>
          <t>composite_split</t>
        </is>
      </c>
      <c r="L307" s="11" t="inlineStr">
        <is>
          <t>The Ecobase model splits sharks by life stage; catch has no stage split. Model catch is recorded only on Sharks.</t>
        </is>
      </c>
      <c r="M307" s="10" t="n">
        <v>0.002</v>
      </c>
    </row>
    <row r="308" ht="51" customHeight="1">
      <c r="A308" s="10" t="inlineStr">
        <is>
          <t>LME_035</t>
        </is>
      </c>
      <c r="B308" s="11" t="inlineStr">
        <is>
          <t>35_412_Gulf_of_Thailande_(1963)</t>
        </is>
      </c>
      <c r="C308" s="11" t="inlineStr">
        <is>
          <t>Latidae</t>
        </is>
      </c>
      <c r="D308" s="10" t="inlineStr">
        <is>
          <t>Lates perches</t>
        </is>
      </c>
      <c r="E308" s="10" t="inlineStr">
        <is>
          <t>Large demersals (&gt;=90 cm)</t>
        </is>
      </c>
      <c r="F308" s="10" t="inlineStr">
        <is>
          <t>Perch-likes</t>
        </is>
      </c>
      <c r="G308" s="11" t="inlineStr">
        <is>
          <t>Lg. piscivores</t>
        </is>
      </c>
      <c r="H308" s="12" t="n">
        <v>1</v>
      </c>
      <c r="I308" s="10" t="inlineStr">
        <is>
          <t>model_catch</t>
        </is>
      </c>
      <c r="J308" s="13" t="inlineStr">
        <is>
          <t>medium</t>
        </is>
      </c>
      <c r="K308" s="10" t="inlineStr">
        <is>
          <t>composite_split</t>
        </is>
      </c>
      <c r="L308" s="11" t="inlineStr">
        <is>
          <t>Lates-perch family; same apex-piscivore identity as Lates calcarifer. Reviewed against the Ecobase group name and diet; the original paper p.130 lists important components but does not settle this taxon. Catch has no age split; model catch assigns no catch to the juvenile pool.</t>
        </is>
      </c>
      <c r="M308" s="10" t="n">
        <v>0.001</v>
      </c>
    </row>
    <row r="309" ht="51" customHeight="1">
      <c r="A309" s="10" t="inlineStr">
        <is>
          <t>LME_035</t>
        </is>
      </c>
      <c r="B309" s="11" t="inlineStr">
        <is>
          <t>35_412_Gulf_of_Thailande_(1963)</t>
        </is>
      </c>
      <c r="C309" s="11" t="inlineStr">
        <is>
          <t>Latidae</t>
        </is>
      </c>
      <c r="D309" s="10" t="inlineStr">
        <is>
          <t>Lates perches</t>
        </is>
      </c>
      <c r="E309" s="10" t="inlineStr">
        <is>
          <t>Large demersals (&gt;=90 cm)</t>
        </is>
      </c>
      <c r="F309" s="10" t="inlineStr">
        <is>
          <t>Perch-likes</t>
        </is>
      </c>
      <c r="G309" s="11" t="inlineStr">
        <is>
          <t>Juv.Lg.Pisciv.</t>
        </is>
      </c>
      <c r="H309" s="12" t="n">
        <v>0</v>
      </c>
      <c r="I309" s="10" t="inlineStr">
        <is>
          <t>model_catch</t>
        </is>
      </c>
      <c r="J309" s="13" t="inlineStr">
        <is>
          <t>medium</t>
        </is>
      </c>
      <c r="K309" s="10" t="inlineStr">
        <is>
          <t>composite_split</t>
        </is>
      </c>
      <c r="L309" s="11" t="inlineStr">
        <is>
          <t>Lates-perch family; same apex-piscivore identity as Lates calcarifer. Reviewed against the Ecobase group name and diet; the original paper p.130 lists important components but does not settle this taxon. Catch has no age split; model catch assigns no catch to the juvenile pool.</t>
        </is>
      </c>
      <c r="M309" s="10" t="n">
        <v>0.001</v>
      </c>
    </row>
    <row r="310" ht="51" customHeight="1">
      <c r="A310" s="10" t="inlineStr">
        <is>
          <t>LME_035</t>
        </is>
      </c>
      <c r="B310" s="11" t="inlineStr">
        <is>
          <t>35_412_Gulf_of_Thailande_(1963)</t>
        </is>
      </c>
      <c r="C310" s="11" t="inlineStr">
        <is>
          <t>Pleuronectiformes</t>
        </is>
      </c>
      <c r="D310" s="10" t="inlineStr">
        <is>
          <t>Flatfishes</t>
        </is>
      </c>
      <c r="E310" s="10" t="inlineStr">
        <is>
          <t>Small to medium flatfishes (&lt;90 cm)</t>
        </is>
      </c>
      <c r="F310" s="10" t="inlineStr">
        <is>
          <t>Flatfishes</t>
        </is>
      </c>
      <c r="G310" s="11" t="inlineStr">
        <is>
          <t>Flatfish</t>
        </is>
      </c>
      <c r="H310" s="12" t="n">
        <v>0.005078627785841218</v>
      </c>
      <c r="I310" s="10" t="inlineStr">
        <is>
          <t>catch_composition</t>
        </is>
      </c>
      <c r="J310" s="13" t="inlineStr">
        <is>
          <t>medium</t>
        </is>
      </c>
      <c r="K310" s="10" t="inlineStr">
        <is>
          <t>composite_split</t>
        </is>
      </c>
      <c r="L310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10" s="10" t="n">
        <v>0.001</v>
      </c>
    </row>
    <row r="311" ht="51" customHeight="1">
      <c r="A311" s="10" t="inlineStr">
        <is>
          <t>LME_035</t>
        </is>
      </c>
      <c r="B311" s="11" t="inlineStr">
        <is>
          <t>35_412_Gulf_of_Thailande_(1963)</t>
        </is>
      </c>
      <c r="C311" s="11" t="inlineStr">
        <is>
          <t>Pleuronectiformes</t>
        </is>
      </c>
      <c r="D311" s="10" t="inlineStr">
        <is>
          <t>Flatfishes</t>
        </is>
      </c>
      <c r="E311" s="10" t="inlineStr">
        <is>
          <t>Small to medium flatfishes (&lt;90 cm)</t>
        </is>
      </c>
      <c r="F311" s="10" t="inlineStr">
        <is>
          <t>Flatfishes</t>
        </is>
      </c>
      <c r="G311" s="11" t="inlineStr">
        <is>
          <t>Med.dem.pisc.</t>
        </is>
      </c>
      <c r="H311" s="12" t="n">
        <v>0.9949213722141588</v>
      </c>
      <c r="I311" s="10" t="inlineStr">
        <is>
          <t>catch_composition</t>
        </is>
      </c>
      <c r="J311" s="13" t="inlineStr">
        <is>
          <t>medium</t>
        </is>
      </c>
      <c r="K311" s="10" t="inlineStr">
        <is>
          <t>composite_split</t>
        </is>
      </c>
      <c r="L311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11" s="10" t="n">
        <v>0.001</v>
      </c>
    </row>
    <row r="312" ht="51" customHeight="1">
      <c r="A312" s="10" t="inlineStr">
        <is>
          <t>LME_035</t>
        </is>
      </c>
      <c r="B312" s="11" t="inlineStr">
        <is>
          <t>35_412_Gulf_of_Thailande_(1963)</t>
        </is>
      </c>
      <c r="C312" s="11" t="inlineStr">
        <is>
          <t>Octopoda</t>
        </is>
      </c>
      <c r="D312" s="10" t="inlineStr">
        <is>
          <t>Octopuses, argonauts</t>
        </is>
      </c>
      <c r="E312" s="10" t="inlineStr">
        <is>
          <t>Cephalopods</t>
        </is>
      </c>
      <c r="F312" s="10" t="inlineStr">
        <is>
          <t>Other fishes &amp; inverts</t>
        </is>
      </c>
      <c r="G312" s="11" t="inlineStr">
        <is>
          <t>Cephalopods</t>
        </is>
      </c>
      <c r="H312" s="12" t="n">
        <v>1</v>
      </c>
      <c r="I312" s="10" t="inlineStr">
        <is>
          <t>single</t>
        </is>
      </c>
      <c r="J312" s="14" t="inlineStr">
        <is>
          <t>high</t>
        </is>
      </c>
      <c r="K312" s="10" t="inlineStr">
        <is>
          <t>taxonomic_containment</t>
        </is>
      </c>
      <c r="L312" s="11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312" s="10" t="n">
        <v>0.001</v>
      </c>
    </row>
    <row r="313" ht="36" customHeight="1">
      <c r="A313" s="10" t="inlineStr">
        <is>
          <t>LME_035</t>
        </is>
      </c>
      <c r="B313" s="11" t="inlineStr">
        <is>
          <t>35_412_Gulf_of_Thailande_(1963)</t>
        </is>
      </c>
      <c r="C313" s="11" t="inlineStr">
        <is>
          <t>Isurus oxyrinchus</t>
        </is>
      </c>
      <c r="D313" s="10" t="inlineStr">
        <is>
          <t>Shortfin mako</t>
        </is>
      </c>
      <c r="E313" s="10" t="inlineStr">
        <is>
          <t>Large sharks (&gt;=90 cm)</t>
        </is>
      </c>
      <c r="F313" s="10" t="inlineStr">
        <is>
          <t>Sharks &amp; rays</t>
        </is>
      </c>
      <c r="G313" s="11" t="inlineStr">
        <is>
          <t>Sharks</t>
        </is>
      </c>
      <c r="H313" s="12" t="n">
        <v>1</v>
      </c>
      <c r="I313" s="10" t="inlineStr">
        <is>
          <t>model_catch</t>
        </is>
      </c>
      <c r="J313" s="13" t="inlineStr">
        <is>
          <t>medium</t>
        </is>
      </c>
      <c r="K313" s="10" t="inlineStr">
        <is>
          <t>composite_split</t>
        </is>
      </c>
      <c r="L313" s="11" t="inlineStr">
        <is>
          <t>The Ecobase model splits sharks by life stage; catch has no stage split. Model catch is recorded only on Sharks.</t>
        </is>
      </c>
      <c r="M313" s="10" t="n">
        <v>0.001</v>
      </c>
    </row>
    <row r="314" ht="36" customHeight="1">
      <c r="A314" s="10" t="inlineStr">
        <is>
          <t>LME_035</t>
        </is>
      </c>
      <c r="B314" s="11" t="inlineStr">
        <is>
          <t>35_412_Gulf_of_Thailande_(1963)</t>
        </is>
      </c>
      <c r="C314" s="11" t="inlineStr">
        <is>
          <t>Isurus oxyrinchus</t>
        </is>
      </c>
      <c r="D314" s="10" t="inlineStr">
        <is>
          <t>Shortfin mako</t>
        </is>
      </c>
      <c r="E314" s="10" t="inlineStr">
        <is>
          <t>Large sharks (&gt;=90 cm)</t>
        </is>
      </c>
      <c r="F314" s="10" t="inlineStr">
        <is>
          <t>Sharks &amp; rays</t>
        </is>
      </c>
      <c r="G314" s="11" t="inlineStr">
        <is>
          <t>Juv. sharks</t>
        </is>
      </c>
      <c r="H314" s="12" t="n">
        <v>0</v>
      </c>
      <c r="I314" s="10" t="inlineStr">
        <is>
          <t>model_catch</t>
        </is>
      </c>
      <c r="J314" s="13" t="inlineStr">
        <is>
          <t>medium</t>
        </is>
      </c>
      <c r="K314" s="10" t="inlineStr">
        <is>
          <t>composite_split</t>
        </is>
      </c>
      <c r="L314" s="11" t="inlineStr">
        <is>
          <t>The Ecobase model splits sharks by life stage; catch has no stage split. Model catch is recorded only on Sharks.</t>
        </is>
      </c>
      <c r="M314" s="10" t="n">
        <v>0.001</v>
      </c>
    </row>
    <row r="315" ht="51" customHeight="1">
      <c r="A315" s="10" t="inlineStr">
        <is>
          <t>LME_035</t>
        </is>
      </c>
      <c r="B315" s="11" t="inlineStr">
        <is>
          <t>35_412_Gulf_of_Thailande_(1963)</t>
        </is>
      </c>
      <c r="C315" s="11" t="inlineStr">
        <is>
          <t>Exocoetidae</t>
        </is>
      </c>
      <c r="D315" s="10" t="inlineStr">
        <is>
          <t>Flyingfishes</t>
        </is>
      </c>
      <c r="E315" s="10" t="inlineStr">
        <is>
          <t>Small pelagics (&lt;30 cm)</t>
        </is>
      </c>
      <c r="F315" s="10" t="inlineStr">
        <is>
          <t>Other fishes &amp; inverts</t>
        </is>
      </c>
      <c r="G315" s="11" t="inlineStr">
        <is>
          <t>Sm. pelagics</t>
        </is>
      </c>
      <c r="H315" s="12" t="n">
        <v>1</v>
      </c>
      <c r="I315" s="10" t="inlineStr">
        <is>
          <t>single</t>
        </is>
      </c>
      <c r="J315" s="13" t="inlineStr">
        <is>
          <t>medium</t>
        </is>
      </c>
      <c r="K315" s="10" t="inlineStr">
        <is>
          <t>habitat_size_guild</t>
        </is>
      </c>
      <c r="L315" s="11" t="inlineStr">
        <is>
          <t>Flyingfish: a small epipelagic surface-schooling fish, ecologically the closest match to Sm. pelagics though not a clupeiform. Reviewed against the Ecobase group name and diet; the original paper p.130 lists important components but does not settle this taxon.</t>
        </is>
      </c>
      <c r="M315" s="10" t="n">
        <v>0</v>
      </c>
    </row>
    <row r="316" ht="51" customHeight="1">
      <c r="A316" s="10" t="inlineStr">
        <is>
          <t>LME_035</t>
        </is>
      </c>
      <c r="B316" s="11" t="inlineStr">
        <is>
          <t>35_412_Gulf_of_Thailande_(1963)</t>
        </is>
      </c>
      <c r="C316" s="11" t="inlineStr">
        <is>
          <t>Hemiramphidae</t>
        </is>
      </c>
      <c r="D316" s="10" t="inlineStr">
        <is>
          <t>Halfbeaks, garfishes</t>
        </is>
      </c>
      <c r="E316" s="10" t="inlineStr">
        <is>
          <t>Medium pelagics (30 - 89 cm)</t>
        </is>
      </c>
      <c r="F316" s="10" t="inlineStr">
        <is>
          <t>Other fishes &amp; inverts</t>
        </is>
      </c>
      <c r="G316" s="11" t="inlineStr">
        <is>
          <t>Sm. pelagics</t>
        </is>
      </c>
      <c r="H316" s="12" t="n">
        <v>1</v>
      </c>
      <c r="I316" s="10" t="inlineStr">
        <is>
          <t>single</t>
        </is>
      </c>
      <c r="J316" s="13" t="inlineStr">
        <is>
          <t>medium</t>
        </is>
      </c>
      <c r="K316" s="10" t="inlineStr">
        <is>
          <t>habitat_size_guild</t>
        </is>
      </c>
      <c r="L316" s="11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  <c r="M316" s="10" t="n">
        <v>0</v>
      </c>
    </row>
    <row r="317" ht="51" customHeight="1">
      <c r="A317" s="10" t="inlineStr">
        <is>
          <t>LME_035</t>
        </is>
      </c>
      <c r="B317" s="11" t="inlineStr">
        <is>
          <t>35_412_Gulf_of_Thailande_(1963)</t>
        </is>
      </c>
      <c r="C317" s="11" t="inlineStr">
        <is>
          <t>Sphyraena barracuda</t>
        </is>
      </c>
      <c r="D317" s="10" t="inlineStr">
        <is>
          <t>Great barracuda</t>
        </is>
      </c>
      <c r="E317" s="10" t="inlineStr">
        <is>
          <t>Large pelagics (&gt;=90 cm)</t>
        </is>
      </c>
      <c r="F317" s="10" t="inlineStr">
        <is>
          <t>Perch-likes</t>
        </is>
      </c>
      <c r="G317" s="11" t="inlineStr">
        <is>
          <t>Lg. piscivores</t>
        </is>
      </c>
      <c r="H317" s="12" t="n">
        <v>1</v>
      </c>
      <c r="I317" s="10" t="inlineStr">
        <is>
          <t>model_catch</t>
        </is>
      </c>
      <c r="J317" s="13" t="inlineStr">
        <is>
          <t>medium</t>
        </is>
      </c>
      <c r="K317" s="10" t="inlineStr">
        <is>
          <t>composite_split</t>
        </is>
      </c>
      <c r="L317" s="11" t="inlineStr">
        <is>
          <t>Great barracuda; same apex-piscivore identity. Reviewed against the Ecobase group name and diet; the original paper p.130 lists important components but does not settle this taxon. Catch has no age split; model catch assigns no catch to the juvenile pool.</t>
        </is>
      </c>
      <c r="M317" s="10" t="n">
        <v>0</v>
      </c>
    </row>
    <row r="318" ht="51" customHeight="1">
      <c r="A318" s="10" t="inlineStr">
        <is>
          <t>LME_035</t>
        </is>
      </c>
      <c r="B318" s="11" t="inlineStr">
        <is>
          <t>35_412_Gulf_of_Thailande_(1963)</t>
        </is>
      </c>
      <c r="C318" s="11" t="inlineStr">
        <is>
          <t>Sphyraena barracuda</t>
        </is>
      </c>
      <c r="D318" s="10" t="inlineStr">
        <is>
          <t>Great barracuda</t>
        </is>
      </c>
      <c r="E318" s="10" t="inlineStr">
        <is>
          <t>Large pelagics (&gt;=90 cm)</t>
        </is>
      </c>
      <c r="F318" s="10" t="inlineStr">
        <is>
          <t>Perch-likes</t>
        </is>
      </c>
      <c r="G318" s="11" t="inlineStr">
        <is>
          <t>Juv.Lg.Pisciv.</t>
        </is>
      </c>
      <c r="H318" s="12" t="n">
        <v>0</v>
      </c>
      <c r="I318" s="10" t="inlineStr">
        <is>
          <t>model_catch</t>
        </is>
      </c>
      <c r="J318" s="13" t="inlineStr">
        <is>
          <t>medium</t>
        </is>
      </c>
      <c r="K318" s="10" t="inlineStr">
        <is>
          <t>composite_split</t>
        </is>
      </c>
      <c r="L318" s="11" t="inlineStr">
        <is>
          <t>Great barracuda; same apex-piscivore identity. Reviewed against the Ecobase group name and diet; the original paper p.130 lists important components but does not settle this taxon. Catch has no age split; model catch assigns no catch to the juvenile pool.</t>
        </is>
      </c>
      <c r="M318" s="10" t="n">
        <v>0</v>
      </c>
    </row>
    <row r="319" ht="51" customHeight="1">
      <c r="A319" s="10" t="inlineStr">
        <is>
          <t>LME_035</t>
        </is>
      </c>
      <c r="B319" s="11" t="inlineStr">
        <is>
          <t>35_412_Gulf_of_Thailande_(1963)</t>
        </is>
      </c>
      <c r="C319" s="11" t="inlineStr">
        <is>
          <t>Tenualosa toli</t>
        </is>
      </c>
      <c r="D319" s="10" t="inlineStr">
        <is>
          <t>Toli shad</t>
        </is>
      </c>
      <c r="E319" s="10" t="inlineStr">
        <is>
          <t>Medium pelagics (30 - 89 cm)</t>
        </is>
      </c>
      <c r="F319" s="10" t="inlineStr">
        <is>
          <t>Herring-likes</t>
        </is>
      </c>
      <c r="G319" s="11" t="inlineStr">
        <is>
          <t>Sm. pelagics</t>
        </is>
      </c>
      <c r="H319" s="12" t="n">
        <v>1</v>
      </c>
      <c r="I319" s="10" t="inlineStr">
        <is>
          <t>single</t>
        </is>
      </c>
      <c r="J319" s="13" t="inlineStr">
        <is>
          <t>medium</t>
        </is>
      </c>
      <c r="K319" s="10" t="inlineStr">
        <is>
          <t>habitat_size_guild</t>
        </is>
      </c>
      <c r="L319" s="11" t="inlineStr">
        <is>
          <t>Clupeidae shad, schooling filter-feeding pelagic; mapped to Sm. pelagics as the model's only generic schooling-pelagic compartment. Reviewed against the Ecobase group name and diet; the original paper p.130 lists important components but does not settle this taxon.</t>
        </is>
      </c>
      <c r="M319" s="10" t="n">
        <v>0</v>
      </c>
    </row>
    <row r="320" ht="36" customHeight="1">
      <c r="A320" s="10" t="inlineStr">
        <is>
          <t>LME_035</t>
        </is>
      </c>
      <c r="B320" s="11" t="inlineStr">
        <is>
          <t>35_412_Gulf_of_Thailande_(1963)</t>
        </is>
      </c>
      <c r="C320" s="11" t="inlineStr">
        <is>
          <t>Alopias</t>
        </is>
      </c>
      <c r="D320" s="10" t="inlineStr">
        <is>
          <t>Thresher sharks</t>
        </is>
      </c>
      <c r="E320" s="10" t="inlineStr">
        <is>
          <t>Large sharks (&gt;=90 cm)</t>
        </is>
      </c>
      <c r="F320" s="10" t="inlineStr">
        <is>
          <t>Sharks &amp; rays</t>
        </is>
      </c>
      <c r="G320" s="11" t="inlineStr">
        <is>
          <t>Sharks</t>
        </is>
      </c>
      <c r="H320" s="12" t="n">
        <v>1</v>
      </c>
      <c r="I320" s="10" t="inlineStr">
        <is>
          <t>model_catch</t>
        </is>
      </c>
      <c r="J320" s="13" t="inlineStr">
        <is>
          <t>medium</t>
        </is>
      </c>
      <c r="K320" s="10" t="inlineStr">
        <is>
          <t>composite_split</t>
        </is>
      </c>
      <c r="L320" s="11" t="inlineStr">
        <is>
          <t>The Ecobase model splits sharks by life stage; catch has no stage split. Model catch is recorded only on Sharks.</t>
        </is>
      </c>
      <c r="M320" s="10" t="n">
        <v>0</v>
      </c>
    </row>
    <row r="321" ht="36" customHeight="1">
      <c r="A321" s="10" t="inlineStr">
        <is>
          <t>LME_035</t>
        </is>
      </c>
      <c r="B321" s="11" t="inlineStr">
        <is>
          <t>35_412_Gulf_of_Thailande_(1963)</t>
        </is>
      </c>
      <c r="C321" s="11" t="inlineStr">
        <is>
          <t>Alopias</t>
        </is>
      </c>
      <c r="D321" s="10" t="inlineStr">
        <is>
          <t>Thresher sharks</t>
        </is>
      </c>
      <c r="E321" s="10" t="inlineStr">
        <is>
          <t>Large sharks (&gt;=90 cm)</t>
        </is>
      </c>
      <c r="F321" s="10" t="inlineStr">
        <is>
          <t>Sharks &amp; rays</t>
        </is>
      </c>
      <c r="G321" s="11" t="inlineStr">
        <is>
          <t>Juv. sharks</t>
        </is>
      </c>
      <c r="H321" s="12" t="n">
        <v>0</v>
      </c>
      <c r="I321" s="10" t="inlineStr">
        <is>
          <t>model_catch</t>
        </is>
      </c>
      <c r="J321" s="13" t="inlineStr">
        <is>
          <t>medium</t>
        </is>
      </c>
      <c r="K321" s="10" t="inlineStr">
        <is>
          <t>composite_split</t>
        </is>
      </c>
      <c r="L321" s="11" t="inlineStr">
        <is>
          <t>The Ecobase model splits sharks by life stage; catch has no stage split. Model catch is recorded only on Sharks.</t>
        </is>
      </c>
      <c r="M321" s="10" t="n">
        <v>0</v>
      </c>
    </row>
    <row r="322" ht="36" customHeight="1">
      <c r="A322" s="10" t="inlineStr">
        <is>
          <t>LME_035</t>
        </is>
      </c>
      <c r="B322" s="11" t="inlineStr">
        <is>
          <t>35_412_Gulf_of_Thailande_(1963)</t>
        </is>
      </c>
      <c r="C322" s="11" t="inlineStr">
        <is>
          <t>Isurus</t>
        </is>
      </c>
      <c r="D322" s="10" t="inlineStr">
        <is>
          <t>Mako sharks</t>
        </is>
      </c>
      <c r="E322" s="10" t="inlineStr">
        <is>
          <t>Large sharks (&gt;=90 cm)</t>
        </is>
      </c>
      <c r="F322" s="10" t="inlineStr">
        <is>
          <t>Sharks &amp; rays</t>
        </is>
      </c>
      <c r="G322" s="11" t="inlineStr">
        <is>
          <t>Sharks</t>
        </is>
      </c>
      <c r="H322" s="12" t="n">
        <v>1</v>
      </c>
      <c r="I322" s="10" t="inlineStr">
        <is>
          <t>model_catch</t>
        </is>
      </c>
      <c r="J322" s="13" t="inlineStr">
        <is>
          <t>medium</t>
        </is>
      </c>
      <c r="K322" s="10" t="inlineStr">
        <is>
          <t>composite_split</t>
        </is>
      </c>
      <c r="L322" s="11" t="inlineStr">
        <is>
          <t>The Ecobase model splits sharks by life stage; catch has no stage split. Model catch is recorded only on Sharks.</t>
        </is>
      </c>
      <c r="M322" s="10" t="n">
        <v>0</v>
      </c>
    </row>
    <row r="323" ht="36" customHeight="1">
      <c r="A323" s="10" t="inlineStr">
        <is>
          <t>LME_035</t>
        </is>
      </c>
      <c r="B323" s="11" t="inlineStr">
        <is>
          <t>35_412_Gulf_of_Thailande_(1963)</t>
        </is>
      </c>
      <c r="C323" s="11" t="inlineStr">
        <is>
          <t>Isurus</t>
        </is>
      </c>
      <c r="D323" s="10" t="inlineStr">
        <is>
          <t>Mako sharks</t>
        </is>
      </c>
      <c r="E323" s="10" t="inlineStr">
        <is>
          <t>Large sharks (&gt;=90 cm)</t>
        </is>
      </c>
      <c r="F323" s="10" t="inlineStr">
        <is>
          <t>Sharks &amp; rays</t>
        </is>
      </c>
      <c r="G323" s="11" t="inlineStr">
        <is>
          <t>Juv. sharks</t>
        </is>
      </c>
      <c r="H323" s="12" t="n">
        <v>0</v>
      </c>
      <c r="I323" s="10" t="inlineStr">
        <is>
          <t>model_catch</t>
        </is>
      </c>
      <c r="J323" s="13" t="inlineStr">
        <is>
          <t>medium</t>
        </is>
      </c>
      <c r="K323" s="10" t="inlineStr">
        <is>
          <t>composite_split</t>
        </is>
      </c>
      <c r="L323" s="11" t="inlineStr">
        <is>
          <t>The Ecobase model splits sharks by life stage; catch has no stage split. Model catch is recorded only on Sharks.</t>
        </is>
      </c>
      <c r="M323" s="10" t="n">
        <v>0</v>
      </c>
    </row>
    <row r="324" ht="66" customHeight="1">
      <c r="A324" s="10" t="inlineStr">
        <is>
          <t>LME_035</t>
        </is>
      </c>
      <c r="B324" s="11" t="inlineStr">
        <is>
          <t>35_412_Gulf_of_Thailande_(1963)</t>
        </is>
      </c>
      <c r="C324" s="11" t="inlineStr">
        <is>
          <t>Trochus niloticus</t>
        </is>
      </c>
      <c r="D324" s="10" t="inlineStr">
        <is>
          <t>Commercial top</t>
        </is>
      </c>
      <c r="E324" s="10" t="inlineStr">
        <is>
          <t>Other demersal invertebrates</t>
        </is>
      </c>
      <c r="F324" s="10" t="inlineStr">
        <is>
          <t>Molluscs</t>
        </is>
      </c>
      <c r="G324" s="11" t="inlineStr">
        <is>
          <t>Molluscs</t>
        </is>
      </c>
      <c r="H324" s="12" t="n">
        <v>1</v>
      </c>
      <c r="I324" s="10" t="inlineStr">
        <is>
          <t>single</t>
        </is>
      </c>
      <c r="J324" s="14" t="inlineStr">
        <is>
          <t>high</t>
        </is>
      </c>
      <c r="K324" s="10" t="inlineStr">
        <is>
          <t>taxonomic_containment</t>
        </is>
      </c>
      <c r="L324" s="11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324" s="10" t="n">
        <v>0</v>
      </c>
    </row>
    <row r="325" ht="51" customHeight="1">
      <c r="A325" s="10" t="inlineStr">
        <is>
          <t>LME_035</t>
        </is>
      </c>
      <c r="B325" s="11" t="inlineStr">
        <is>
          <t>35_412_Gulf_of_Thailande_(1963)</t>
        </is>
      </c>
      <c r="C325" s="11" t="inlineStr">
        <is>
          <t>Congridae</t>
        </is>
      </c>
      <c r="D325" s="10" t="inlineStr">
        <is>
          <t>Conger, garden eels</t>
        </is>
      </c>
      <c r="E325" s="10" t="inlineStr">
        <is>
          <t>Large demersals (&gt;=90 cm)</t>
        </is>
      </c>
      <c r="F325" s="10" t="inlineStr">
        <is>
          <t>Other fishes &amp; inverts</t>
        </is>
      </c>
      <c r="G325" s="11" t="inlineStr">
        <is>
          <t>Lg. piscivores</t>
        </is>
      </c>
      <c r="H325" s="12" t="n">
        <v>1</v>
      </c>
      <c r="I325" s="10" t="inlineStr">
        <is>
          <t>model_catch</t>
        </is>
      </c>
      <c r="J325" s="13" t="inlineStr">
        <is>
          <t>medium</t>
        </is>
      </c>
      <c r="K325" s="10" t="inlineStr">
        <is>
          <t>composite_split</t>
        </is>
      </c>
      <c r="L325" s="11" t="inlineStr">
        <is>
          <t>Conger/garden-eel family; same piscivorous-eel reasoning. Reviewed against the Ecobase group name and diet; the original paper p.130 lists important components but does not settle this taxon. Catch has no age split; model catch assigns no catch to the juvenile pool.</t>
        </is>
      </c>
      <c r="M325" s="10" t="n">
        <v>0</v>
      </c>
    </row>
    <row r="326" ht="51" customHeight="1">
      <c r="A326" s="10" t="inlineStr">
        <is>
          <t>LME_035</t>
        </is>
      </c>
      <c r="B326" s="11" t="inlineStr">
        <is>
          <t>35_412_Gulf_of_Thailande_(1963)</t>
        </is>
      </c>
      <c r="C326" s="11" t="inlineStr">
        <is>
          <t>Congridae</t>
        </is>
      </c>
      <c r="D326" s="10" t="inlineStr">
        <is>
          <t>Conger, garden eels</t>
        </is>
      </c>
      <c r="E326" s="10" t="inlineStr">
        <is>
          <t>Large demersals (&gt;=90 cm)</t>
        </is>
      </c>
      <c r="F326" s="10" t="inlineStr">
        <is>
          <t>Other fishes &amp; inverts</t>
        </is>
      </c>
      <c r="G326" s="11" t="inlineStr">
        <is>
          <t>Juv.Lg.Pisciv.</t>
        </is>
      </c>
      <c r="H326" s="12" t="n">
        <v>0</v>
      </c>
      <c r="I326" s="10" t="inlineStr">
        <is>
          <t>model_catch</t>
        </is>
      </c>
      <c r="J326" s="13" t="inlineStr">
        <is>
          <t>medium</t>
        </is>
      </c>
      <c r="K326" s="10" t="inlineStr">
        <is>
          <t>composite_split</t>
        </is>
      </c>
      <c r="L326" s="11" t="inlineStr">
        <is>
          <t>Conger/garden-eel family; same piscivorous-eel reasoning. Reviewed against the Ecobase group name and diet; the original paper p.130 lists important components but does not settle this taxon. Catch has no age split; model catch assigns no catch to the juvenile pool.</t>
        </is>
      </c>
      <c r="M326" s="10" t="n">
        <v>0</v>
      </c>
    </row>
    <row r="327" ht="51" customHeight="1">
      <c r="A327" s="10" t="inlineStr">
        <is>
          <t>LME_035</t>
        </is>
      </c>
      <c r="B327" s="11" t="inlineStr">
        <is>
          <t>35_412_Gulf_of_Thailande_(1963)</t>
        </is>
      </c>
      <c r="C327" s="11" t="inlineStr">
        <is>
          <t>Pomadasys argenteus</t>
        </is>
      </c>
      <c r="D327" s="10" t="inlineStr">
        <is>
          <t>Silver grunt</t>
        </is>
      </c>
      <c r="E327" s="10" t="inlineStr">
        <is>
          <t>Medium demersals (30 - 89 cm)</t>
        </is>
      </c>
      <c r="F327" s="10" t="inlineStr">
        <is>
          <t>Perch-likes</t>
        </is>
      </c>
      <c r="G327" s="11" t="inlineStr">
        <is>
          <t>Med.dem.benth.</t>
        </is>
      </c>
      <c r="H327" s="12" t="n">
        <v>1</v>
      </c>
      <c r="I327" s="10" t="inlineStr">
        <is>
          <t>single</t>
        </is>
      </c>
      <c r="J327" s="14" t="inlineStr">
        <is>
          <t>high</t>
        </is>
      </c>
      <c r="K327" s="10" t="inlineStr">
        <is>
          <t>taxonomic_containment</t>
        </is>
      </c>
      <c r="L327" s="11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27" s="10" t="n">
        <v>0</v>
      </c>
    </row>
    <row r="328" ht="66" customHeight="1">
      <c r="A328" s="10" t="inlineStr">
        <is>
          <t>LME_035</t>
        </is>
      </c>
      <c r="B328" s="11" t="inlineStr">
        <is>
          <t>35_412_Gulf_of_Thailande_(1963)</t>
        </is>
      </c>
      <c r="C328" s="11" t="inlineStr">
        <is>
          <t>Seriola</t>
        </is>
      </c>
      <c r="D328" s="10" t="inlineStr">
        <is>
          <t>Amberjacks</t>
        </is>
      </c>
      <c r="E328" s="10" t="inlineStr">
        <is>
          <t>Large benthopelagics (&gt;=90 cm)</t>
        </is>
      </c>
      <c r="F328" s="10" t="inlineStr">
        <is>
          <t>Perch-likes</t>
        </is>
      </c>
      <c r="G328" s="11" t="inlineStr">
        <is>
          <t>Lg. piscivores</t>
        </is>
      </c>
      <c r="H328" s="12" t="n">
        <v>1</v>
      </c>
      <c r="I328" s="10" t="inlineStr">
        <is>
          <t>model_catch</t>
        </is>
      </c>
      <c r="J328" s="13" t="inlineStr">
        <is>
          <t>medium</t>
        </is>
      </c>
      <c r="K328" s="10" t="inlineStr">
        <is>
          <t>composite_split</t>
        </is>
      </c>
      <c r="L328" s="11" t="inlineStr">
        <is>
          <t>Amberjack (Carangidae) is a large-bodied apex piscivorous predator, ecologically a large piscivore rather than a small schooling scad. Reviewed against the Ecobase group name and diet; the original paper p.130 lists important components but does not settle this taxon. Catch has no age split; model catch assigns no catch to the juvenile pool.</t>
        </is>
      </c>
      <c r="M328" s="10" t="n">
        <v>0</v>
      </c>
    </row>
    <row r="329" ht="66" customHeight="1">
      <c r="A329" s="10" t="inlineStr">
        <is>
          <t>LME_035</t>
        </is>
      </c>
      <c r="B329" s="11" t="inlineStr">
        <is>
          <t>35_412_Gulf_of_Thailande_(1963)</t>
        </is>
      </c>
      <c r="C329" s="11" t="inlineStr">
        <is>
          <t>Seriola</t>
        </is>
      </c>
      <c r="D329" s="10" t="inlineStr">
        <is>
          <t>Amberjacks</t>
        </is>
      </c>
      <c r="E329" s="10" t="inlineStr">
        <is>
          <t>Large benthopelagics (&gt;=90 cm)</t>
        </is>
      </c>
      <c r="F329" s="10" t="inlineStr">
        <is>
          <t>Perch-likes</t>
        </is>
      </c>
      <c r="G329" s="11" t="inlineStr">
        <is>
          <t>Juv.Lg.Pisciv.</t>
        </is>
      </c>
      <c r="H329" s="12" t="n">
        <v>0</v>
      </c>
      <c r="I329" s="10" t="inlineStr">
        <is>
          <t>model_catch</t>
        </is>
      </c>
      <c r="J329" s="13" t="inlineStr">
        <is>
          <t>medium</t>
        </is>
      </c>
      <c r="K329" s="10" t="inlineStr">
        <is>
          <t>composite_split</t>
        </is>
      </c>
      <c r="L329" s="11" t="inlineStr">
        <is>
          <t>Amberjack (Carangidae) is a large-bodied apex piscivorous predator, ecologically a large piscivore rather than a small schooling scad. Reviewed against the Ecobase group name and diet; the original paper p.130 lists important components but does not settle this taxon. Catch has no age split; model catch assigns no catch to the juvenile pool.</t>
        </is>
      </c>
      <c r="M329" s="10" t="n">
        <v>0</v>
      </c>
    </row>
    <row r="330" ht="36" customHeight="1">
      <c r="A330" s="10" t="inlineStr">
        <is>
          <t>LME_035</t>
        </is>
      </c>
      <c r="B330" s="11" t="inlineStr">
        <is>
          <t>35_412_Gulf_of_Thailande_(1963)</t>
        </is>
      </c>
      <c r="C330" s="11" t="inlineStr">
        <is>
          <t>Sphyrnidae</t>
        </is>
      </c>
      <c r="D330" s="10" t="inlineStr">
        <is>
          <t>Hammer, bonnet, scoophead sharks</t>
        </is>
      </c>
      <c r="E330" s="10" t="inlineStr">
        <is>
          <t>Large sharks (&gt;=90 cm)</t>
        </is>
      </c>
      <c r="F330" s="10" t="inlineStr">
        <is>
          <t>Sharks &amp; rays</t>
        </is>
      </c>
      <c r="G330" s="11" t="inlineStr">
        <is>
          <t>Sharks</t>
        </is>
      </c>
      <c r="H330" s="12" t="n">
        <v>1</v>
      </c>
      <c r="I330" s="10" t="inlineStr">
        <is>
          <t>model_catch</t>
        </is>
      </c>
      <c r="J330" s="13" t="inlineStr">
        <is>
          <t>medium</t>
        </is>
      </c>
      <c r="K330" s="10" t="inlineStr">
        <is>
          <t>composite_split</t>
        </is>
      </c>
      <c r="L330" s="11" t="inlineStr">
        <is>
          <t>The Ecobase model splits sharks by life stage; catch has no stage split. Model catch is recorded only on Sharks.</t>
        </is>
      </c>
      <c r="M330" s="10" t="n">
        <v>0</v>
      </c>
    </row>
    <row r="331" ht="36" customHeight="1">
      <c r="A331" s="10" t="inlineStr">
        <is>
          <t>LME_035</t>
        </is>
      </c>
      <c r="B331" s="11" t="inlineStr">
        <is>
          <t>35_412_Gulf_of_Thailande_(1963)</t>
        </is>
      </c>
      <c r="C331" s="11" t="inlineStr">
        <is>
          <t>Sphyrnidae</t>
        </is>
      </c>
      <c r="D331" s="10" t="inlineStr">
        <is>
          <t>Hammer, bonnet, scoophead sharks</t>
        </is>
      </c>
      <c r="E331" s="10" t="inlineStr">
        <is>
          <t>Large sharks (&gt;=90 cm)</t>
        </is>
      </c>
      <c r="F331" s="10" t="inlineStr">
        <is>
          <t>Sharks &amp; rays</t>
        </is>
      </c>
      <c r="G331" s="11" t="inlineStr">
        <is>
          <t>Juv. sharks</t>
        </is>
      </c>
      <c r="H331" s="12" t="n">
        <v>0</v>
      </c>
      <c r="I331" s="10" t="inlineStr">
        <is>
          <t>model_catch</t>
        </is>
      </c>
      <c r="J331" s="13" t="inlineStr">
        <is>
          <t>medium</t>
        </is>
      </c>
      <c r="K331" s="10" t="inlineStr">
        <is>
          <t>composite_split</t>
        </is>
      </c>
      <c r="L331" s="11" t="inlineStr">
        <is>
          <t>The Ecobase model splits sharks by life stage; catch has no stage split. Model catch is recorded only on Sharks.</t>
        </is>
      </c>
      <c r="M331" s="10" t="n">
        <v>0</v>
      </c>
    </row>
    <row r="332" ht="36" customHeight="1">
      <c r="A332" s="10" t="inlineStr">
        <is>
          <t>LME_035</t>
        </is>
      </c>
      <c r="B332" s="11" t="inlineStr">
        <is>
          <t>35_412_Gulf_of_Thailande_(1963)</t>
        </is>
      </c>
      <c r="C332" s="11" t="inlineStr">
        <is>
          <t>Sphyrna</t>
        </is>
      </c>
      <c r="D332" s="10" t="inlineStr">
        <is>
          <t>Hammerhead sharks</t>
        </is>
      </c>
      <c r="E332" s="10" t="inlineStr">
        <is>
          <t>Large sharks (&gt;=90 cm)</t>
        </is>
      </c>
      <c r="F332" s="10" t="inlineStr">
        <is>
          <t>Sharks &amp; rays</t>
        </is>
      </c>
      <c r="G332" s="11" t="inlineStr">
        <is>
          <t>Sharks</t>
        </is>
      </c>
      <c r="H332" s="12" t="n">
        <v>1</v>
      </c>
      <c r="I332" s="10" t="inlineStr">
        <is>
          <t>model_catch</t>
        </is>
      </c>
      <c r="J332" s="13" t="inlineStr">
        <is>
          <t>medium</t>
        </is>
      </c>
      <c r="K332" s="10" t="inlineStr">
        <is>
          <t>composite_split</t>
        </is>
      </c>
      <c r="L332" s="11" t="inlineStr">
        <is>
          <t>The Ecobase model splits sharks by life stage; catch has no stage split. Model catch is recorded only on Sharks.</t>
        </is>
      </c>
      <c r="M332" s="10" t="n">
        <v>0</v>
      </c>
    </row>
    <row r="333" ht="36" customHeight="1">
      <c r="A333" s="10" t="inlineStr">
        <is>
          <t>LME_035</t>
        </is>
      </c>
      <c r="B333" s="11" t="inlineStr">
        <is>
          <t>35_412_Gulf_of_Thailande_(1963)</t>
        </is>
      </c>
      <c r="C333" s="11" t="inlineStr">
        <is>
          <t>Sphyrna</t>
        </is>
      </c>
      <c r="D333" s="10" t="inlineStr">
        <is>
          <t>Hammerhead sharks</t>
        </is>
      </c>
      <c r="E333" s="10" t="inlineStr">
        <is>
          <t>Large sharks (&gt;=90 cm)</t>
        </is>
      </c>
      <c r="F333" s="10" t="inlineStr">
        <is>
          <t>Sharks &amp; rays</t>
        </is>
      </c>
      <c r="G333" s="11" t="inlineStr">
        <is>
          <t>Juv. sharks</t>
        </is>
      </c>
      <c r="H333" s="12" t="n">
        <v>0</v>
      </c>
      <c r="I333" s="10" t="inlineStr">
        <is>
          <t>model_catch</t>
        </is>
      </c>
      <c r="J333" s="13" t="inlineStr">
        <is>
          <t>medium</t>
        </is>
      </c>
      <c r="K333" s="10" t="inlineStr">
        <is>
          <t>composite_split</t>
        </is>
      </c>
      <c r="L333" s="11" t="inlineStr">
        <is>
          <t>The Ecobase model splits sharks by life stage; catch has no stage split. Model catch is recorded only on Sharks.</t>
        </is>
      </c>
      <c r="M333" s="10" t="n">
        <v>0</v>
      </c>
    </row>
  </sheetData>
  <autoFilter ref="A4:M3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Specific PPR per taxon — LME_035, model 35_412_Gulf_of_Thailande_(1963)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  <c r="Y4" s="4" t="inlineStr">
        <is>
          <t>SPPR_1995_TEmean_catch</t>
        </is>
      </c>
      <c r="Z4" s="4" t="inlineStr">
        <is>
          <t>Ulanowicz_globalTEmean_catch</t>
        </is>
      </c>
    </row>
    <row r="5" ht="21" customHeight="1">
      <c r="A5" t="inlineStr">
        <is>
          <t>Nemipteridae</t>
        </is>
      </c>
      <c r="B5" t="n">
        <v>3.51</v>
      </c>
      <c r="C5" t="n">
        <v>323.593657</v>
      </c>
      <c r="D5" s="11" t="inlineStr">
        <is>
          <t>Med.dem.benth. | Sm.dem.benth.</t>
        </is>
      </c>
      <c r="E5" t="n">
        <v>92.758633</v>
      </c>
      <c r="F5" t="n">
        <v>217.529093</v>
      </c>
      <c r="G5" t="n">
        <v>79.358116</v>
      </c>
      <c r="H5" t="n">
        <v>141.138931</v>
      </c>
      <c r="I5" t="n">
        <v>171.173597</v>
      </c>
      <c r="J5" t="n">
        <v>171.173597</v>
      </c>
      <c r="K5" t="n">
        <v>150.929101</v>
      </c>
      <c r="L5" t="n">
        <v>518.039182</v>
      </c>
      <c r="M5" t="n">
        <v>518.039182</v>
      </c>
      <c r="N5" t="n">
        <v>548.11324</v>
      </c>
      <c r="O5" t="n">
        <v>85.69973400000001</v>
      </c>
      <c r="P5" t="n">
        <v>44.184584</v>
      </c>
      <c r="W5" t="n">
        <v>88.044521</v>
      </c>
      <c r="X5" t="n">
        <v>623.104735</v>
      </c>
      <c r="Y5" t="n">
        <v>32.066019</v>
      </c>
      <c r="Z5" t="n">
        <v>44.508896</v>
      </c>
    </row>
    <row r="6" ht="21" customHeight="1">
      <c r="A6" t="inlineStr">
        <is>
          <t>Synodontidae</t>
        </is>
      </c>
      <c r="B6" t="n">
        <v>4.3</v>
      </c>
      <c r="C6" t="n">
        <v>1995.262315</v>
      </c>
      <c r="D6" s="11" t="inlineStr">
        <is>
          <t>Med.dem.pisc.</t>
        </is>
      </c>
      <c r="E6" t="n">
        <v>92.758633</v>
      </c>
      <c r="F6" t="n">
        <v>213.954708</v>
      </c>
      <c r="G6" t="n">
        <v>78.922014</v>
      </c>
      <c r="H6" t="n">
        <v>192.983472</v>
      </c>
      <c r="I6" t="n">
        <v>158.091504</v>
      </c>
      <c r="J6" t="n">
        <v>158.091504</v>
      </c>
      <c r="K6" t="n">
        <v>155.980707</v>
      </c>
      <c r="L6" t="n">
        <v>445.224589</v>
      </c>
      <c r="M6" t="n">
        <v>445.224589</v>
      </c>
      <c r="N6" t="n">
        <v>471.516338</v>
      </c>
      <c r="O6" t="n">
        <v>104.595857</v>
      </c>
      <c r="P6" t="n">
        <v>51.592439</v>
      </c>
      <c r="W6" t="n">
        <v>108.487387</v>
      </c>
      <c r="X6" t="n">
        <v>535.009173</v>
      </c>
      <c r="Y6" t="n">
        <v>32.114569</v>
      </c>
      <c r="Z6" t="n">
        <v>52.467555</v>
      </c>
    </row>
    <row r="7" ht="21" customHeight="1">
      <c r="A7" t="inlineStr">
        <is>
          <t>Leiognathidae</t>
        </is>
      </c>
      <c r="B7" t="n">
        <v>3.24</v>
      </c>
      <c r="C7" t="n">
        <v>173.780083</v>
      </c>
      <c r="D7" s="11" t="inlineStr">
        <is>
          <t>Ponyfishes</t>
        </is>
      </c>
      <c r="E7" t="n">
        <v>92.758633</v>
      </c>
      <c r="F7" t="n">
        <v>55.624121</v>
      </c>
      <c r="G7" t="n">
        <v>26.356091</v>
      </c>
      <c r="H7" t="n">
        <v>61.131005</v>
      </c>
      <c r="I7" t="n">
        <v>58.637366</v>
      </c>
      <c r="J7" t="n">
        <v>58.637366</v>
      </c>
      <c r="K7" t="n">
        <v>56.980549</v>
      </c>
      <c r="L7" t="n">
        <v>167.671166</v>
      </c>
      <c r="M7" t="n">
        <v>167.671166</v>
      </c>
      <c r="N7" t="n">
        <v>176.99785</v>
      </c>
      <c r="O7" t="n">
        <v>35.276744</v>
      </c>
      <c r="P7" t="n">
        <v>19.385003</v>
      </c>
      <c r="W7" t="n">
        <v>36.372559</v>
      </c>
      <c r="X7" t="n">
        <v>200.137074</v>
      </c>
      <c r="Y7" t="n">
        <v>13.440773</v>
      </c>
      <c r="Z7" t="n">
        <v>22.381404</v>
      </c>
    </row>
    <row r="8" ht="21" customHeight="1">
      <c r="A8" t="inlineStr">
        <is>
          <t>Rastrelliger kanagurta</t>
        </is>
      </c>
      <c r="B8" t="n">
        <v>3.19</v>
      </c>
      <c r="C8" t="n">
        <v>154.881662</v>
      </c>
      <c r="D8" s="11" t="inlineStr">
        <is>
          <t>Mackerel</t>
        </is>
      </c>
      <c r="E8" t="n">
        <v>92.758633</v>
      </c>
      <c r="F8" t="n">
        <v>79.432823</v>
      </c>
      <c r="G8" t="n">
        <v>35.22555</v>
      </c>
      <c r="H8" t="n">
        <v>36.979496</v>
      </c>
      <c r="I8" t="n">
        <v>22.609246</v>
      </c>
      <c r="J8" t="n">
        <v>22.609246</v>
      </c>
      <c r="K8" t="n">
        <v>21.478784</v>
      </c>
      <c r="L8" t="n">
        <v>30.239099</v>
      </c>
      <c r="M8" t="n">
        <v>30.239099</v>
      </c>
      <c r="N8" t="n">
        <v>31.345103</v>
      </c>
      <c r="O8" t="n">
        <v>25.592867</v>
      </c>
      <c r="P8" t="n">
        <v>15.901406</v>
      </c>
      <c r="W8" t="n">
        <v>26.679379</v>
      </c>
      <c r="X8" t="n">
        <v>32.242101</v>
      </c>
      <c r="Y8" t="n">
        <v>16.922772</v>
      </c>
      <c r="Z8" t="n">
        <v>17.234838</v>
      </c>
    </row>
    <row r="9" ht="36" customHeight="1">
      <c r="A9" t="inlineStr">
        <is>
          <t>Carangidae</t>
        </is>
      </c>
      <c r="B9" t="n">
        <v>4.05</v>
      </c>
      <c r="C9" t="n">
        <v>1122.018454</v>
      </c>
      <c r="D9" s="11" t="inlineStr">
        <is>
          <t>Juv.Lg.Pisciv. | Lg. piscivores | Scad</t>
        </is>
      </c>
      <c r="E9" t="n">
        <v>92.758633</v>
      </c>
      <c r="F9" t="n">
        <v>350.309573</v>
      </c>
      <c r="G9" t="n">
        <v>117.090504</v>
      </c>
      <c r="H9" t="n">
        <v>215.188153</v>
      </c>
      <c r="I9" t="n">
        <v>123.849901</v>
      </c>
      <c r="J9" t="n">
        <v>123.849901</v>
      </c>
      <c r="K9" t="n">
        <v>116.658219</v>
      </c>
      <c r="L9" t="n">
        <v>282.742219</v>
      </c>
      <c r="M9" t="n">
        <v>282.742219</v>
      </c>
      <c r="N9" t="n">
        <v>298.048101</v>
      </c>
      <c r="O9" t="n">
        <v>95.392443</v>
      </c>
      <c r="P9" t="n">
        <v>46.540662</v>
      </c>
      <c r="W9" t="n">
        <v>99.549161</v>
      </c>
      <c r="X9" t="n">
        <v>330.921181</v>
      </c>
      <c r="Y9" t="n">
        <v>43.723506</v>
      </c>
      <c r="Z9" t="n">
        <v>61.594727</v>
      </c>
    </row>
    <row r="10" ht="51" customHeight="1">
      <c r="A10" t="inlineStr">
        <is>
          <t>Marine fishes not identified</t>
        </is>
      </c>
      <c r="B10" t="n">
        <v>3.28</v>
      </c>
      <c r="C10" t="n">
        <v>190.546072</v>
      </c>
      <c r="D10" s="11" t="inlineStr">
        <is>
          <t>Med.dem.benth. | Med.dem.pisc. | Sm.dem.benth. | Sm.dem.pisc. | O.fish</t>
        </is>
      </c>
      <c r="E10" t="n">
        <v>92.758633</v>
      </c>
      <c r="F10" t="n">
        <v>206.950774</v>
      </c>
      <c r="G10" t="n">
        <v>76.47147699999999</v>
      </c>
      <c r="H10" t="n">
        <v>174.988745</v>
      </c>
      <c r="I10" t="n">
        <v>152.73063</v>
      </c>
      <c r="J10" t="n">
        <v>152.73063</v>
      </c>
      <c r="K10" t="n">
        <v>147.353313</v>
      </c>
      <c r="L10" t="n">
        <v>437.074857</v>
      </c>
      <c r="M10" t="n">
        <v>437.074857</v>
      </c>
      <c r="N10" t="n">
        <v>462.80939</v>
      </c>
      <c r="O10" t="n">
        <v>95.728662</v>
      </c>
      <c r="P10" t="n">
        <v>47.813164</v>
      </c>
      <c r="W10" t="n">
        <v>99.091415</v>
      </c>
      <c r="X10" t="n">
        <v>526.032469</v>
      </c>
      <c r="Y10" t="n">
        <v>31.208611</v>
      </c>
      <c r="Z10" t="n">
        <v>49.217684</v>
      </c>
    </row>
    <row r="11" ht="21" customHeight="1">
      <c r="A11" t="inlineStr">
        <is>
          <t>Engraulidae</t>
        </is>
      </c>
      <c r="B11" t="n">
        <v>3.2</v>
      </c>
      <c r="C11" t="n">
        <v>158.489319</v>
      </c>
      <c r="D11" s="11" t="inlineStr">
        <is>
          <t>Sm. pelagics</t>
        </is>
      </c>
      <c r="E11" t="n">
        <v>92.758633</v>
      </c>
      <c r="F11" t="n">
        <v>79.432823</v>
      </c>
      <c r="G11" t="n">
        <v>35.22555</v>
      </c>
      <c r="H11" t="n">
        <v>36.979496</v>
      </c>
      <c r="I11" t="n">
        <v>22.609246</v>
      </c>
      <c r="J11" t="n">
        <v>22.609246</v>
      </c>
      <c r="K11" t="n">
        <v>21.478784</v>
      </c>
      <c r="L11" t="n">
        <v>30.239099</v>
      </c>
      <c r="M11" t="n">
        <v>30.239099</v>
      </c>
      <c r="N11" t="n">
        <v>31.345103</v>
      </c>
      <c r="O11" t="n">
        <v>25.592867</v>
      </c>
      <c r="P11" t="n">
        <v>15.901406</v>
      </c>
      <c r="W11" t="n">
        <v>26.701358</v>
      </c>
      <c r="X11" t="n">
        <v>32.392065</v>
      </c>
      <c r="Y11" t="n">
        <v>16.922772</v>
      </c>
      <c r="Z11" t="n">
        <v>17.234838</v>
      </c>
    </row>
    <row r="12" ht="21" customHeight="1">
      <c r="A12" t="inlineStr">
        <is>
          <t>Sciaenidae</t>
        </is>
      </c>
      <c r="B12" t="n">
        <v>3.76</v>
      </c>
      <c r="C12" t="n">
        <v>575.439937</v>
      </c>
      <c r="D12" s="11" t="inlineStr">
        <is>
          <t>Med.dem.pisc.</t>
        </is>
      </c>
      <c r="E12" t="n">
        <v>92.758633</v>
      </c>
      <c r="F12" t="n">
        <v>213.954708</v>
      </c>
      <c r="G12" t="n">
        <v>78.922014</v>
      </c>
      <c r="H12" t="n">
        <v>192.983472</v>
      </c>
      <c r="I12" t="n">
        <v>158.091504</v>
      </c>
      <c r="J12" t="n">
        <v>158.091504</v>
      </c>
      <c r="K12" t="n">
        <v>155.980707</v>
      </c>
      <c r="L12" t="n">
        <v>445.224589</v>
      </c>
      <c r="M12" t="n">
        <v>445.224589</v>
      </c>
      <c r="N12" t="n">
        <v>471.516338</v>
      </c>
      <c r="O12" t="n">
        <v>104.595857</v>
      </c>
      <c r="P12" t="n">
        <v>51.592439</v>
      </c>
      <c r="W12" t="n">
        <v>108.487387</v>
      </c>
      <c r="X12" t="n">
        <v>535.009173</v>
      </c>
      <c r="Y12" t="n">
        <v>32.114569</v>
      </c>
      <c r="Z12" t="n">
        <v>52.467555</v>
      </c>
    </row>
    <row r="13" ht="21" customHeight="1">
      <c r="A13" t="inlineStr">
        <is>
          <t>Sardinella</t>
        </is>
      </c>
      <c r="B13" t="n">
        <v>2.77</v>
      </c>
      <c r="C13" t="n">
        <v>58.884366</v>
      </c>
      <c r="D13" s="11" t="inlineStr">
        <is>
          <t>Sm. pelagics</t>
        </is>
      </c>
      <c r="E13" t="n">
        <v>92.758633</v>
      </c>
      <c r="F13" t="n">
        <v>79.432823</v>
      </c>
      <c r="G13" t="n">
        <v>35.22555</v>
      </c>
      <c r="H13" t="n">
        <v>36.979496</v>
      </c>
      <c r="I13" t="n">
        <v>22.609246</v>
      </c>
      <c r="J13" t="n">
        <v>22.609246</v>
      </c>
      <c r="K13" t="n">
        <v>21.478784</v>
      </c>
      <c r="L13" t="n">
        <v>30.239099</v>
      </c>
      <c r="M13" t="n">
        <v>30.239099</v>
      </c>
      <c r="N13" t="n">
        <v>31.345103</v>
      </c>
      <c r="O13" t="n">
        <v>25.592867</v>
      </c>
      <c r="P13" t="n">
        <v>15.901406</v>
      </c>
      <c r="W13" t="n">
        <v>26.701358</v>
      </c>
      <c r="X13" t="n">
        <v>32.392065</v>
      </c>
      <c r="Y13" t="n">
        <v>16.922772</v>
      </c>
      <c r="Z13" t="n">
        <v>17.234838</v>
      </c>
    </row>
    <row r="14" ht="21" customHeight="1">
      <c r="A14" t="inlineStr">
        <is>
          <t>Platycephalidae</t>
        </is>
      </c>
      <c r="B14" t="n">
        <v>3.9</v>
      </c>
      <c r="C14" t="n">
        <v>794.3282349999999</v>
      </c>
      <c r="D14" s="11" t="inlineStr">
        <is>
          <t>Med.dem.pisc.</t>
        </is>
      </c>
      <c r="E14" t="n">
        <v>92.758633</v>
      </c>
      <c r="F14" t="n">
        <v>213.954708</v>
      </c>
      <c r="G14" t="n">
        <v>78.922014</v>
      </c>
      <c r="H14" t="n">
        <v>192.983472</v>
      </c>
      <c r="I14" t="n">
        <v>158.091504</v>
      </c>
      <c r="J14" t="n">
        <v>158.091504</v>
      </c>
      <c r="K14" t="n">
        <v>155.980707</v>
      </c>
      <c r="L14" t="n">
        <v>445.224589</v>
      </c>
      <c r="M14" t="n">
        <v>445.224589</v>
      </c>
      <c r="N14" t="n">
        <v>471.516338</v>
      </c>
      <c r="O14" t="n">
        <v>104.595857</v>
      </c>
      <c r="P14" t="n">
        <v>51.592439</v>
      </c>
      <c r="W14" t="n">
        <v>108.487387</v>
      </c>
      <c r="X14" t="n">
        <v>535.009173</v>
      </c>
      <c r="Y14" t="n">
        <v>32.114569</v>
      </c>
      <c r="Z14" t="n">
        <v>52.467555</v>
      </c>
    </row>
    <row r="15" ht="21" customHeight="1">
      <c r="A15" t="inlineStr">
        <is>
          <t>Loliginidae</t>
        </is>
      </c>
      <c r="B15" t="n">
        <v>3.9</v>
      </c>
      <c r="C15" t="n">
        <v>794.3282349999999</v>
      </c>
      <c r="D15" s="11" t="inlineStr">
        <is>
          <t>Cephalopods</t>
        </is>
      </c>
      <c r="E15" t="n">
        <v>92.758633</v>
      </c>
      <c r="F15" t="n">
        <v>207.108363</v>
      </c>
      <c r="G15" t="n">
        <v>76.859779</v>
      </c>
      <c r="H15" t="n">
        <v>153.276012</v>
      </c>
      <c r="I15" t="n">
        <v>121.77284</v>
      </c>
      <c r="J15" t="n">
        <v>121.77284</v>
      </c>
      <c r="K15" t="n">
        <v>118.23963</v>
      </c>
      <c r="L15" t="n">
        <v>349.557692</v>
      </c>
      <c r="M15" t="n">
        <v>349.557692</v>
      </c>
      <c r="N15" t="n">
        <v>370.254323</v>
      </c>
      <c r="O15" t="n">
        <v>98.097358</v>
      </c>
      <c r="P15" t="n">
        <v>49.643681</v>
      </c>
      <c r="W15" t="n">
        <v>100.957994</v>
      </c>
      <c r="X15" t="n">
        <v>407.059034</v>
      </c>
      <c r="Y15" t="n">
        <v>31.446324</v>
      </c>
      <c r="Z15" t="n">
        <v>45.753688</v>
      </c>
    </row>
    <row r="16" ht="21" customHeight="1">
      <c r="A16" t="inlineStr">
        <is>
          <t>Perna viridis</t>
        </is>
      </c>
      <c r="D16" s="11" t="inlineStr">
        <is>
          <t>Molluscs</t>
        </is>
      </c>
      <c r="E16" t="n">
        <v>92.758633</v>
      </c>
      <c r="F16" t="n">
        <v>15.848932</v>
      </c>
      <c r="G16" t="n">
        <v>9.483373</v>
      </c>
      <c r="H16" t="n">
        <v>13.28747</v>
      </c>
      <c r="I16" t="n">
        <v>8.760194</v>
      </c>
      <c r="J16" t="n">
        <v>8.760194</v>
      </c>
      <c r="K16" t="n">
        <v>7.884174</v>
      </c>
      <c r="L16" t="n">
        <v>10.549912</v>
      </c>
      <c r="M16" t="n">
        <v>10.549912</v>
      </c>
      <c r="N16" t="n">
        <v>10.809345</v>
      </c>
      <c r="O16" t="n">
        <v>8.798415</v>
      </c>
      <c r="P16" t="n">
        <v>6.022535</v>
      </c>
      <c r="W16" t="n">
        <v>8.947789999999999</v>
      </c>
      <c r="X16" t="n">
        <v>11.156289</v>
      </c>
      <c r="Y16" t="n">
        <v>5.968659</v>
      </c>
      <c r="Z16" t="n">
        <v>7.276791</v>
      </c>
    </row>
    <row r="17" ht="21" customHeight="1">
      <c r="A17" t="inlineStr">
        <is>
          <t>Penaeus</t>
        </is>
      </c>
      <c r="B17" t="n">
        <v>2.7</v>
      </c>
      <c r="C17" t="n">
        <v>50.118723</v>
      </c>
      <c r="D17" s="11" t="inlineStr">
        <is>
          <t>Shrimps</t>
        </is>
      </c>
      <c r="E17" t="n">
        <v>92.758633</v>
      </c>
      <c r="F17" t="n">
        <v>24.936879</v>
      </c>
      <c r="G17" t="n">
        <v>13.715732</v>
      </c>
      <c r="H17" t="n">
        <v>39.542201</v>
      </c>
      <c r="I17" t="n">
        <v>39.345557</v>
      </c>
      <c r="J17" t="n">
        <v>39.345557</v>
      </c>
      <c r="K17" t="n">
        <v>37.378279</v>
      </c>
      <c r="L17" t="n">
        <v>110.883242</v>
      </c>
      <c r="M17" t="n">
        <v>110.883242</v>
      </c>
      <c r="N17" t="n">
        <v>118.086052</v>
      </c>
      <c r="O17" t="n">
        <v>26.876504</v>
      </c>
      <c r="P17" t="n">
        <v>16.79886</v>
      </c>
      <c r="W17" t="n">
        <v>27.610867</v>
      </c>
      <c r="X17" t="n">
        <v>134.234083</v>
      </c>
      <c r="Y17" t="n">
        <v>8.001064</v>
      </c>
      <c r="Z17" t="n">
        <v>14.97557</v>
      </c>
    </row>
    <row r="18" ht="21" customHeight="1">
      <c r="A18" t="inlineStr">
        <is>
          <t>Scombridae</t>
        </is>
      </c>
      <c r="B18" t="n">
        <v>4.26</v>
      </c>
      <c r="C18" t="n">
        <v>1819.700859</v>
      </c>
      <c r="D18" s="11" t="inlineStr">
        <is>
          <t>Mackerel | Scomberomorus | Tuna</t>
        </is>
      </c>
      <c r="E18" t="n">
        <v>92.758633</v>
      </c>
      <c r="F18" t="n">
        <v>304.036225</v>
      </c>
      <c r="G18" t="n">
        <v>94.465615</v>
      </c>
      <c r="H18" t="n">
        <v>172.577473</v>
      </c>
      <c r="I18" t="n">
        <v>88.461506</v>
      </c>
      <c r="J18" t="n">
        <v>88.461506</v>
      </c>
      <c r="K18" t="n">
        <v>84.038431</v>
      </c>
      <c r="L18" t="n">
        <v>174.520296</v>
      </c>
      <c r="M18" t="n">
        <v>174.520296</v>
      </c>
      <c r="N18" t="n">
        <v>183.33498</v>
      </c>
      <c r="O18" t="n">
        <v>76.095264</v>
      </c>
      <c r="P18" t="n">
        <v>36.680952</v>
      </c>
      <c r="W18" t="n">
        <v>80.273251</v>
      </c>
      <c r="X18" t="n">
        <v>202.543616</v>
      </c>
      <c r="Y18" t="n">
        <v>34.190175</v>
      </c>
      <c r="Z18" t="n">
        <v>46.117203</v>
      </c>
    </row>
    <row r="19" ht="21" customHeight="1">
      <c r="A19" t="inlineStr">
        <is>
          <t>Sepiidae</t>
        </is>
      </c>
      <c r="B19" t="n">
        <v>3.6</v>
      </c>
      <c r="C19" t="n">
        <v>398.107171</v>
      </c>
      <c r="D19" s="11" t="inlineStr">
        <is>
          <t>Cephalopods</t>
        </is>
      </c>
      <c r="E19" t="n">
        <v>92.758633</v>
      </c>
      <c r="F19" t="n">
        <v>207.108363</v>
      </c>
      <c r="G19" t="n">
        <v>76.859779</v>
      </c>
      <c r="H19" t="n">
        <v>153.276012</v>
      </c>
      <c r="I19" t="n">
        <v>121.77284</v>
      </c>
      <c r="J19" t="n">
        <v>121.77284</v>
      </c>
      <c r="K19" t="n">
        <v>118.23963</v>
      </c>
      <c r="L19" t="n">
        <v>349.557692</v>
      </c>
      <c r="M19" t="n">
        <v>349.557692</v>
      </c>
      <c r="N19" t="n">
        <v>370.254323</v>
      </c>
      <c r="O19" t="n">
        <v>98.097358</v>
      </c>
      <c r="P19" t="n">
        <v>49.643681</v>
      </c>
      <c r="W19" t="n">
        <v>100.957994</v>
      </c>
      <c r="X19" t="n">
        <v>407.059034</v>
      </c>
      <c r="Y19" t="n">
        <v>31.446324</v>
      </c>
      <c r="Z19" t="n">
        <v>45.753688</v>
      </c>
    </row>
    <row r="20" ht="21" customHeight="1">
      <c r="A20" t="inlineStr">
        <is>
          <t>Priacanthus</t>
        </is>
      </c>
      <c r="B20" t="n">
        <v>3.81</v>
      </c>
      <c r="C20" t="n">
        <v>645.654229</v>
      </c>
      <c r="D20" s="11" t="inlineStr">
        <is>
          <t>Sm.dem.pisc.</t>
        </is>
      </c>
      <c r="E20" t="n">
        <v>92.758633</v>
      </c>
      <c r="F20" t="n">
        <v>197.409669</v>
      </c>
      <c r="G20" t="n">
        <v>73.916488</v>
      </c>
      <c r="H20" t="n">
        <v>154.823545</v>
      </c>
      <c r="I20" t="n">
        <v>115.690597</v>
      </c>
      <c r="J20" t="n">
        <v>115.690597</v>
      </c>
      <c r="K20" t="n">
        <v>113.409335</v>
      </c>
      <c r="L20" t="n">
        <v>329.659655</v>
      </c>
      <c r="M20" t="n">
        <v>329.659655</v>
      </c>
      <c r="N20" t="n">
        <v>349.391819</v>
      </c>
      <c r="O20" t="n">
        <v>73.656982</v>
      </c>
      <c r="P20" t="n">
        <v>38.008692</v>
      </c>
      <c r="W20" t="n">
        <v>76.063031</v>
      </c>
      <c r="X20" t="n">
        <v>403.967718</v>
      </c>
      <c r="Y20" t="n">
        <v>30.486142</v>
      </c>
      <c r="Z20" t="n">
        <v>45.747918</v>
      </c>
    </row>
    <row r="21" ht="21" customHeight="1">
      <c r="A21" t="inlineStr">
        <is>
          <t>Penaeidae</t>
        </is>
      </c>
      <c r="B21" t="n">
        <v>3.31</v>
      </c>
      <c r="C21" t="n">
        <v>204.173794</v>
      </c>
      <c r="D21" s="11" t="inlineStr">
        <is>
          <t>Shrimps</t>
        </is>
      </c>
      <c r="E21" t="n">
        <v>92.758633</v>
      </c>
      <c r="F21" t="n">
        <v>24.936879</v>
      </c>
      <c r="G21" t="n">
        <v>13.715732</v>
      </c>
      <c r="H21" t="n">
        <v>39.542201</v>
      </c>
      <c r="I21" t="n">
        <v>39.345557</v>
      </c>
      <c r="J21" t="n">
        <v>39.345557</v>
      </c>
      <c r="K21" t="n">
        <v>37.378279</v>
      </c>
      <c r="L21" t="n">
        <v>110.883242</v>
      </c>
      <c r="M21" t="n">
        <v>110.883242</v>
      </c>
      <c r="N21" t="n">
        <v>118.086052</v>
      </c>
      <c r="O21" t="n">
        <v>26.876504</v>
      </c>
      <c r="P21" t="n">
        <v>16.79886</v>
      </c>
      <c r="W21" t="n">
        <v>27.610867</v>
      </c>
      <c r="X21" t="n">
        <v>134.234083</v>
      </c>
      <c r="Y21" t="n">
        <v>8.001064</v>
      </c>
      <c r="Z21" t="n">
        <v>14.97557</v>
      </c>
    </row>
    <row r="22" ht="21" customHeight="1">
      <c r="A22" t="inlineStr">
        <is>
          <t>Rastrelliger</t>
        </is>
      </c>
      <c r="B22" t="n">
        <v>3.1</v>
      </c>
      <c r="C22" t="n">
        <v>125.892541</v>
      </c>
      <c r="D22" s="11" t="inlineStr">
        <is>
          <t>Mackerel</t>
        </is>
      </c>
      <c r="E22" t="n">
        <v>92.758633</v>
      </c>
      <c r="F22" t="n">
        <v>79.432823</v>
      </c>
      <c r="G22" t="n">
        <v>35.22555</v>
      </c>
      <c r="H22" t="n">
        <v>36.979496</v>
      </c>
      <c r="I22" t="n">
        <v>22.609246</v>
      </c>
      <c r="J22" t="n">
        <v>22.609246</v>
      </c>
      <c r="K22" t="n">
        <v>21.478784</v>
      </c>
      <c r="L22" t="n">
        <v>30.239099</v>
      </c>
      <c r="M22" t="n">
        <v>30.239099</v>
      </c>
      <c r="N22" t="n">
        <v>31.345103</v>
      </c>
      <c r="O22" t="n">
        <v>25.592867</v>
      </c>
      <c r="P22" t="n">
        <v>15.901406</v>
      </c>
      <c r="W22" t="n">
        <v>26.679379</v>
      </c>
      <c r="X22" t="n">
        <v>32.242101</v>
      </c>
      <c r="Y22" t="n">
        <v>16.922772</v>
      </c>
      <c r="Z22" t="n">
        <v>17.234838</v>
      </c>
    </row>
    <row r="23" ht="21" customHeight="1">
      <c r="A23" t="inlineStr">
        <is>
          <t>Decapterus russelli</t>
        </is>
      </c>
      <c r="B23" t="n">
        <v>3.68</v>
      </c>
      <c r="C23" t="n">
        <v>478.630092</v>
      </c>
      <c r="D23" s="11" t="inlineStr">
        <is>
          <t>Scad</t>
        </is>
      </c>
      <c r="E23" t="n">
        <v>92.758633</v>
      </c>
      <c r="F23" t="n">
        <v>301.410165</v>
      </c>
      <c r="G23" t="n">
        <v>104.320796</v>
      </c>
      <c r="H23" t="n">
        <v>168.748505</v>
      </c>
      <c r="I23" t="n">
        <v>90.39104399999999</v>
      </c>
      <c r="J23" t="n">
        <v>90.39104399999999</v>
      </c>
      <c r="K23" t="n">
        <v>85.87149100000001</v>
      </c>
      <c r="L23" t="n">
        <v>191.130934</v>
      </c>
      <c r="M23" t="n">
        <v>191.130934</v>
      </c>
      <c r="N23" t="n">
        <v>201.174951</v>
      </c>
      <c r="O23" t="n">
        <v>76.25161799999999</v>
      </c>
      <c r="P23" t="n">
        <v>39.003755</v>
      </c>
      <c r="W23" t="n">
        <v>79.580185</v>
      </c>
      <c r="X23" t="n">
        <v>220.35084</v>
      </c>
      <c r="Y23" t="n">
        <v>40.080591</v>
      </c>
      <c r="Z23" t="n">
        <v>53.018386</v>
      </c>
    </row>
    <row r="24" ht="21" customHeight="1">
      <c r="A24" t="inlineStr">
        <is>
          <t>Nemipterus</t>
        </is>
      </c>
      <c r="B24" t="n">
        <v>3.72</v>
      </c>
      <c r="C24" t="n">
        <v>524.80746</v>
      </c>
      <c r="D24" s="11" t="inlineStr">
        <is>
          <t>Sm.dem.benth.</t>
        </is>
      </c>
      <c r="E24" t="n">
        <v>92.758633</v>
      </c>
      <c r="F24" t="n">
        <v>135.946622</v>
      </c>
      <c r="G24" t="n">
        <v>54.557109</v>
      </c>
      <c r="H24" t="n">
        <v>104.458273</v>
      </c>
      <c r="I24" t="n">
        <v>106.771533</v>
      </c>
      <c r="J24" t="n">
        <v>106.771533</v>
      </c>
      <c r="K24" t="n">
        <v>89.978955</v>
      </c>
      <c r="L24" t="n">
        <v>308.045854</v>
      </c>
      <c r="M24" t="n">
        <v>308.045854</v>
      </c>
      <c r="N24" t="n">
        <v>325.959633</v>
      </c>
      <c r="O24" t="n">
        <v>56.685005</v>
      </c>
      <c r="P24" t="n">
        <v>30.438514</v>
      </c>
      <c r="W24" t="n">
        <v>58.087916</v>
      </c>
      <c r="X24" t="n">
        <v>369.109424</v>
      </c>
      <c r="Y24" t="n">
        <v>23.952956</v>
      </c>
      <c r="Z24" t="n">
        <v>34.558123</v>
      </c>
    </row>
    <row r="25" ht="21" customHeight="1">
      <c r="A25" t="inlineStr">
        <is>
          <t>Portunus pelagicus</t>
        </is>
      </c>
      <c r="B25" t="n">
        <v>2.48</v>
      </c>
      <c r="C25" t="n">
        <v>30.199517</v>
      </c>
      <c r="D25" s="11" t="inlineStr">
        <is>
          <t>Crab, lobster</t>
        </is>
      </c>
      <c r="E25" t="n">
        <v>92.758633</v>
      </c>
      <c r="F25" t="n">
        <v>55.221127</v>
      </c>
      <c r="G25" t="n">
        <v>26.200528</v>
      </c>
      <c r="H25" t="n">
        <v>80.616586</v>
      </c>
      <c r="I25" t="n">
        <v>96.283275</v>
      </c>
      <c r="J25" t="n">
        <v>96.283275</v>
      </c>
      <c r="K25" t="n">
        <v>82.59048</v>
      </c>
      <c r="L25" t="n">
        <v>295.897518</v>
      </c>
      <c r="M25" t="n">
        <v>295.897518</v>
      </c>
      <c r="N25" t="n">
        <v>313.590452</v>
      </c>
      <c r="O25" t="n">
        <v>47.292261</v>
      </c>
      <c r="P25" t="n">
        <v>26.133043</v>
      </c>
      <c r="W25" t="n">
        <v>48.215972</v>
      </c>
      <c r="X25" t="n">
        <v>354.467589</v>
      </c>
      <c r="Y25" t="n">
        <v>13.377731</v>
      </c>
      <c r="Z25" t="n">
        <v>27.235027</v>
      </c>
    </row>
    <row r="26" ht="21" customHeight="1">
      <c r="A26" t="inlineStr">
        <is>
          <t>Veneridae</t>
        </is>
      </c>
      <c r="B26" t="n">
        <v>2</v>
      </c>
      <c r="C26" t="n">
        <v>10</v>
      </c>
      <c r="D26" s="11" t="inlineStr">
        <is>
          <t>Molluscs</t>
        </is>
      </c>
      <c r="E26" t="n">
        <v>92.758633</v>
      </c>
      <c r="F26" t="n">
        <v>15.848932</v>
      </c>
      <c r="G26" t="n">
        <v>9.483373</v>
      </c>
      <c r="H26" t="n">
        <v>13.28747</v>
      </c>
      <c r="I26" t="n">
        <v>8.760194</v>
      </c>
      <c r="J26" t="n">
        <v>8.760194</v>
      </c>
      <c r="K26" t="n">
        <v>7.884174</v>
      </c>
      <c r="L26" t="n">
        <v>10.549912</v>
      </c>
      <c r="M26" t="n">
        <v>10.549912</v>
      </c>
      <c r="N26" t="n">
        <v>10.809345</v>
      </c>
      <c r="O26" t="n">
        <v>8.798415</v>
      </c>
      <c r="P26" t="n">
        <v>6.022535</v>
      </c>
      <c r="W26" t="n">
        <v>8.947789999999999</v>
      </c>
      <c r="X26" t="n">
        <v>11.156289</v>
      </c>
      <c r="Y26" t="n">
        <v>5.968659</v>
      </c>
      <c r="Z26" t="n">
        <v>7.276791</v>
      </c>
    </row>
    <row r="27" ht="21" customHeight="1">
      <c r="A27" t="inlineStr">
        <is>
          <t>Saurida</t>
        </is>
      </c>
      <c r="B27" t="n">
        <v>4.35</v>
      </c>
      <c r="C27" t="n">
        <v>2238.721139</v>
      </c>
      <c r="D27" s="11" t="inlineStr">
        <is>
          <t>Med.dem.pisc.</t>
        </is>
      </c>
      <c r="E27" t="n">
        <v>92.758633</v>
      </c>
      <c r="F27" t="n">
        <v>213.954708</v>
      </c>
      <c r="G27" t="n">
        <v>78.922014</v>
      </c>
      <c r="H27" t="n">
        <v>192.983472</v>
      </c>
      <c r="I27" t="n">
        <v>158.091504</v>
      </c>
      <c r="J27" t="n">
        <v>158.091504</v>
      </c>
      <c r="K27" t="n">
        <v>155.980707</v>
      </c>
      <c r="L27" t="n">
        <v>445.224589</v>
      </c>
      <c r="M27" t="n">
        <v>445.224589</v>
      </c>
      <c r="N27" t="n">
        <v>471.516338</v>
      </c>
      <c r="O27" t="n">
        <v>104.595857</v>
      </c>
      <c r="P27" t="n">
        <v>51.592439</v>
      </c>
      <c r="W27" t="n">
        <v>108.487387</v>
      </c>
      <c r="X27" t="n">
        <v>535.009173</v>
      </c>
      <c r="Y27" t="n">
        <v>32.114569</v>
      </c>
      <c r="Z27" t="n">
        <v>52.467555</v>
      </c>
    </row>
    <row r="28" ht="21" customHeight="1">
      <c r="A28" t="inlineStr">
        <is>
          <t>Decapterus</t>
        </is>
      </c>
      <c r="B28" t="n">
        <v>3.63</v>
      </c>
      <c r="C28" t="n">
        <v>426.579519</v>
      </c>
      <c r="D28" s="11" t="inlineStr">
        <is>
          <t>Scad</t>
        </is>
      </c>
      <c r="E28" t="n">
        <v>92.758633</v>
      </c>
      <c r="F28" t="n">
        <v>301.410165</v>
      </c>
      <c r="G28" t="n">
        <v>104.320796</v>
      </c>
      <c r="H28" t="n">
        <v>168.748505</v>
      </c>
      <c r="I28" t="n">
        <v>90.39104399999999</v>
      </c>
      <c r="J28" t="n">
        <v>90.39104399999999</v>
      </c>
      <c r="K28" t="n">
        <v>85.87149100000001</v>
      </c>
      <c r="L28" t="n">
        <v>191.130934</v>
      </c>
      <c r="M28" t="n">
        <v>191.130934</v>
      </c>
      <c r="N28" t="n">
        <v>201.174951</v>
      </c>
      <c r="O28" t="n">
        <v>76.25161799999999</v>
      </c>
      <c r="P28" t="n">
        <v>39.003755</v>
      </c>
      <c r="W28" t="n">
        <v>79.580185</v>
      </c>
      <c r="X28" t="n">
        <v>220.35084</v>
      </c>
      <c r="Y28" t="n">
        <v>40.080591</v>
      </c>
      <c r="Z28" t="n">
        <v>53.018386</v>
      </c>
    </row>
    <row r="29" ht="21" customHeight="1">
      <c r="A29" t="inlineStr">
        <is>
          <t>Stolephorus</t>
        </is>
      </c>
      <c r="B29" t="n">
        <v>3.44</v>
      </c>
      <c r="C29" t="n">
        <v>275.42287</v>
      </c>
      <c r="D29" s="11" t="inlineStr">
        <is>
          <t>Sm. pelagics</t>
        </is>
      </c>
      <c r="E29" t="n">
        <v>92.758633</v>
      </c>
      <c r="F29" t="n">
        <v>79.432823</v>
      </c>
      <c r="G29" t="n">
        <v>35.22555</v>
      </c>
      <c r="H29" t="n">
        <v>36.979496</v>
      </c>
      <c r="I29" t="n">
        <v>22.609246</v>
      </c>
      <c r="J29" t="n">
        <v>22.609246</v>
      </c>
      <c r="K29" t="n">
        <v>21.478784</v>
      </c>
      <c r="L29" t="n">
        <v>30.239099</v>
      </c>
      <c r="M29" t="n">
        <v>30.239099</v>
      </c>
      <c r="N29" t="n">
        <v>31.345103</v>
      </c>
      <c r="O29" t="n">
        <v>25.592867</v>
      </c>
      <c r="P29" t="n">
        <v>15.901406</v>
      </c>
      <c r="W29" t="n">
        <v>26.701358</v>
      </c>
      <c r="X29" t="n">
        <v>32.392065</v>
      </c>
      <c r="Y29" t="n">
        <v>16.922772</v>
      </c>
      <c r="Z29" t="n">
        <v>17.234838</v>
      </c>
    </row>
    <row r="30" ht="21" customHeight="1">
      <c r="A30" t="inlineStr">
        <is>
          <t>Cephea</t>
        </is>
      </c>
      <c r="B30" t="n">
        <v>3.46</v>
      </c>
      <c r="C30" t="n">
        <v>288.40315</v>
      </c>
      <c r="D30" s="11" t="inlineStr">
        <is>
          <t>Jellyfish</t>
        </is>
      </c>
      <c r="E30" t="n">
        <v>92.758633</v>
      </c>
      <c r="F30" t="n">
        <v>100</v>
      </c>
      <c r="G30" t="n">
        <v>42.488496</v>
      </c>
      <c r="H30" t="n">
        <v>40.364071</v>
      </c>
      <c r="I30" t="n">
        <v>0</v>
      </c>
      <c r="J30" t="n">
        <v>5.855218</v>
      </c>
      <c r="K30" t="n">
        <v>0</v>
      </c>
      <c r="L30" t="n">
        <v>0</v>
      </c>
      <c r="M30" t="n">
        <v>0</v>
      </c>
      <c r="N30" t="n">
        <v>0</v>
      </c>
      <c r="O30" t="n">
        <v>27.992074</v>
      </c>
      <c r="P30" t="n">
        <v>17.312674</v>
      </c>
      <c r="W30" t="n">
        <v>28.633264</v>
      </c>
      <c r="X30" t="n">
        <v>0</v>
      </c>
      <c r="Y30" t="n">
        <v>19.639386</v>
      </c>
      <c r="Z30" t="n">
        <v>18.657416</v>
      </c>
    </row>
    <row r="31" ht="21" customHeight="1">
      <c r="A31" t="inlineStr">
        <is>
          <t>Scomberomorus guttatus</t>
        </is>
      </c>
      <c r="B31" t="n">
        <v>4.28</v>
      </c>
      <c r="C31" t="n">
        <v>1905.460718</v>
      </c>
      <c r="D31" s="11" t="inlineStr">
        <is>
          <t>Scomberomorus</t>
        </is>
      </c>
      <c r="E31" t="n">
        <v>92.758633</v>
      </c>
      <c r="F31" t="n">
        <v>729.447588</v>
      </c>
      <c r="G31" t="n">
        <v>214.222773</v>
      </c>
      <c r="H31" t="n">
        <v>444.290446</v>
      </c>
      <c r="I31" t="n">
        <v>234.170666</v>
      </c>
      <c r="J31" t="n">
        <v>234.170666</v>
      </c>
      <c r="K31" t="n">
        <v>222.462132</v>
      </c>
      <c r="L31" t="n">
        <v>510.434635</v>
      </c>
      <c r="M31" t="n">
        <v>510.434635</v>
      </c>
      <c r="N31" t="n">
        <v>537.808771</v>
      </c>
      <c r="O31" t="n">
        <v>191.217924</v>
      </c>
      <c r="P31" t="n">
        <v>85.80764499999999</v>
      </c>
      <c r="W31" t="n">
        <v>201.393966</v>
      </c>
      <c r="X31" t="n">
        <v>601.019559</v>
      </c>
      <c r="Y31" t="n">
        <v>70.97555</v>
      </c>
      <c r="Z31" t="n">
        <v>108.592819</v>
      </c>
    </row>
    <row r="32" ht="21" customHeight="1">
      <c r="A32" t="inlineStr">
        <is>
          <t>Sparidae</t>
        </is>
      </c>
      <c r="B32" t="n">
        <v>3.31</v>
      </c>
      <c r="C32" t="n">
        <v>204.173794</v>
      </c>
      <c r="D32" s="11" t="inlineStr">
        <is>
          <t>Med.dem.benth.</t>
        </is>
      </c>
      <c r="E32" t="n">
        <v>92.758633</v>
      </c>
      <c r="F32" t="n">
        <v>274.243815</v>
      </c>
      <c r="G32" t="n">
        <v>96.59934699999999</v>
      </c>
      <c r="H32" t="n">
        <v>166.63869</v>
      </c>
      <c r="I32" t="n">
        <v>215.944796</v>
      </c>
      <c r="J32" t="n">
        <v>215.944796</v>
      </c>
      <c r="K32" t="n">
        <v>193.300587</v>
      </c>
      <c r="L32" t="n">
        <v>664.022909</v>
      </c>
      <c r="M32" t="n">
        <v>664.022909</v>
      </c>
      <c r="N32" t="n">
        <v>702.550582</v>
      </c>
      <c r="O32" t="n">
        <v>105.870272</v>
      </c>
      <c r="P32" t="n">
        <v>53.740614</v>
      </c>
      <c r="W32" t="n">
        <v>108.869834</v>
      </c>
      <c r="X32" t="n">
        <v>799.677877</v>
      </c>
      <c r="Y32" t="n">
        <v>37.70608</v>
      </c>
      <c r="Z32" t="n">
        <v>51.4265</v>
      </c>
    </row>
    <row r="33" ht="21" customHeight="1">
      <c r="A33" t="inlineStr">
        <is>
          <t>Megalaspis cordyla</t>
        </is>
      </c>
      <c r="B33" t="n">
        <v>4.24</v>
      </c>
      <c r="C33" t="n">
        <v>1737.800829</v>
      </c>
      <c r="D33" s="11" t="inlineStr">
        <is>
          <t>Scad</t>
        </is>
      </c>
      <c r="E33" t="n">
        <v>92.758633</v>
      </c>
      <c r="F33" t="n">
        <v>301.410165</v>
      </c>
      <c r="G33" t="n">
        <v>104.320796</v>
      </c>
      <c r="H33" t="n">
        <v>168.748505</v>
      </c>
      <c r="I33" t="n">
        <v>90.39104399999999</v>
      </c>
      <c r="J33" t="n">
        <v>90.39104399999999</v>
      </c>
      <c r="K33" t="n">
        <v>85.87149100000001</v>
      </c>
      <c r="L33" t="n">
        <v>191.130934</v>
      </c>
      <c r="M33" t="n">
        <v>191.130934</v>
      </c>
      <c r="N33" t="n">
        <v>201.174951</v>
      </c>
      <c r="O33" t="n">
        <v>76.25161799999999</v>
      </c>
      <c r="P33" t="n">
        <v>39.003755</v>
      </c>
      <c r="W33" t="n">
        <v>79.580185</v>
      </c>
      <c r="X33" t="n">
        <v>220.35084</v>
      </c>
      <c r="Y33" t="n">
        <v>40.080591</v>
      </c>
      <c r="Z33" t="n">
        <v>53.018386</v>
      </c>
    </row>
    <row r="34" ht="21" customHeight="1">
      <c r="A34" t="inlineStr">
        <is>
          <t>Mugilidae</t>
        </is>
      </c>
      <c r="B34" t="n">
        <v>2.53</v>
      </c>
      <c r="C34" t="n">
        <v>33.884416</v>
      </c>
      <c r="D34" s="11" t="inlineStr">
        <is>
          <t>O.fish</t>
        </is>
      </c>
      <c r="E34" t="n">
        <v>92.758633</v>
      </c>
      <c r="F34" t="n">
        <v>41.788101</v>
      </c>
      <c r="G34" t="n">
        <v>20.881264</v>
      </c>
      <c r="H34" t="n">
        <v>52.028891</v>
      </c>
      <c r="I34" t="n">
        <v>48.21537</v>
      </c>
      <c r="J34" t="n">
        <v>48.21537</v>
      </c>
      <c r="K34" t="n">
        <v>48.150458</v>
      </c>
      <c r="L34" t="n">
        <v>135.960121</v>
      </c>
      <c r="M34" t="n">
        <v>135.960121</v>
      </c>
      <c r="N34" t="n">
        <v>143.850985</v>
      </c>
      <c r="O34" t="n">
        <v>31.644149</v>
      </c>
      <c r="P34" t="n">
        <v>18.19469</v>
      </c>
      <c r="W34" t="n">
        <v>32.429472</v>
      </c>
      <c r="X34" t="n">
        <v>163.410873</v>
      </c>
      <c r="Y34" t="n">
        <v>11.171569</v>
      </c>
      <c r="Z34" t="n">
        <v>19.389776</v>
      </c>
    </row>
    <row r="35" ht="21" customHeight="1">
      <c r="A35" t="inlineStr">
        <is>
          <t>Thunnus tonggol</t>
        </is>
      </c>
      <c r="B35" t="n">
        <v>4.5</v>
      </c>
      <c r="C35" t="n">
        <v>3162.27766</v>
      </c>
      <c r="D35" s="11" t="inlineStr">
        <is>
          <t>Tuna</t>
        </is>
      </c>
      <c r="E35" t="n">
        <v>92.758633</v>
      </c>
      <c r="F35" t="n">
        <v>1217.891849</v>
      </c>
      <c r="G35" t="n">
        <v>325.165267</v>
      </c>
      <c r="H35" t="n">
        <v>703.930824</v>
      </c>
      <c r="I35" t="n">
        <v>327.693492</v>
      </c>
      <c r="J35" t="n">
        <v>327.693492</v>
      </c>
      <c r="K35" t="n">
        <v>311.308817</v>
      </c>
      <c r="L35" t="n">
        <v>675.870038</v>
      </c>
      <c r="M35" t="n">
        <v>675.870038</v>
      </c>
      <c r="N35" t="n">
        <v>710.633419</v>
      </c>
      <c r="O35" t="n">
        <v>254.942405</v>
      </c>
      <c r="P35" t="n">
        <v>107.862693</v>
      </c>
      <c r="W35" t="n">
        <v>271.503704</v>
      </c>
      <c r="X35" t="n">
        <v>791.598393</v>
      </c>
      <c r="Y35" t="n">
        <v>98.86518</v>
      </c>
      <c r="Z35" t="n">
        <v>153.001145</v>
      </c>
    </row>
    <row r="36" ht="21" customHeight="1">
      <c r="A36" t="inlineStr">
        <is>
          <t>Selaroides leptolepis</t>
        </is>
      </c>
      <c r="B36" t="n">
        <v>3.84</v>
      </c>
      <c r="C36" t="n">
        <v>691.830971</v>
      </c>
      <c r="D36" s="11" t="inlineStr">
        <is>
          <t>Scad</t>
        </is>
      </c>
      <c r="E36" t="n">
        <v>92.758633</v>
      </c>
      <c r="F36" t="n">
        <v>301.410165</v>
      </c>
      <c r="G36" t="n">
        <v>104.320796</v>
      </c>
      <c r="H36" t="n">
        <v>168.748505</v>
      </c>
      <c r="I36" t="n">
        <v>90.39104399999999</v>
      </c>
      <c r="J36" t="n">
        <v>90.39104399999999</v>
      </c>
      <c r="K36" t="n">
        <v>85.87149100000001</v>
      </c>
      <c r="L36" t="n">
        <v>191.130934</v>
      </c>
      <c r="M36" t="n">
        <v>191.130934</v>
      </c>
      <c r="N36" t="n">
        <v>201.174951</v>
      </c>
      <c r="O36" t="n">
        <v>76.25161799999999</v>
      </c>
      <c r="P36" t="n">
        <v>39.003755</v>
      </c>
      <c r="W36" t="n">
        <v>79.580185</v>
      </c>
      <c r="X36" t="n">
        <v>220.35084</v>
      </c>
      <c r="Y36" t="n">
        <v>40.080591</v>
      </c>
      <c r="Z36" t="n">
        <v>53.018386</v>
      </c>
    </row>
    <row r="37" ht="21" customHeight="1">
      <c r="A37" t="inlineStr">
        <is>
          <t>Dendrobranchiata</t>
        </is>
      </c>
      <c r="B37" t="n">
        <v>3.24</v>
      </c>
      <c r="C37" t="n">
        <v>173.780083</v>
      </c>
      <c r="D37" s="11" t="inlineStr">
        <is>
          <t>Shrimps</t>
        </is>
      </c>
      <c r="E37" t="n">
        <v>92.758633</v>
      </c>
      <c r="F37" t="n">
        <v>24.936879</v>
      </c>
      <c r="G37" t="n">
        <v>13.715732</v>
      </c>
      <c r="H37" t="n">
        <v>39.542201</v>
      </c>
      <c r="I37" t="n">
        <v>39.345557</v>
      </c>
      <c r="J37" t="n">
        <v>39.345557</v>
      </c>
      <c r="K37" t="n">
        <v>37.378279</v>
      </c>
      <c r="L37" t="n">
        <v>110.883242</v>
      </c>
      <c r="M37" t="n">
        <v>110.883242</v>
      </c>
      <c r="N37" t="n">
        <v>118.086052</v>
      </c>
      <c r="O37" t="n">
        <v>26.876504</v>
      </c>
      <c r="P37" t="n">
        <v>16.79886</v>
      </c>
      <c r="W37" t="n">
        <v>27.610867</v>
      </c>
      <c r="X37" t="n">
        <v>134.234083</v>
      </c>
      <c r="Y37" t="n">
        <v>8.001064</v>
      </c>
      <c r="Z37" t="n">
        <v>14.97557</v>
      </c>
    </row>
    <row r="38" ht="21" customHeight="1">
      <c r="A38" t="inlineStr">
        <is>
          <t>Ariidae</t>
        </is>
      </c>
      <c r="B38" t="n">
        <v>3.48</v>
      </c>
      <c r="C38" t="n">
        <v>301.995172</v>
      </c>
      <c r="D38" s="11" t="inlineStr">
        <is>
          <t>Med.dem.benth.</t>
        </is>
      </c>
      <c r="E38" t="n">
        <v>92.758633</v>
      </c>
      <c r="F38" t="n">
        <v>274.243815</v>
      </c>
      <c r="G38" t="n">
        <v>96.59934699999999</v>
      </c>
      <c r="H38" t="n">
        <v>166.63869</v>
      </c>
      <c r="I38" t="n">
        <v>215.944796</v>
      </c>
      <c r="J38" t="n">
        <v>215.944796</v>
      </c>
      <c r="K38" t="n">
        <v>193.300587</v>
      </c>
      <c r="L38" t="n">
        <v>664.022909</v>
      </c>
      <c r="M38" t="n">
        <v>664.022909</v>
      </c>
      <c r="N38" t="n">
        <v>702.550582</v>
      </c>
      <c r="O38" t="n">
        <v>105.870272</v>
      </c>
      <c r="P38" t="n">
        <v>53.740614</v>
      </c>
      <c r="W38" t="n">
        <v>108.869834</v>
      </c>
      <c r="X38" t="n">
        <v>799.677877</v>
      </c>
      <c r="Y38" t="n">
        <v>37.70608</v>
      </c>
      <c r="Z38" t="n">
        <v>51.4265</v>
      </c>
    </row>
    <row r="39" ht="21" customHeight="1">
      <c r="A39" t="inlineStr">
        <is>
          <t>Scomberomorus</t>
        </is>
      </c>
      <c r="B39" t="n">
        <v>4.35</v>
      </c>
      <c r="C39" t="n">
        <v>2238.721139</v>
      </c>
      <c r="D39" s="11" t="inlineStr">
        <is>
          <t>Scomberomorus</t>
        </is>
      </c>
      <c r="E39" t="n">
        <v>92.758633</v>
      </c>
      <c r="F39" t="n">
        <v>729.447588</v>
      </c>
      <c r="G39" t="n">
        <v>214.222773</v>
      </c>
      <c r="H39" t="n">
        <v>444.290446</v>
      </c>
      <c r="I39" t="n">
        <v>234.170666</v>
      </c>
      <c r="J39" t="n">
        <v>234.170666</v>
      </c>
      <c r="K39" t="n">
        <v>222.462132</v>
      </c>
      <c r="L39" t="n">
        <v>510.434635</v>
      </c>
      <c r="M39" t="n">
        <v>510.434635</v>
      </c>
      <c r="N39" t="n">
        <v>537.808771</v>
      </c>
      <c r="O39" t="n">
        <v>191.217924</v>
      </c>
      <c r="P39" t="n">
        <v>85.80764499999999</v>
      </c>
      <c r="W39" t="n">
        <v>201.393966</v>
      </c>
      <c r="X39" t="n">
        <v>601.019559</v>
      </c>
      <c r="Y39" t="n">
        <v>70.97555</v>
      </c>
      <c r="Z39" t="n">
        <v>108.592819</v>
      </c>
    </row>
    <row r="40" ht="21" customHeight="1">
      <c r="A40" t="inlineStr">
        <is>
          <t>Priacanthidae</t>
        </is>
      </c>
      <c r="B40" t="n">
        <v>3.79</v>
      </c>
      <c r="C40" t="n">
        <v>616.595002</v>
      </c>
      <c r="D40" s="11" t="inlineStr">
        <is>
          <t>Sm.dem.pisc.</t>
        </is>
      </c>
      <c r="E40" t="n">
        <v>92.758633</v>
      </c>
      <c r="F40" t="n">
        <v>197.409669</v>
      </c>
      <c r="G40" t="n">
        <v>73.916488</v>
      </c>
      <c r="H40" t="n">
        <v>154.823545</v>
      </c>
      <c r="I40" t="n">
        <v>115.690597</v>
      </c>
      <c r="J40" t="n">
        <v>115.690597</v>
      </c>
      <c r="K40" t="n">
        <v>113.409335</v>
      </c>
      <c r="L40" t="n">
        <v>329.659655</v>
      </c>
      <c r="M40" t="n">
        <v>329.659655</v>
      </c>
      <c r="N40" t="n">
        <v>349.391819</v>
      </c>
      <c r="O40" t="n">
        <v>73.656982</v>
      </c>
      <c r="P40" t="n">
        <v>38.008692</v>
      </c>
      <c r="W40" t="n">
        <v>76.063031</v>
      </c>
      <c r="X40" t="n">
        <v>403.967718</v>
      </c>
      <c r="Y40" t="n">
        <v>30.486142</v>
      </c>
      <c r="Z40" t="n">
        <v>45.747918</v>
      </c>
    </row>
    <row r="41" ht="21" customHeight="1">
      <c r="A41" t="inlineStr">
        <is>
          <t>Octopodidae</t>
        </is>
      </c>
      <c r="B41" t="n">
        <v>3.59</v>
      </c>
      <c r="C41" t="n">
        <v>389.045145</v>
      </c>
      <c r="D41" s="11" t="inlineStr">
        <is>
          <t>Cephalopods</t>
        </is>
      </c>
      <c r="E41" t="n">
        <v>92.758633</v>
      </c>
      <c r="F41" t="n">
        <v>207.108363</v>
      </c>
      <c r="G41" t="n">
        <v>76.859779</v>
      </c>
      <c r="H41" t="n">
        <v>153.276012</v>
      </c>
      <c r="I41" t="n">
        <v>121.77284</v>
      </c>
      <c r="J41" t="n">
        <v>121.77284</v>
      </c>
      <c r="K41" t="n">
        <v>118.23963</v>
      </c>
      <c r="L41" t="n">
        <v>349.557692</v>
      </c>
      <c r="M41" t="n">
        <v>349.557692</v>
      </c>
      <c r="N41" t="n">
        <v>370.254323</v>
      </c>
      <c r="O41" t="n">
        <v>98.097358</v>
      </c>
      <c r="P41" t="n">
        <v>49.643681</v>
      </c>
      <c r="W41" t="n">
        <v>100.957994</v>
      </c>
      <c r="X41" t="n">
        <v>407.059034</v>
      </c>
      <c r="Y41" t="n">
        <v>31.446324</v>
      </c>
      <c r="Z41" t="n">
        <v>45.753688</v>
      </c>
    </row>
    <row r="42" ht="21" customHeight="1">
      <c r="A42" t="inlineStr">
        <is>
          <t>Clupeidae</t>
        </is>
      </c>
      <c r="B42" t="n">
        <v>3.16</v>
      </c>
      <c r="C42" t="n">
        <v>144.543977</v>
      </c>
      <c r="D42" s="11" t="inlineStr">
        <is>
          <t>Sm. pelagics</t>
        </is>
      </c>
      <c r="E42" t="n">
        <v>92.758633</v>
      </c>
      <c r="F42" t="n">
        <v>79.432823</v>
      </c>
      <c r="G42" t="n">
        <v>35.22555</v>
      </c>
      <c r="H42" t="n">
        <v>36.979496</v>
      </c>
      <c r="I42" t="n">
        <v>22.609246</v>
      </c>
      <c r="J42" t="n">
        <v>22.609246</v>
      </c>
      <c r="K42" t="n">
        <v>21.478784</v>
      </c>
      <c r="L42" t="n">
        <v>30.239099</v>
      </c>
      <c r="M42" t="n">
        <v>30.239099</v>
      </c>
      <c r="N42" t="n">
        <v>31.345103</v>
      </c>
      <c r="O42" t="n">
        <v>25.592867</v>
      </c>
      <c r="P42" t="n">
        <v>15.901406</v>
      </c>
      <c r="W42" t="n">
        <v>26.701358</v>
      </c>
      <c r="X42" t="n">
        <v>32.392065</v>
      </c>
      <c r="Y42" t="n">
        <v>16.922772</v>
      </c>
      <c r="Z42" t="n">
        <v>17.234838</v>
      </c>
    </row>
    <row r="43" ht="21" customHeight="1">
      <c r="A43" t="inlineStr">
        <is>
          <t>Sergestidae</t>
        </is>
      </c>
      <c r="B43" t="n">
        <v>2.93</v>
      </c>
      <c r="C43" t="n">
        <v>85.113804</v>
      </c>
      <c r="D43" s="11" t="inlineStr">
        <is>
          <t>Shrimps</t>
        </is>
      </c>
      <c r="E43" t="n">
        <v>92.758633</v>
      </c>
      <c r="F43" t="n">
        <v>24.936879</v>
      </c>
      <c r="G43" t="n">
        <v>13.715732</v>
      </c>
      <c r="H43" t="n">
        <v>39.542201</v>
      </c>
      <c r="I43" t="n">
        <v>39.345557</v>
      </c>
      <c r="J43" t="n">
        <v>39.345557</v>
      </c>
      <c r="K43" t="n">
        <v>37.378279</v>
      </c>
      <c r="L43" t="n">
        <v>110.883242</v>
      </c>
      <c r="M43" t="n">
        <v>110.883242</v>
      </c>
      <c r="N43" t="n">
        <v>118.086052</v>
      </c>
      <c r="O43" t="n">
        <v>26.876504</v>
      </c>
      <c r="P43" t="n">
        <v>16.79886</v>
      </c>
      <c r="W43" t="n">
        <v>27.610867</v>
      </c>
      <c r="X43" t="n">
        <v>134.234083</v>
      </c>
      <c r="Y43" t="n">
        <v>8.001064</v>
      </c>
      <c r="Z43" t="n">
        <v>14.97557</v>
      </c>
    </row>
    <row r="44" ht="21" customHeight="1">
      <c r="A44" t="inlineStr">
        <is>
          <t>Alepes</t>
        </is>
      </c>
      <c r="B44" t="n">
        <v>3.32</v>
      </c>
      <c r="C44" t="n">
        <v>208.929613</v>
      </c>
      <c r="D44" s="11" t="inlineStr">
        <is>
          <t>Scad</t>
        </is>
      </c>
      <c r="E44" t="n">
        <v>92.758633</v>
      </c>
      <c r="F44" t="n">
        <v>301.410165</v>
      </c>
      <c r="G44" t="n">
        <v>104.320796</v>
      </c>
      <c r="H44" t="n">
        <v>168.748505</v>
      </c>
      <c r="I44" t="n">
        <v>90.39104399999999</v>
      </c>
      <c r="J44" t="n">
        <v>90.39104399999999</v>
      </c>
      <c r="K44" t="n">
        <v>85.87149100000001</v>
      </c>
      <c r="L44" t="n">
        <v>191.130934</v>
      </c>
      <c r="M44" t="n">
        <v>191.130934</v>
      </c>
      <c r="N44" t="n">
        <v>201.174951</v>
      </c>
      <c r="O44" t="n">
        <v>76.25161799999999</v>
      </c>
      <c r="P44" t="n">
        <v>39.003755</v>
      </c>
      <c r="W44" t="n">
        <v>79.580185</v>
      </c>
      <c r="X44" t="n">
        <v>220.35084</v>
      </c>
      <c r="Y44" t="n">
        <v>40.080591</v>
      </c>
      <c r="Z44" t="n">
        <v>53.018386</v>
      </c>
    </row>
    <row r="45" ht="21" customHeight="1">
      <c r="A45" t="inlineStr">
        <is>
          <t>Selar crumenophthalmus</t>
        </is>
      </c>
      <c r="B45" t="n">
        <v>3.81</v>
      </c>
      <c r="C45" t="n">
        <v>645.654229</v>
      </c>
      <c r="D45" s="11" t="inlineStr">
        <is>
          <t>Scad</t>
        </is>
      </c>
      <c r="E45" t="n">
        <v>92.758633</v>
      </c>
      <c r="F45" t="n">
        <v>301.410165</v>
      </c>
      <c r="G45" t="n">
        <v>104.320796</v>
      </c>
      <c r="H45" t="n">
        <v>168.748505</v>
      </c>
      <c r="I45" t="n">
        <v>90.39104399999999</v>
      </c>
      <c r="J45" t="n">
        <v>90.39104399999999</v>
      </c>
      <c r="K45" t="n">
        <v>85.87149100000001</v>
      </c>
      <c r="L45" t="n">
        <v>191.130934</v>
      </c>
      <c r="M45" t="n">
        <v>191.130934</v>
      </c>
      <c r="N45" t="n">
        <v>201.174951</v>
      </c>
      <c r="O45" t="n">
        <v>76.25161799999999</v>
      </c>
      <c r="P45" t="n">
        <v>39.003755</v>
      </c>
      <c r="W45" t="n">
        <v>79.580185</v>
      </c>
      <c r="X45" t="n">
        <v>220.35084</v>
      </c>
      <c r="Y45" t="n">
        <v>40.080591</v>
      </c>
      <c r="Z45" t="n">
        <v>53.018386</v>
      </c>
    </row>
    <row r="46" ht="21" customHeight="1">
      <c r="A46" t="inlineStr">
        <is>
          <t>Penaeus merguiensis</t>
        </is>
      </c>
      <c r="B46" t="n">
        <v>3.77</v>
      </c>
      <c r="C46" t="n">
        <v>588.843655</v>
      </c>
      <c r="D46" s="11" t="inlineStr">
        <is>
          <t>Shrimps</t>
        </is>
      </c>
      <c r="E46" t="n">
        <v>92.758633</v>
      </c>
      <c r="F46" t="n">
        <v>24.936879</v>
      </c>
      <c r="G46" t="n">
        <v>13.715732</v>
      </c>
      <c r="H46" t="n">
        <v>39.542201</v>
      </c>
      <c r="I46" t="n">
        <v>39.345557</v>
      </c>
      <c r="J46" t="n">
        <v>39.345557</v>
      </c>
      <c r="K46" t="n">
        <v>37.378279</v>
      </c>
      <c r="L46" t="n">
        <v>110.883242</v>
      </c>
      <c r="M46" t="n">
        <v>110.883242</v>
      </c>
      <c r="N46" t="n">
        <v>118.086052</v>
      </c>
      <c r="O46" t="n">
        <v>26.876504</v>
      </c>
      <c r="P46" t="n">
        <v>16.79886</v>
      </c>
      <c r="W46" t="n">
        <v>27.610867</v>
      </c>
      <c r="X46" t="n">
        <v>134.234083</v>
      </c>
      <c r="Y46" t="n">
        <v>8.001064</v>
      </c>
      <c r="Z46" t="n">
        <v>14.97557</v>
      </c>
    </row>
    <row r="47" ht="21" customHeight="1">
      <c r="A47" t="inlineStr">
        <is>
          <t>Metapenaeus</t>
        </is>
      </c>
      <c r="B47" t="n">
        <v>2.7</v>
      </c>
      <c r="C47" t="n">
        <v>50.118723</v>
      </c>
      <c r="D47" s="11" t="inlineStr">
        <is>
          <t>Shrimps</t>
        </is>
      </c>
      <c r="E47" t="n">
        <v>92.758633</v>
      </c>
      <c r="F47" t="n">
        <v>24.936879</v>
      </c>
      <c r="G47" t="n">
        <v>13.715732</v>
      </c>
      <c r="H47" t="n">
        <v>39.542201</v>
      </c>
      <c r="I47" t="n">
        <v>39.345557</v>
      </c>
      <c r="J47" t="n">
        <v>39.345557</v>
      </c>
      <c r="K47" t="n">
        <v>37.378279</v>
      </c>
      <c r="L47" t="n">
        <v>110.883242</v>
      </c>
      <c r="M47" t="n">
        <v>110.883242</v>
      </c>
      <c r="N47" t="n">
        <v>118.086052</v>
      </c>
      <c r="O47" t="n">
        <v>26.876504</v>
      </c>
      <c r="P47" t="n">
        <v>16.79886</v>
      </c>
      <c r="W47" t="n">
        <v>27.610867</v>
      </c>
      <c r="X47" t="n">
        <v>134.234083</v>
      </c>
      <c r="Y47" t="n">
        <v>8.001064</v>
      </c>
      <c r="Z47" t="n">
        <v>14.97557</v>
      </c>
    </row>
    <row r="48" ht="21" customHeight="1">
      <c r="A48" t="inlineStr">
        <is>
          <t>Apogonidae</t>
        </is>
      </c>
      <c r="B48" t="n">
        <v>3.54</v>
      </c>
      <c r="C48" t="n">
        <v>346.73685</v>
      </c>
      <c r="D48" s="11" t="inlineStr">
        <is>
          <t>Sm.dem.benth.</t>
        </is>
      </c>
      <c r="E48" t="n">
        <v>92.758633</v>
      </c>
      <c r="F48" t="n">
        <v>135.946622</v>
      </c>
      <c r="G48" t="n">
        <v>54.557109</v>
      </c>
      <c r="H48" t="n">
        <v>104.458273</v>
      </c>
      <c r="I48" t="n">
        <v>106.771533</v>
      </c>
      <c r="J48" t="n">
        <v>106.771533</v>
      </c>
      <c r="K48" t="n">
        <v>89.978955</v>
      </c>
      <c r="L48" t="n">
        <v>308.045854</v>
      </c>
      <c r="M48" t="n">
        <v>308.045854</v>
      </c>
      <c r="N48" t="n">
        <v>325.959633</v>
      </c>
      <c r="O48" t="n">
        <v>56.685005</v>
      </c>
      <c r="P48" t="n">
        <v>30.438514</v>
      </c>
      <c r="W48" t="n">
        <v>58.087916</v>
      </c>
      <c r="X48" t="n">
        <v>369.109424</v>
      </c>
      <c r="Y48" t="n">
        <v>23.952956</v>
      </c>
      <c r="Z48" t="n">
        <v>34.558123</v>
      </c>
    </row>
    <row r="49" ht="21" customHeight="1">
      <c r="A49" t="inlineStr">
        <is>
          <t>Mollusca</t>
        </is>
      </c>
      <c r="B49" t="n">
        <v>2.1</v>
      </c>
      <c r="C49" t="n">
        <v>12.589254</v>
      </c>
      <c r="D49" s="11" t="inlineStr">
        <is>
          <t>Molluscs | Cephalopods</t>
        </is>
      </c>
      <c r="E49" t="n">
        <v>92.758633</v>
      </c>
      <c r="F49" t="n">
        <v>128.198835</v>
      </c>
      <c r="G49" t="n">
        <v>49.061723</v>
      </c>
      <c r="H49" t="n">
        <v>95.51975</v>
      </c>
      <c r="I49" t="n">
        <v>75.146252</v>
      </c>
      <c r="J49" t="n">
        <v>75.146252</v>
      </c>
      <c r="K49" t="n">
        <v>72.70934200000001</v>
      </c>
      <c r="L49" t="n">
        <v>209.690372</v>
      </c>
      <c r="M49" t="n">
        <v>209.690372</v>
      </c>
      <c r="N49" t="n">
        <v>221.955054</v>
      </c>
      <c r="O49" t="n">
        <v>61.254534</v>
      </c>
      <c r="P49" t="n">
        <v>31.646534</v>
      </c>
      <c r="W49" t="n">
        <v>62.996562</v>
      </c>
      <c r="X49" t="n">
        <v>243.718075</v>
      </c>
      <c r="Y49" t="n">
        <v>20.934787</v>
      </c>
      <c r="Z49" t="n">
        <v>29.878948</v>
      </c>
    </row>
    <row r="50" ht="21" customHeight="1">
      <c r="A50" t="inlineStr">
        <is>
          <t>Trichiurus lepturus</t>
        </is>
      </c>
      <c r="B50" t="n">
        <v>4.42</v>
      </c>
      <c r="C50" t="n">
        <v>2630.267992</v>
      </c>
      <c r="D50" s="11" t="inlineStr">
        <is>
          <t>Juv.Lg.Pisciv. | Lg. piscivores</t>
        </is>
      </c>
      <c r="E50" t="n">
        <v>92.758633</v>
      </c>
      <c r="F50" t="n">
        <v>629.8141419999999</v>
      </c>
      <c r="G50" t="n">
        <v>190.080993</v>
      </c>
      <c r="H50" t="n">
        <v>480.632956</v>
      </c>
      <c r="I50" t="n">
        <v>315.097689</v>
      </c>
      <c r="J50" t="n">
        <v>315.097689</v>
      </c>
      <c r="K50" t="n">
        <v>292.632358</v>
      </c>
      <c r="L50" t="n">
        <v>806.383997</v>
      </c>
      <c r="M50" t="n">
        <v>806.383997</v>
      </c>
      <c r="N50" t="n">
        <v>851.766221</v>
      </c>
      <c r="O50" t="n">
        <v>204.799662</v>
      </c>
      <c r="P50" t="n">
        <v>89.620936</v>
      </c>
      <c r="W50" t="n">
        <v>213.690011</v>
      </c>
      <c r="X50" t="n">
        <v>962.931199</v>
      </c>
      <c r="Y50" t="n">
        <v>64.546074</v>
      </c>
      <c r="Z50" t="n">
        <v>110.616316</v>
      </c>
    </row>
    <row r="51" ht="21" customHeight="1">
      <c r="A51" t="inlineStr">
        <is>
          <t>Euthynnus affinis</t>
        </is>
      </c>
      <c r="B51" t="n">
        <v>4.5</v>
      </c>
      <c r="C51" t="n">
        <v>3162.27766</v>
      </c>
      <c r="D51" s="11" t="inlineStr">
        <is>
          <t>Tuna</t>
        </is>
      </c>
      <c r="E51" t="n">
        <v>92.758633</v>
      </c>
      <c r="F51" t="n">
        <v>1217.891849</v>
      </c>
      <c r="G51" t="n">
        <v>325.165267</v>
      </c>
      <c r="H51" t="n">
        <v>703.930824</v>
      </c>
      <c r="I51" t="n">
        <v>327.693492</v>
      </c>
      <c r="J51" t="n">
        <v>327.693492</v>
      </c>
      <c r="K51" t="n">
        <v>311.308817</v>
      </c>
      <c r="L51" t="n">
        <v>675.870038</v>
      </c>
      <c r="M51" t="n">
        <v>675.870038</v>
      </c>
      <c r="N51" t="n">
        <v>710.633419</v>
      </c>
      <c r="O51" t="n">
        <v>254.942405</v>
      </c>
      <c r="P51" t="n">
        <v>107.862693</v>
      </c>
      <c r="W51" t="n">
        <v>271.503704</v>
      </c>
      <c r="X51" t="n">
        <v>791.598393</v>
      </c>
      <c r="Y51" t="n">
        <v>98.86518</v>
      </c>
      <c r="Z51" t="n">
        <v>153.001145</v>
      </c>
    </row>
    <row r="52" ht="21" customHeight="1">
      <c r="A52" t="inlineStr">
        <is>
          <t>Mullidae</t>
        </is>
      </c>
      <c r="B52" t="n">
        <v>3.46</v>
      </c>
      <c r="C52" t="n">
        <v>288.40315</v>
      </c>
      <c r="D52" s="11" t="inlineStr">
        <is>
          <t>Med.dem.benth.</t>
        </is>
      </c>
      <c r="E52" t="n">
        <v>92.758633</v>
      </c>
      <c r="F52" t="n">
        <v>274.243815</v>
      </c>
      <c r="G52" t="n">
        <v>96.59934699999999</v>
      </c>
      <c r="H52" t="n">
        <v>166.63869</v>
      </c>
      <c r="I52" t="n">
        <v>215.944796</v>
      </c>
      <c r="J52" t="n">
        <v>215.944796</v>
      </c>
      <c r="K52" t="n">
        <v>193.300587</v>
      </c>
      <c r="L52" t="n">
        <v>664.022909</v>
      </c>
      <c r="M52" t="n">
        <v>664.022909</v>
      </c>
      <c r="N52" t="n">
        <v>702.550582</v>
      </c>
      <c r="O52" t="n">
        <v>105.870272</v>
      </c>
      <c r="P52" t="n">
        <v>53.740614</v>
      </c>
      <c r="W52" t="n">
        <v>108.869834</v>
      </c>
      <c r="X52" t="n">
        <v>799.677877</v>
      </c>
      <c r="Y52" t="n">
        <v>37.70608</v>
      </c>
      <c r="Z52" t="n">
        <v>51.4265</v>
      </c>
    </row>
    <row r="53" ht="21" customHeight="1">
      <c r="A53" t="inlineStr">
        <is>
          <t>Batoidea</t>
        </is>
      </c>
      <c r="B53" t="n">
        <v>3.72</v>
      </c>
      <c r="C53" t="n">
        <v>524.80746</v>
      </c>
      <c r="D53" s="11" t="inlineStr">
        <is>
          <t>Rays</t>
        </is>
      </c>
      <c r="E53" t="n">
        <v>92.758633</v>
      </c>
      <c r="F53" t="n">
        <v>212.350179</v>
      </c>
      <c r="G53" t="n">
        <v>78.43981700000001</v>
      </c>
      <c r="H53" t="n">
        <v>150.198585</v>
      </c>
      <c r="I53" t="n">
        <v>190.421399</v>
      </c>
      <c r="J53" t="n">
        <v>190.421399</v>
      </c>
      <c r="K53" t="n">
        <v>181.353722</v>
      </c>
      <c r="L53" t="n">
        <v>590.0073</v>
      </c>
      <c r="M53" t="n">
        <v>590.0073</v>
      </c>
      <c r="N53" t="n">
        <v>624.45599</v>
      </c>
      <c r="O53" t="n">
        <v>98.99208</v>
      </c>
      <c r="P53" t="n">
        <v>50.910468</v>
      </c>
      <c r="W53" t="n">
        <v>103.810463</v>
      </c>
      <c r="X53" t="n">
        <v>714.522996</v>
      </c>
      <c r="Y53" t="n">
        <v>31.958644</v>
      </c>
      <c r="Z53" t="n">
        <v>47.110524</v>
      </c>
    </row>
    <row r="54" ht="21" customHeight="1">
      <c r="A54" t="inlineStr">
        <is>
          <t>Sphyraena</t>
        </is>
      </c>
      <c r="B54" t="n">
        <v>4.4</v>
      </c>
      <c r="C54" t="n">
        <v>2511.886432</v>
      </c>
      <c r="D54" s="11" t="inlineStr">
        <is>
          <t>Juv.Lg.Pisciv. | Lg. piscivores</t>
        </is>
      </c>
      <c r="E54" t="n">
        <v>92.758633</v>
      </c>
      <c r="F54" t="n">
        <v>629.8141419999999</v>
      </c>
      <c r="G54" t="n">
        <v>190.080993</v>
      </c>
      <c r="H54" t="n">
        <v>480.632956</v>
      </c>
      <c r="I54" t="n">
        <v>315.097689</v>
      </c>
      <c r="J54" t="n">
        <v>315.097689</v>
      </c>
      <c r="K54" t="n">
        <v>292.632358</v>
      </c>
      <c r="L54" t="n">
        <v>806.383997</v>
      </c>
      <c r="M54" t="n">
        <v>806.383997</v>
      </c>
      <c r="N54" t="n">
        <v>851.766221</v>
      </c>
      <c r="O54" t="n">
        <v>204.799662</v>
      </c>
      <c r="P54" t="n">
        <v>89.620936</v>
      </c>
      <c r="W54" t="n">
        <v>213.690011</v>
      </c>
      <c r="X54" t="n">
        <v>962.931199</v>
      </c>
      <c r="Y54" t="n">
        <v>64.546074</v>
      </c>
      <c r="Z54" t="n">
        <v>110.616316</v>
      </c>
    </row>
    <row r="55" ht="21" customHeight="1">
      <c r="A55" t="inlineStr">
        <is>
          <t>Modiolus</t>
        </is>
      </c>
      <c r="B55" t="n">
        <v>2</v>
      </c>
      <c r="C55" t="n">
        <v>10</v>
      </c>
      <c r="D55" s="11" t="inlineStr">
        <is>
          <t>Molluscs</t>
        </is>
      </c>
      <c r="E55" t="n">
        <v>92.758633</v>
      </c>
      <c r="F55" t="n">
        <v>15.848932</v>
      </c>
      <c r="G55" t="n">
        <v>9.483373</v>
      </c>
      <c r="H55" t="n">
        <v>13.28747</v>
      </c>
      <c r="I55" t="n">
        <v>8.760194</v>
      </c>
      <c r="J55" t="n">
        <v>8.760194</v>
      </c>
      <c r="K55" t="n">
        <v>7.884174</v>
      </c>
      <c r="L55" t="n">
        <v>10.549912</v>
      </c>
      <c r="M55" t="n">
        <v>10.549912</v>
      </c>
      <c r="N55" t="n">
        <v>10.809345</v>
      </c>
      <c r="O55" t="n">
        <v>8.798415</v>
      </c>
      <c r="P55" t="n">
        <v>6.022535</v>
      </c>
      <c r="W55" t="n">
        <v>8.947789999999999</v>
      </c>
      <c r="X55" t="n">
        <v>11.156289</v>
      </c>
      <c r="Y55" t="n">
        <v>5.968659</v>
      </c>
      <c r="Z55" t="n">
        <v>7.276791</v>
      </c>
    </row>
    <row r="56" ht="36" customHeight="1">
      <c r="A56" t="inlineStr">
        <is>
          <t>Scombroidei</t>
        </is>
      </c>
      <c r="B56" t="n">
        <v>4.2</v>
      </c>
      <c r="C56" t="n">
        <v>1584.893192</v>
      </c>
      <c r="D56" s="11" t="inlineStr">
        <is>
          <t>Juv.Lg.Pisciv. | Lg. piscivores | Mackerel | Scomberomorus | Tuna</t>
        </is>
      </c>
      <c r="E56" t="n">
        <v>92.758633</v>
      </c>
      <c r="F56" t="n">
        <v>382.657039</v>
      </c>
      <c r="G56" t="n">
        <v>116.554337</v>
      </c>
      <c r="H56" t="n">
        <v>238.234382</v>
      </c>
      <c r="I56" t="n">
        <v>132.801846</v>
      </c>
      <c r="J56" t="n">
        <v>132.801846</v>
      </c>
      <c r="K56" t="n">
        <v>125.032654</v>
      </c>
      <c r="L56" t="n">
        <v>293.821966</v>
      </c>
      <c r="M56" t="n">
        <v>293.821966</v>
      </c>
      <c r="N56" t="n">
        <v>309.460675</v>
      </c>
      <c r="O56" t="n">
        <v>102.386435</v>
      </c>
      <c r="P56" t="n">
        <v>47.431086</v>
      </c>
      <c r="W56" t="n">
        <v>107.67973</v>
      </c>
      <c r="X56" t="n">
        <v>345.739357</v>
      </c>
      <c r="Y56" t="n">
        <v>40.977681</v>
      </c>
      <c r="Z56" t="n">
        <v>59.744711</v>
      </c>
    </row>
    <row r="57" ht="21" customHeight="1">
      <c r="A57" t="inlineStr">
        <is>
          <t>Lutjanidae</t>
        </is>
      </c>
      <c r="B57" t="n">
        <v>4.02</v>
      </c>
      <c r="C57" t="n">
        <v>1047.128548</v>
      </c>
      <c r="D57" s="11" t="inlineStr">
        <is>
          <t>Grouper/snapper | Juv. groupers</t>
        </is>
      </c>
      <c r="E57" t="n">
        <v>92.758633</v>
      </c>
      <c r="F57" t="n">
        <v>729.665396</v>
      </c>
      <c r="G57" t="n">
        <v>214.274848</v>
      </c>
      <c r="H57" t="n">
        <v>601.521613</v>
      </c>
      <c r="I57" t="n">
        <v>458.291515</v>
      </c>
      <c r="J57" t="n">
        <v>458.291515</v>
      </c>
      <c r="K57" t="n">
        <v>404.883308</v>
      </c>
      <c r="L57" t="n">
        <v>1297.204135</v>
      </c>
      <c r="M57" t="n">
        <v>1297.204135</v>
      </c>
      <c r="N57" t="n">
        <v>1373.024947</v>
      </c>
      <c r="O57" t="n">
        <v>262.162033</v>
      </c>
      <c r="P57" t="n">
        <v>111.742313</v>
      </c>
      <c r="W57" t="n">
        <v>273.908931</v>
      </c>
      <c r="X57" t="n">
        <v>1584.887607</v>
      </c>
      <c r="Y57" t="n">
        <v>70.98925199999999</v>
      </c>
      <c r="Z57" t="n">
        <v>131.686727</v>
      </c>
    </row>
    <row r="58" ht="21" customHeight="1">
      <c r="A58" t="inlineStr">
        <is>
          <t>Saurida tumbil</t>
        </is>
      </c>
      <c r="B58" t="n">
        <v>4.4</v>
      </c>
      <c r="C58" t="n">
        <v>2511.886432</v>
      </c>
      <c r="D58" s="11" t="inlineStr">
        <is>
          <t>Med.dem.pisc.</t>
        </is>
      </c>
      <c r="E58" t="n">
        <v>92.758633</v>
      </c>
      <c r="F58" t="n">
        <v>213.954708</v>
      </c>
      <c r="G58" t="n">
        <v>78.922014</v>
      </c>
      <c r="H58" t="n">
        <v>192.983472</v>
      </c>
      <c r="I58" t="n">
        <v>158.091504</v>
      </c>
      <c r="J58" t="n">
        <v>158.091504</v>
      </c>
      <c r="K58" t="n">
        <v>155.980707</v>
      </c>
      <c r="L58" t="n">
        <v>445.224589</v>
      </c>
      <c r="M58" t="n">
        <v>445.224589</v>
      </c>
      <c r="N58" t="n">
        <v>471.516338</v>
      </c>
      <c r="O58" t="n">
        <v>104.595857</v>
      </c>
      <c r="P58" t="n">
        <v>51.592439</v>
      </c>
      <c r="W58" t="n">
        <v>108.487387</v>
      </c>
      <c r="X58" t="n">
        <v>535.009173</v>
      </c>
      <c r="Y58" t="n">
        <v>32.114569</v>
      </c>
      <c r="Z58" t="n">
        <v>52.467555</v>
      </c>
    </row>
    <row r="59" ht="21" customHeight="1">
      <c r="A59" t="inlineStr">
        <is>
          <t>Scolopsis</t>
        </is>
      </c>
      <c r="B59" t="n">
        <v>3.3</v>
      </c>
      <c r="C59" t="n">
        <v>199.526231</v>
      </c>
      <c r="D59" s="11" t="inlineStr">
        <is>
          <t>Med.dem.benth.</t>
        </is>
      </c>
      <c r="E59" t="n">
        <v>92.758633</v>
      </c>
      <c r="F59" t="n">
        <v>274.243815</v>
      </c>
      <c r="G59" t="n">
        <v>96.59934699999999</v>
      </c>
      <c r="H59" t="n">
        <v>166.63869</v>
      </c>
      <c r="I59" t="n">
        <v>215.944796</v>
      </c>
      <c r="J59" t="n">
        <v>215.944796</v>
      </c>
      <c r="K59" t="n">
        <v>193.300587</v>
      </c>
      <c r="L59" t="n">
        <v>664.022909</v>
      </c>
      <c r="M59" t="n">
        <v>664.022909</v>
      </c>
      <c r="N59" t="n">
        <v>702.550582</v>
      </c>
      <c r="O59" t="n">
        <v>105.870272</v>
      </c>
      <c r="P59" t="n">
        <v>53.740614</v>
      </c>
      <c r="W59" t="n">
        <v>108.869834</v>
      </c>
      <c r="X59" t="n">
        <v>799.677877</v>
      </c>
      <c r="Y59" t="n">
        <v>37.70608</v>
      </c>
      <c r="Z59" t="n">
        <v>51.4265</v>
      </c>
    </row>
    <row r="60" ht="21" customHeight="1">
      <c r="A60" t="inlineStr">
        <is>
          <t>Sepia</t>
        </is>
      </c>
      <c r="B60" t="n">
        <v>3.69</v>
      </c>
      <c r="C60" t="n">
        <v>489.778819</v>
      </c>
      <c r="D60" s="11" t="inlineStr">
        <is>
          <t>Cephalopods</t>
        </is>
      </c>
      <c r="E60" t="n">
        <v>92.758633</v>
      </c>
      <c r="F60" t="n">
        <v>207.108363</v>
      </c>
      <c r="G60" t="n">
        <v>76.859779</v>
      </c>
      <c r="H60" t="n">
        <v>153.276012</v>
      </c>
      <c r="I60" t="n">
        <v>121.77284</v>
      </c>
      <c r="J60" t="n">
        <v>121.77284</v>
      </c>
      <c r="K60" t="n">
        <v>118.23963</v>
      </c>
      <c r="L60" t="n">
        <v>349.557692</v>
      </c>
      <c r="M60" t="n">
        <v>349.557692</v>
      </c>
      <c r="N60" t="n">
        <v>370.254323</v>
      </c>
      <c r="O60" t="n">
        <v>98.097358</v>
      </c>
      <c r="P60" t="n">
        <v>49.643681</v>
      </c>
      <c r="W60" t="n">
        <v>100.957994</v>
      </c>
      <c r="X60" t="n">
        <v>407.059034</v>
      </c>
      <c r="Y60" t="n">
        <v>31.446324</v>
      </c>
      <c r="Z60" t="n">
        <v>45.753688</v>
      </c>
    </row>
    <row r="61" ht="21" customHeight="1">
      <c r="A61" t="inlineStr">
        <is>
          <t>Portunus</t>
        </is>
      </c>
      <c r="B61" t="n">
        <v>3.26</v>
      </c>
      <c r="C61" t="n">
        <v>181.970086</v>
      </c>
      <c r="D61" s="11" t="inlineStr">
        <is>
          <t>Crab, lobster</t>
        </is>
      </c>
      <c r="E61" t="n">
        <v>92.758633</v>
      </c>
      <c r="F61" t="n">
        <v>55.221127</v>
      </c>
      <c r="G61" t="n">
        <v>26.200528</v>
      </c>
      <c r="H61" t="n">
        <v>80.616586</v>
      </c>
      <c r="I61" t="n">
        <v>96.283275</v>
      </c>
      <c r="J61" t="n">
        <v>96.283275</v>
      </c>
      <c r="K61" t="n">
        <v>82.59048</v>
      </c>
      <c r="L61" t="n">
        <v>295.897518</v>
      </c>
      <c r="M61" t="n">
        <v>295.897518</v>
      </c>
      <c r="N61" t="n">
        <v>313.590452</v>
      </c>
      <c r="O61" t="n">
        <v>47.292261</v>
      </c>
      <c r="P61" t="n">
        <v>26.133043</v>
      </c>
      <c r="W61" t="n">
        <v>48.215972</v>
      </c>
      <c r="X61" t="n">
        <v>354.467589</v>
      </c>
      <c r="Y61" t="n">
        <v>13.377731</v>
      </c>
      <c r="Z61" t="n">
        <v>27.235027</v>
      </c>
    </row>
    <row r="62" ht="21" customHeight="1">
      <c r="A62" t="inlineStr">
        <is>
          <t>Parastromateus niger</t>
        </is>
      </c>
      <c r="B62" t="n">
        <v>2.93</v>
      </c>
      <c r="C62" t="n">
        <v>85.113804</v>
      </c>
      <c r="D62" s="11" t="inlineStr">
        <is>
          <t>Med.dem.benth.</t>
        </is>
      </c>
      <c r="E62" t="n">
        <v>92.758633</v>
      </c>
      <c r="F62" t="n">
        <v>274.243815</v>
      </c>
      <c r="G62" t="n">
        <v>96.59934699999999</v>
      </c>
      <c r="H62" t="n">
        <v>166.63869</v>
      </c>
      <c r="I62" t="n">
        <v>215.944796</v>
      </c>
      <c r="J62" t="n">
        <v>215.944796</v>
      </c>
      <c r="K62" t="n">
        <v>193.300587</v>
      </c>
      <c r="L62" t="n">
        <v>664.022909</v>
      </c>
      <c r="M62" t="n">
        <v>664.022909</v>
      </c>
      <c r="N62" t="n">
        <v>702.550582</v>
      </c>
      <c r="O62" t="n">
        <v>105.870272</v>
      </c>
      <c r="P62" t="n">
        <v>53.740614</v>
      </c>
      <c r="W62" t="n">
        <v>108.869834</v>
      </c>
      <c r="X62" t="n">
        <v>799.677877</v>
      </c>
      <c r="Y62" t="n">
        <v>37.70608</v>
      </c>
      <c r="Z62" t="n">
        <v>51.4265</v>
      </c>
    </row>
    <row r="63" ht="21" customHeight="1">
      <c r="A63" t="inlineStr">
        <is>
          <t>Himantura</t>
        </is>
      </c>
      <c r="B63" t="n">
        <v>3.85</v>
      </c>
      <c r="C63" t="n">
        <v>707.945784</v>
      </c>
      <c r="D63" s="11" t="inlineStr">
        <is>
          <t>Rays</t>
        </is>
      </c>
      <c r="E63" t="n">
        <v>92.758633</v>
      </c>
      <c r="F63" t="n">
        <v>212.350179</v>
      </c>
      <c r="G63" t="n">
        <v>78.43981700000001</v>
      </c>
      <c r="H63" t="n">
        <v>150.198585</v>
      </c>
      <c r="I63" t="n">
        <v>190.421399</v>
      </c>
      <c r="J63" t="n">
        <v>190.421399</v>
      </c>
      <c r="K63" t="n">
        <v>181.353722</v>
      </c>
      <c r="L63" t="n">
        <v>590.0073</v>
      </c>
      <c r="M63" t="n">
        <v>590.0073</v>
      </c>
      <c r="N63" t="n">
        <v>624.45599</v>
      </c>
      <c r="O63" t="n">
        <v>98.99208</v>
      </c>
      <c r="P63" t="n">
        <v>50.910468</v>
      </c>
      <c r="W63" t="n">
        <v>103.810463</v>
      </c>
      <c r="X63" t="n">
        <v>714.522996</v>
      </c>
      <c r="Y63" t="n">
        <v>31.958644</v>
      </c>
      <c r="Z63" t="n">
        <v>47.110524</v>
      </c>
    </row>
    <row r="64" ht="21" customHeight="1">
      <c r="A64" t="inlineStr">
        <is>
          <t>Acetes</t>
        </is>
      </c>
      <c r="B64" t="n">
        <v>2.7</v>
      </c>
      <c r="C64" t="n">
        <v>50.118723</v>
      </c>
      <c r="D64" s="11" t="inlineStr">
        <is>
          <t>Shrimps</t>
        </is>
      </c>
      <c r="E64" t="n">
        <v>92.758633</v>
      </c>
      <c r="F64" t="n">
        <v>24.936879</v>
      </c>
      <c r="G64" t="n">
        <v>13.715732</v>
      </c>
      <c r="H64" t="n">
        <v>39.542201</v>
      </c>
      <c r="I64" t="n">
        <v>39.345557</v>
      </c>
      <c r="J64" t="n">
        <v>39.345557</v>
      </c>
      <c r="K64" t="n">
        <v>37.378279</v>
      </c>
      <c r="L64" t="n">
        <v>110.883242</v>
      </c>
      <c r="M64" t="n">
        <v>110.883242</v>
      </c>
      <c r="N64" t="n">
        <v>118.086052</v>
      </c>
      <c r="O64" t="n">
        <v>26.876504</v>
      </c>
      <c r="P64" t="n">
        <v>16.79886</v>
      </c>
      <c r="W64" t="n">
        <v>27.610867</v>
      </c>
      <c r="X64" t="n">
        <v>134.234083</v>
      </c>
      <c r="Y64" t="n">
        <v>8.001064</v>
      </c>
      <c r="Z64" t="n">
        <v>14.97557</v>
      </c>
    </row>
    <row r="65" ht="21" customHeight="1">
      <c r="A65" t="inlineStr">
        <is>
          <t>Pennahia</t>
        </is>
      </c>
      <c r="B65" t="n">
        <v>3.73</v>
      </c>
      <c r="C65" t="n">
        <v>537.031796</v>
      </c>
      <c r="D65" s="11" t="inlineStr">
        <is>
          <t>Med.dem.pisc.</t>
        </is>
      </c>
      <c r="E65" t="n">
        <v>92.758633</v>
      </c>
      <c r="F65" t="n">
        <v>213.954708</v>
      </c>
      <c r="G65" t="n">
        <v>78.922014</v>
      </c>
      <c r="H65" t="n">
        <v>192.983472</v>
      </c>
      <c r="I65" t="n">
        <v>158.091504</v>
      </c>
      <c r="J65" t="n">
        <v>158.091504</v>
      </c>
      <c r="K65" t="n">
        <v>155.980707</v>
      </c>
      <c r="L65" t="n">
        <v>445.224589</v>
      </c>
      <c r="M65" t="n">
        <v>445.224589</v>
      </c>
      <c r="N65" t="n">
        <v>471.516338</v>
      </c>
      <c r="O65" t="n">
        <v>104.595857</v>
      </c>
      <c r="P65" t="n">
        <v>51.592439</v>
      </c>
      <c r="W65" t="n">
        <v>108.487387</v>
      </c>
      <c r="X65" t="n">
        <v>535.009173</v>
      </c>
      <c r="Y65" t="n">
        <v>32.114569</v>
      </c>
      <c r="Z65" t="n">
        <v>52.467555</v>
      </c>
    </row>
    <row r="66" ht="21" customHeight="1">
      <c r="A66" t="inlineStr">
        <is>
          <t>Metapenaeus tenuipes</t>
        </is>
      </c>
      <c r="B66" t="n">
        <v>3.39</v>
      </c>
      <c r="C66" t="n">
        <v>245.470892</v>
      </c>
      <c r="D66" s="11" t="inlineStr">
        <is>
          <t>Shrimps</t>
        </is>
      </c>
      <c r="E66" t="n">
        <v>92.758633</v>
      </c>
      <c r="F66" t="n">
        <v>24.936879</v>
      </c>
      <c r="G66" t="n">
        <v>13.715732</v>
      </c>
      <c r="H66" t="n">
        <v>39.542201</v>
      </c>
      <c r="I66" t="n">
        <v>39.345557</v>
      </c>
      <c r="J66" t="n">
        <v>39.345557</v>
      </c>
      <c r="K66" t="n">
        <v>37.378279</v>
      </c>
      <c r="L66" t="n">
        <v>110.883242</v>
      </c>
      <c r="M66" t="n">
        <v>110.883242</v>
      </c>
      <c r="N66" t="n">
        <v>118.086052</v>
      </c>
      <c r="O66" t="n">
        <v>26.876504</v>
      </c>
      <c r="P66" t="n">
        <v>16.79886</v>
      </c>
      <c r="W66" t="n">
        <v>27.610867</v>
      </c>
      <c r="X66" t="n">
        <v>134.234083</v>
      </c>
      <c r="Y66" t="n">
        <v>8.001064</v>
      </c>
      <c r="Z66" t="n">
        <v>14.97557</v>
      </c>
    </row>
    <row r="67" ht="21" customHeight="1">
      <c r="A67" t="inlineStr">
        <is>
          <t>Metapenaeus affinis</t>
        </is>
      </c>
      <c r="B67" t="n">
        <v>3.44</v>
      </c>
      <c r="C67" t="n">
        <v>275.42287</v>
      </c>
      <c r="D67" s="11" t="inlineStr">
        <is>
          <t>Shrimps</t>
        </is>
      </c>
      <c r="E67" t="n">
        <v>92.758633</v>
      </c>
      <c r="F67" t="n">
        <v>24.936879</v>
      </c>
      <c r="G67" t="n">
        <v>13.715732</v>
      </c>
      <c r="H67" t="n">
        <v>39.542201</v>
      </c>
      <c r="I67" t="n">
        <v>39.345557</v>
      </c>
      <c r="J67" t="n">
        <v>39.345557</v>
      </c>
      <c r="K67" t="n">
        <v>37.378279</v>
      </c>
      <c r="L67" t="n">
        <v>110.883242</v>
      </c>
      <c r="M67" t="n">
        <v>110.883242</v>
      </c>
      <c r="N67" t="n">
        <v>118.086052</v>
      </c>
      <c r="O67" t="n">
        <v>26.876504</v>
      </c>
      <c r="P67" t="n">
        <v>16.79886</v>
      </c>
      <c r="W67" t="n">
        <v>27.610867</v>
      </c>
      <c r="X67" t="n">
        <v>134.234083</v>
      </c>
      <c r="Y67" t="n">
        <v>8.001064</v>
      </c>
      <c r="Z67" t="n">
        <v>14.97557</v>
      </c>
    </row>
    <row r="68" ht="21" customHeight="1">
      <c r="A68" t="inlineStr">
        <is>
          <t>Atule mate</t>
        </is>
      </c>
      <c r="B68" t="n">
        <v>4.22</v>
      </c>
      <c r="C68" t="n">
        <v>1659.586907</v>
      </c>
      <c r="D68" s="11" t="inlineStr">
        <is>
          <t>Scad</t>
        </is>
      </c>
      <c r="E68" t="n">
        <v>92.758633</v>
      </c>
      <c r="F68" t="n">
        <v>301.410165</v>
      </c>
      <c r="G68" t="n">
        <v>104.320796</v>
      </c>
      <c r="H68" t="n">
        <v>168.748505</v>
      </c>
      <c r="I68" t="n">
        <v>90.39104399999999</v>
      </c>
      <c r="J68" t="n">
        <v>90.39104399999999</v>
      </c>
      <c r="K68" t="n">
        <v>85.87149100000001</v>
      </c>
      <c r="L68" t="n">
        <v>191.130934</v>
      </c>
      <c r="M68" t="n">
        <v>191.130934</v>
      </c>
      <c r="N68" t="n">
        <v>201.174951</v>
      </c>
      <c r="O68" t="n">
        <v>76.25161799999999</v>
      </c>
      <c r="P68" t="n">
        <v>39.003755</v>
      </c>
      <c r="W68" t="n">
        <v>79.580185</v>
      </c>
      <c r="X68" t="n">
        <v>220.35084</v>
      </c>
      <c r="Y68" t="n">
        <v>40.080591</v>
      </c>
      <c r="Z68" t="n">
        <v>53.018386</v>
      </c>
    </row>
    <row r="69" ht="21" customHeight="1">
      <c r="A69" t="inlineStr">
        <is>
          <t>Chirocentrus dorab</t>
        </is>
      </c>
      <c r="B69" t="n">
        <v>4.2</v>
      </c>
      <c r="C69" t="n">
        <v>1584.893192</v>
      </c>
      <c r="D69" s="11" t="inlineStr">
        <is>
          <t>Juv.Lg.Pisciv. | Lg. piscivores</t>
        </is>
      </c>
      <c r="E69" t="n">
        <v>92.758633</v>
      </c>
      <c r="F69" t="n">
        <v>629.8141419999999</v>
      </c>
      <c r="G69" t="n">
        <v>190.080993</v>
      </c>
      <c r="H69" t="n">
        <v>480.632956</v>
      </c>
      <c r="I69" t="n">
        <v>315.097689</v>
      </c>
      <c r="J69" t="n">
        <v>315.097689</v>
      </c>
      <c r="K69" t="n">
        <v>292.632358</v>
      </c>
      <c r="L69" t="n">
        <v>806.383997</v>
      </c>
      <c r="M69" t="n">
        <v>806.383997</v>
      </c>
      <c r="N69" t="n">
        <v>851.766221</v>
      </c>
      <c r="O69" t="n">
        <v>204.799662</v>
      </c>
      <c r="P69" t="n">
        <v>89.620936</v>
      </c>
      <c r="W69" t="n">
        <v>213.690011</v>
      </c>
      <c r="X69" t="n">
        <v>962.931199</v>
      </c>
      <c r="Y69" t="n">
        <v>64.546074</v>
      </c>
      <c r="Z69" t="n">
        <v>110.616316</v>
      </c>
    </row>
    <row r="70" ht="21" customHeight="1">
      <c r="A70" t="inlineStr">
        <is>
          <t>Elasmobranchii</t>
        </is>
      </c>
      <c r="B70" t="n">
        <v>4.05</v>
      </c>
      <c r="C70" t="n">
        <v>1122.018454</v>
      </c>
      <c r="D70" s="11" t="inlineStr">
        <is>
          <t>Sharks | Juv. sharks | Rays</t>
        </is>
      </c>
      <c r="E70" t="n">
        <v>92.758633</v>
      </c>
      <c r="F70" t="n">
        <v>212.350179</v>
      </c>
      <c r="G70" t="n">
        <v>78.43981700000001</v>
      </c>
      <c r="H70" t="n">
        <v>150.198585</v>
      </c>
      <c r="I70" t="n">
        <v>190.421399</v>
      </c>
      <c r="J70" t="n">
        <v>190.421399</v>
      </c>
      <c r="K70" t="n">
        <v>181.353722</v>
      </c>
      <c r="L70" t="n">
        <v>590.0073</v>
      </c>
      <c r="M70" t="n">
        <v>590.0073</v>
      </c>
      <c r="N70" t="n">
        <v>624.45599</v>
      </c>
      <c r="O70" t="n">
        <v>98.99208</v>
      </c>
      <c r="P70" t="n">
        <v>50.910468</v>
      </c>
      <c r="W70" t="n">
        <v>103.810463</v>
      </c>
      <c r="X70" t="n">
        <v>714.522996</v>
      </c>
      <c r="Y70" t="n">
        <v>31.958644</v>
      </c>
      <c r="Z70" t="n">
        <v>47.110524</v>
      </c>
    </row>
    <row r="71" ht="21" customHeight="1">
      <c r="A71" t="inlineStr">
        <is>
          <t>Sillago</t>
        </is>
      </c>
      <c r="B71" t="n">
        <v>3.33</v>
      </c>
      <c r="C71" t="n">
        <v>213.796209</v>
      </c>
      <c r="D71" s="11" t="inlineStr">
        <is>
          <t>Med.dem.benth.</t>
        </is>
      </c>
      <c r="E71" t="n">
        <v>92.758633</v>
      </c>
      <c r="F71" t="n">
        <v>274.243815</v>
      </c>
      <c r="G71" t="n">
        <v>96.59934699999999</v>
      </c>
      <c r="H71" t="n">
        <v>166.63869</v>
      </c>
      <c r="I71" t="n">
        <v>215.944796</v>
      </c>
      <c r="J71" t="n">
        <v>215.944796</v>
      </c>
      <c r="K71" t="n">
        <v>193.300587</v>
      </c>
      <c r="L71" t="n">
        <v>664.022909</v>
      </c>
      <c r="M71" t="n">
        <v>664.022909</v>
      </c>
      <c r="N71" t="n">
        <v>702.550582</v>
      </c>
      <c r="O71" t="n">
        <v>105.870272</v>
      </c>
      <c r="P71" t="n">
        <v>53.740614</v>
      </c>
      <c r="W71" t="n">
        <v>108.869834</v>
      </c>
      <c r="X71" t="n">
        <v>799.677877</v>
      </c>
      <c r="Y71" t="n">
        <v>37.70608</v>
      </c>
      <c r="Z71" t="n">
        <v>51.4265</v>
      </c>
    </row>
    <row r="72" ht="21" customHeight="1">
      <c r="A72" t="inlineStr">
        <is>
          <t>Psettodes erumei</t>
        </is>
      </c>
      <c r="B72" t="n">
        <v>4.39</v>
      </c>
      <c r="C72" t="n">
        <v>2454.708916</v>
      </c>
      <c r="D72" s="11" t="inlineStr">
        <is>
          <t>Med.dem.pisc.</t>
        </is>
      </c>
      <c r="E72" t="n">
        <v>92.758633</v>
      </c>
      <c r="F72" t="n">
        <v>213.954708</v>
      </c>
      <c r="G72" t="n">
        <v>78.922014</v>
      </c>
      <c r="H72" t="n">
        <v>192.983472</v>
      </c>
      <c r="I72" t="n">
        <v>158.091504</v>
      </c>
      <c r="J72" t="n">
        <v>158.091504</v>
      </c>
      <c r="K72" t="n">
        <v>155.980707</v>
      </c>
      <c r="L72" t="n">
        <v>445.224589</v>
      </c>
      <c r="M72" t="n">
        <v>445.224589</v>
      </c>
      <c r="N72" t="n">
        <v>471.516338</v>
      </c>
      <c r="O72" t="n">
        <v>104.595857</v>
      </c>
      <c r="P72" t="n">
        <v>51.592439</v>
      </c>
      <c r="W72" t="n">
        <v>108.487387</v>
      </c>
      <c r="X72" t="n">
        <v>535.009173</v>
      </c>
      <c r="Y72" t="n">
        <v>32.114569</v>
      </c>
      <c r="Z72" t="n">
        <v>52.467555</v>
      </c>
    </row>
    <row r="73" ht="21" customHeight="1">
      <c r="A73" t="inlineStr">
        <is>
          <t>Serranidae</t>
        </is>
      </c>
      <c r="B73" t="n">
        <v>3.98</v>
      </c>
      <c r="C73" t="n">
        <v>954.992586</v>
      </c>
      <c r="D73" s="11" t="inlineStr">
        <is>
          <t>Grouper/snapper | Juv. groupers</t>
        </is>
      </c>
      <c r="E73" t="n">
        <v>92.758633</v>
      </c>
      <c r="F73" t="n">
        <v>729.665396</v>
      </c>
      <c r="G73" t="n">
        <v>214.274848</v>
      </c>
      <c r="H73" t="n">
        <v>601.521613</v>
      </c>
      <c r="I73" t="n">
        <v>458.291515</v>
      </c>
      <c r="J73" t="n">
        <v>458.291515</v>
      </c>
      <c r="K73" t="n">
        <v>404.883308</v>
      </c>
      <c r="L73" t="n">
        <v>1297.204135</v>
      </c>
      <c r="M73" t="n">
        <v>1297.204135</v>
      </c>
      <c r="N73" t="n">
        <v>1373.024947</v>
      </c>
      <c r="O73" t="n">
        <v>262.162033</v>
      </c>
      <c r="P73" t="n">
        <v>111.742313</v>
      </c>
      <c r="W73" t="n">
        <v>273.908931</v>
      </c>
      <c r="X73" t="n">
        <v>1584.887607</v>
      </c>
      <c r="Y73" t="n">
        <v>70.98925199999999</v>
      </c>
      <c r="Z73" t="n">
        <v>131.686727</v>
      </c>
    </row>
    <row r="74" ht="21" customHeight="1">
      <c r="A74" t="inlineStr">
        <is>
          <t>Chirocentrus</t>
        </is>
      </c>
      <c r="B74" t="n">
        <v>4.3</v>
      </c>
      <c r="C74" t="n">
        <v>1995.262315</v>
      </c>
      <c r="D74" s="11" t="inlineStr">
        <is>
          <t>Juv.Lg.Pisciv. | Lg. piscivores</t>
        </is>
      </c>
      <c r="E74" t="n">
        <v>92.758633</v>
      </c>
      <c r="F74" t="n">
        <v>629.8141419999999</v>
      </c>
      <c r="G74" t="n">
        <v>190.080993</v>
      </c>
      <c r="H74" t="n">
        <v>480.632956</v>
      </c>
      <c r="I74" t="n">
        <v>315.097689</v>
      </c>
      <c r="J74" t="n">
        <v>315.097689</v>
      </c>
      <c r="K74" t="n">
        <v>292.632358</v>
      </c>
      <c r="L74" t="n">
        <v>806.383997</v>
      </c>
      <c r="M74" t="n">
        <v>806.383997</v>
      </c>
      <c r="N74" t="n">
        <v>851.766221</v>
      </c>
      <c r="O74" t="n">
        <v>204.799662</v>
      </c>
      <c r="P74" t="n">
        <v>89.620936</v>
      </c>
      <c r="W74" t="n">
        <v>213.690011</v>
      </c>
      <c r="X74" t="n">
        <v>962.931199</v>
      </c>
      <c r="Y74" t="n">
        <v>64.546074</v>
      </c>
      <c r="Z74" t="n">
        <v>110.616316</v>
      </c>
    </row>
    <row r="75" ht="21" customHeight="1">
      <c r="A75" t="inlineStr">
        <is>
          <t>Epinephelus</t>
        </is>
      </c>
      <c r="B75" t="n">
        <v>3.84</v>
      </c>
      <c r="C75" t="n">
        <v>691.830971</v>
      </c>
      <c r="D75" s="11" t="inlineStr">
        <is>
          <t>Grouper/snapper | Juv. groupers</t>
        </is>
      </c>
      <c r="E75" t="n">
        <v>92.758633</v>
      </c>
      <c r="F75" t="n">
        <v>729.665396</v>
      </c>
      <c r="G75" t="n">
        <v>214.274848</v>
      </c>
      <c r="H75" t="n">
        <v>601.521613</v>
      </c>
      <c r="I75" t="n">
        <v>458.291515</v>
      </c>
      <c r="J75" t="n">
        <v>458.291515</v>
      </c>
      <c r="K75" t="n">
        <v>404.883308</v>
      </c>
      <c r="L75" t="n">
        <v>1297.204135</v>
      </c>
      <c r="M75" t="n">
        <v>1297.204135</v>
      </c>
      <c r="N75" t="n">
        <v>1373.024947</v>
      </c>
      <c r="O75" t="n">
        <v>262.162033</v>
      </c>
      <c r="P75" t="n">
        <v>111.742313</v>
      </c>
      <c r="W75" t="n">
        <v>273.908931</v>
      </c>
      <c r="X75" t="n">
        <v>1584.887607</v>
      </c>
      <c r="Y75" t="n">
        <v>70.98925199999999</v>
      </c>
      <c r="Z75" t="n">
        <v>131.686727</v>
      </c>
    </row>
    <row r="76" ht="21" customHeight="1">
      <c r="A76" t="inlineStr">
        <is>
          <t>Portunidae</t>
        </is>
      </c>
      <c r="B76" t="n">
        <v>3.56</v>
      </c>
      <c r="C76" t="n">
        <v>363.078055</v>
      </c>
      <c r="D76" s="11" t="inlineStr">
        <is>
          <t>Crab, lobster</t>
        </is>
      </c>
      <c r="E76" t="n">
        <v>92.758633</v>
      </c>
      <c r="F76" t="n">
        <v>55.221127</v>
      </c>
      <c r="G76" t="n">
        <v>26.200528</v>
      </c>
      <c r="H76" t="n">
        <v>80.616586</v>
      </c>
      <c r="I76" t="n">
        <v>96.283275</v>
      </c>
      <c r="J76" t="n">
        <v>96.283275</v>
      </c>
      <c r="K76" t="n">
        <v>82.59048</v>
      </c>
      <c r="L76" t="n">
        <v>295.897518</v>
      </c>
      <c r="M76" t="n">
        <v>295.897518</v>
      </c>
      <c r="N76" t="n">
        <v>313.590452</v>
      </c>
      <c r="O76" t="n">
        <v>47.292261</v>
      </c>
      <c r="P76" t="n">
        <v>26.133043</v>
      </c>
      <c r="W76" t="n">
        <v>48.215972</v>
      </c>
      <c r="X76" t="n">
        <v>354.467589</v>
      </c>
      <c r="Y76" t="n">
        <v>13.377731</v>
      </c>
      <c r="Z76" t="n">
        <v>27.235027</v>
      </c>
    </row>
    <row r="77" ht="21" customHeight="1">
      <c r="A77" t="inlineStr">
        <is>
          <t>Lutjanus malabaricus</t>
        </is>
      </c>
      <c r="D77" s="11" t="inlineStr">
        <is>
          <t>Grouper/snapper | Juv. groupers</t>
        </is>
      </c>
      <c r="E77" t="n">
        <v>92.758633</v>
      </c>
      <c r="F77" t="n">
        <v>729.665396</v>
      </c>
      <c r="G77" t="n">
        <v>214.274848</v>
      </c>
      <c r="H77" t="n">
        <v>601.521613</v>
      </c>
      <c r="I77" t="n">
        <v>458.291515</v>
      </c>
      <c r="J77" t="n">
        <v>458.291515</v>
      </c>
      <c r="K77" t="n">
        <v>404.883308</v>
      </c>
      <c r="L77" t="n">
        <v>1297.204135</v>
      </c>
      <c r="M77" t="n">
        <v>1297.204135</v>
      </c>
      <c r="N77" t="n">
        <v>1373.024947</v>
      </c>
      <c r="O77" t="n">
        <v>262.162033</v>
      </c>
      <c r="P77" t="n">
        <v>111.742313</v>
      </c>
      <c r="W77" t="n">
        <v>273.908931</v>
      </c>
      <c r="X77" t="n">
        <v>1584.887607</v>
      </c>
      <c r="Y77" t="n">
        <v>70.98925199999999</v>
      </c>
      <c r="Z77" t="n">
        <v>131.686727</v>
      </c>
    </row>
    <row r="78" ht="21" customHeight="1">
      <c r="A78" t="inlineStr">
        <is>
          <t>Muraenesox cinereus</t>
        </is>
      </c>
      <c r="B78" t="n">
        <v>4.38</v>
      </c>
      <c r="C78" t="n">
        <v>2398.832919</v>
      </c>
      <c r="D78" s="11" t="inlineStr">
        <is>
          <t>Juv.Lg.Pisciv. | Lg. piscivores</t>
        </is>
      </c>
      <c r="E78" t="n">
        <v>92.758633</v>
      </c>
      <c r="F78" t="n">
        <v>629.8141419999999</v>
      </c>
      <c r="G78" t="n">
        <v>190.080993</v>
      </c>
      <c r="H78" t="n">
        <v>480.632956</v>
      </c>
      <c r="I78" t="n">
        <v>315.097689</v>
      </c>
      <c r="J78" t="n">
        <v>315.097689</v>
      </c>
      <c r="K78" t="n">
        <v>292.632358</v>
      </c>
      <c r="L78" t="n">
        <v>806.383997</v>
      </c>
      <c r="M78" t="n">
        <v>806.383997</v>
      </c>
      <c r="N78" t="n">
        <v>851.766221</v>
      </c>
      <c r="O78" t="n">
        <v>204.799662</v>
      </c>
      <c r="P78" t="n">
        <v>89.620936</v>
      </c>
      <c r="W78" t="n">
        <v>213.690011</v>
      </c>
      <c r="X78" t="n">
        <v>962.931199</v>
      </c>
      <c r="Y78" t="n">
        <v>64.546074</v>
      </c>
      <c r="Z78" t="n">
        <v>110.616316</v>
      </c>
    </row>
    <row r="79" ht="21" customHeight="1">
      <c r="A79" t="inlineStr">
        <is>
          <t>Upeneus</t>
        </is>
      </c>
      <c r="B79" t="n">
        <v>3.54</v>
      </c>
      <c r="C79" t="n">
        <v>346.73685</v>
      </c>
      <c r="D79" s="11" t="inlineStr">
        <is>
          <t>Med.dem.benth.</t>
        </is>
      </c>
      <c r="E79" t="n">
        <v>92.758633</v>
      </c>
      <c r="F79" t="n">
        <v>274.243815</v>
      </c>
      <c r="G79" t="n">
        <v>96.59934699999999</v>
      </c>
      <c r="H79" t="n">
        <v>166.63869</v>
      </c>
      <c r="I79" t="n">
        <v>215.944796</v>
      </c>
      <c r="J79" t="n">
        <v>215.944796</v>
      </c>
      <c r="K79" t="n">
        <v>193.300587</v>
      </c>
      <c r="L79" t="n">
        <v>664.022909</v>
      </c>
      <c r="M79" t="n">
        <v>664.022909</v>
      </c>
      <c r="N79" t="n">
        <v>702.550582</v>
      </c>
      <c r="O79" t="n">
        <v>105.870272</v>
      </c>
      <c r="P79" t="n">
        <v>53.740614</v>
      </c>
      <c r="W79" t="n">
        <v>108.869834</v>
      </c>
      <c r="X79" t="n">
        <v>799.677877</v>
      </c>
      <c r="Y79" t="n">
        <v>37.70608</v>
      </c>
      <c r="Z79" t="n">
        <v>51.4265</v>
      </c>
    </row>
    <row r="80" ht="21" customHeight="1">
      <c r="A80" t="inlineStr">
        <is>
          <t>Gobiidae</t>
        </is>
      </c>
      <c r="B80" t="n">
        <v>3.11</v>
      </c>
      <c r="C80" t="n">
        <v>128.824955</v>
      </c>
      <c r="D80" s="11" t="inlineStr">
        <is>
          <t>Sm.dem.benth.</t>
        </is>
      </c>
      <c r="E80" t="n">
        <v>92.758633</v>
      </c>
      <c r="F80" t="n">
        <v>135.946622</v>
      </c>
      <c r="G80" t="n">
        <v>54.557109</v>
      </c>
      <c r="H80" t="n">
        <v>104.458273</v>
      </c>
      <c r="I80" t="n">
        <v>106.771533</v>
      </c>
      <c r="J80" t="n">
        <v>106.771533</v>
      </c>
      <c r="K80" t="n">
        <v>89.978955</v>
      </c>
      <c r="L80" t="n">
        <v>308.045854</v>
      </c>
      <c r="M80" t="n">
        <v>308.045854</v>
      </c>
      <c r="N80" t="n">
        <v>325.959633</v>
      </c>
      <c r="O80" t="n">
        <v>56.685005</v>
      </c>
      <c r="P80" t="n">
        <v>30.438514</v>
      </c>
      <c r="W80" t="n">
        <v>58.087916</v>
      </c>
      <c r="X80" t="n">
        <v>369.109424</v>
      </c>
      <c r="Y80" t="n">
        <v>23.952956</v>
      </c>
      <c r="Z80" t="n">
        <v>34.558123</v>
      </c>
    </row>
    <row r="81" ht="21" customHeight="1">
      <c r="A81" t="inlineStr">
        <is>
          <t>Penaeus latisulcatus</t>
        </is>
      </c>
      <c r="B81" t="n">
        <v>2.7</v>
      </c>
      <c r="C81" t="n">
        <v>50.118723</v>
      </c>
      <c r="D81" s="11" t="inlineStr">
        <is>
          <t>Shrimps</t>
        </is>
      </c>
      <c r="E81" t="n">
        <v>92.758633</v>
      </c>
      <c r="F81" t="n">
        <v>24.936879</v>
      </c>
      <c r="G81" t="n">
        <v>13.715732</v>
      </c>
      <c r="H81" t="n">
        <v>39.542201</v>
      </c>
      <c r="I81" t="n">
        <v>39.345557</v>
      </c>
      <c r="J81" t="n">
        <v>39.345557</v>
      </c>
      <c r="K81" t="n">
        <v>37.378279</v>
      </c>
      <c r="L81" t="n">
        <v>110.883242</v>
      </c>
      <c r="M81" t="n">
        <v>110.883242</v>
      </c>
      <c r="N81" t="n">
        <v>118.086052</v>
      </c>
      <c r="O81" t="n">
        <v>26.876504</v>
      </c>
      <c r="P81" t="n">
        <v>16.79886</v>
      </c>
      <c r="W81" t="n">
        <v>27.610867</v>
      </c>
      <c r="X81" t="n">
        <v>134.234083</v>
      </c>
      <c r="Y81" t="n">
        <v>8.001064</v>
      </c>
      <c r="Z81" t="n">
        <v>14.97557</v>
      </c>
    </row>
    <row r="82" ht="21" customHeight="1">
      <c r="A82" t="inlineStr">
        <is>
          <t>Sepioteuthis lessoniana</t>
        </is>
      </c>
      <c r="B82" t="n">
        <v>3.98</v>
      </c>
      <c r="C82" t="n">
        <v>954.992586</v>
      </c>
      <c r="D82" s="11" t="inlineStr">
        <is>
          <t>Cephalopods</t>
        </is>
      </c>
      <c r="E82" t="n">
        <v>92.758633</v>
      </c>
      <c r="F82" t="n">
        <v>207.108363</v>
      </c>
      <c r="G82" t="n">
        <v>76.859779</v>
      </c>
      <c r="H82" t="n">
        <v>153.276012</v>
      </c>
      <c r="I82" t="n">
        <v>121.77284</v>
      </c>
      <c r="J82" t="n">
        <v>121.77284</v>
      </c>
      <c r="K82" t="n">
        <v>118.23963</v>
      </c>
      <c r="L82" t="n">
        <v>349.557692</v>
      </c>
      <c r="M82" t="n">
        <v>349.557692</v>
      </c>
      <c r="N82" t="n">
        <v>370.254323</v>
      </c>
      <c r="O82" t="n">
        <v>98.097358</v>
      </c>
      <c r="P82" t="n">
        <v>49.643681</v>
      </c>
      <c r="W82" t="n">
        <v>100.957994</v>
      </c>
      <c r="X82" t="n">
        <v>407.059034</v>
      </c>
      <c r="Y82" t="n">
        <v>31.446324</v>
      </c>
      <c r="Z82" t="n">
        <v>45.753688</v>
      </c>
    </row>
    <row r="83" ht="21" customHeight="1">
      <c r="A83" t="inlineStr">
        <is>
          <t>Pomadasys</t>
        </is>
      </c>
      <c r="B83" t="n">
        <v>3.59</v>
      </c>
      <c r="C83" t="n">
        <v>389.045145</v>
      </c>
      <c r="D83" s="11" t="inlineStr">
        <is>
          <t>Med.dem.benth.</t>
        </is>
      </c>
      <c r="E83" t="n">
        <v>92.758633</v>
      </c>
      <c r="F83" t="n">
        <v>274.243815</v>
      </c>
      <c r="G83" t="n">
        <v>96.59934699999999</v>
      </c>
      <c r="H83" t="n">
        <v>166.63869</v>
      </c>
      <c r="I83" t="n">
        <v>215.944796</v>
      </c>
      <c r="J83" t="n">
        <v>215.944796</v>
      </c>
      <c r="K83" t="n">
        <v>193.300587</v>
      </c>
      <c r="L83" t="n">
        <v>664.022909</v>
      </c>
      <c r="M83" t="n">
        <v>664.022909</v>
      </c>
      <c r="N83" t="n">
        <v>702.550582</v>
      </c>
      <c r="O83" t="n">
        <v>105.870272</v>
      </c>
      <c r="P83" t="n">
        <v>53.740614</v>
      </c>
      <c r="W83" t="n">
        <v>108.869834</v>
      </c>
      <c r="X83" t="n">
        <v>799.677877</v>
      </c>
      <c r="Y83" t="n">
        <v>37.70608</v>
      </c>
      <c r="Z83" t="n">
        <v>51.4265</v>
      </c>
    </row>
    <row r="84" ht="21" customHeight="1">
      <c r="A84" t="inlineStr">
        <is>
          <t>Scylla serrata</t>
        </is>
      </c>
      <c r="B84" t="n">
        <v>3.17</v>
      </c>
      <c r="C84" t="n">
        <v>147.910839</v>
      </c>
      <c r="D84" s="11" t="inlineStr">
        <is>
          <t>Crab, lobster</t>
        </is>
      </c>
      <c r="E84" t="n">
        <v>92.758633</v>
      </c>
      <c r="F84" t="n">
        <v>55.221127</v>
      </c>
      <c r="G84" t="n">
        <v>26.200528</v>
      </c>
      <c r="H84" t="n">
        <v>80.616586</v>
      </c>
      <c r="I84" t="n">
        <v>96.283275</v>
      </c>
      <c r="J84" t="n">
        <v>96.283275</v>
      </c>
      <c r="K84" t="n">
        <v>82.59048</v>
      </c>
      <c r="L84" t="n">
        <v>295.897518</v>
      </c>
      <c r="M84" t="n">
        <v>295.897518</v>
      </c>
      <c r="N84" t="n">
        <v>313.590452</v>
      </c>
      <c r="O84" t="n">
        <v>47.292261</v>
      </c>
      <c r="P84" t="n">
        <v>26.133043</v>
      </c>
      <c r="W84" t="n">
        <v>48.215972</v>
      </c>
      <c r="X84" t="n">
        <v>354.467589</v>
      </c>
      <c r="Y84" t="n">
        <v>13.377731</v>
      </c>
      <c r="Z84" t="n">
        <v>27.235027</v>
      </c>
    </row>
    <row r="85" ht="21" customHeight="1">
      <c r="A85" t="inlineStr">
        <is>
          <t>Balistidae</t>
        </is>
      </c>
      <c r="B85" t="n">
        <v>3.25</v>
      </c>
      <c r="C85" t="n">
        <v>177.827941</v>
      </c>
      <c r="D85" s="11" t="inlineStr">
        <is>
          <t>Med.dem.benth.</t>
        </is>
      </c>
      <c r="E85" t="n">
        <v>92.758633</v>
      </c>
      <c r="F85" t="n">
        <v>274.243815</v>
      </c>
      <c r="G85" t="n">
        <v>96.59934699999999</v>
      </c>
      <c r="H85" t="n">
        <v>166.63869</v>
      </c>
      <c r="I85" t="n">
        <v>215.944796</v>
      </c>
      <c r="J85" t="n">
        <v>215.944796</v>
      </c>
      <c r="K85" t="n">
        <v>193.300587</v>
      </c>
      <c r="L85" t="n">
        <v>664.022909</v>
      </c>
      <c r="M85" t="n">
        <v>664.022909</v>
      </c>
      <c r="N85" t="n">
        <v>702.550582</v>
      </c>
      <c r="O85" t="n">
        <v>105.870272</v>
      </c>
      <c r="P85" t="n">
        <v>53.740614</v>
      </c>
      <c r="W85" t="n">
        <v>108.869834</v>
      </c>
      <c r="X85" t="n">
        <v>799.677877</v>
      </c>
      <c r="Y85" t="n">
        <v>37.70608</v>
      </c>
      <c r="Z85" t="n">
        <v>51.4265</v>
      </c>
    </row>
    <row r="86" ht="21" customHeight="1">
      <c r="A86" t="inlineStr">
        <is>
          <t>Trichiurus</t>
        </is>
      </c>
      <c r="B86" t="n">
        <v>4.42</v>
      </c>
      <c r="C86" t="n">
        <v>2630.267992</v>
      </c>
      <c r="D86" s="11" t="inlineStr">
        <is>
          <t>Juv.Lg.Pisciv. | Lg. piscivores</t>
        </is>
      </c>
      <c r="E86" t="n">
        <v>92.758633</v>
      </c>
      <c r="F86" t="n">
        <v>629.8141419999999</v>
      </c>
      <c r="G86" t="n">
        <v>190.080993</v>
      </c>
      <c r="H86" t="n">
        <v>480.632956</v>
      </c>
      <c r="I86" t="n">
        <v>315.097689</v>
      </c>
      <c r="J86" t="n">
        <v>315.097689</v>
      </c>
      <c r="K86" t="n">
        <v>292.632358</v>
      </c>
      <c r="L86" t="n">
        <v>806.383997</v>
      </c>
      <c r="M86" t="n">
        <v>806.383997</v>
      </c>
      <c r="N86" t="n">
        <v>851.766221</v>
      </c>
      <c r="O86" t="n">
        <v>204.799662</v>
      </c>
      <c r="P86" t="n">
        <v>89.620936</v>
      </c>
      <c r="W86" t="n">
        <v>213.690011</v>
      </c>
      <c r="X86" t="n">
        <v>962.931199</v>
      </c>
      <c r="Y86" t="n">
        <v>64.546074</v>
      </c>
      <c r="Z86" t="n">
        <v>110.616316</v>
      </c>
    </row>
    <row r="87" ht="21" customHeight="1">
      <c r="A87" t="inlineStr">
        <is>
          <t>Penaeus semisulcatus</t>
        </is>
      </c>
      <c r="B87" t="n">
        <v>2</v>
      </c>
      <c r="C87" t="n">
        <v>10</v>
      </c>
      <c r="D87" s="11" t="inlineStr">
        <is>
          <t>Shrimps</t>
        </is>
      </c>
      <c r="E87" t="n">
        <v>92.758633</v>
      </c>
      <c r="F87" t="n">
        <v>24.936879</v>
      </c>
      <c r="G87" t="n">
        <v>13.715732</v>
      </c>
      <c r="H87" t="n">
        <v>39.542201</v>
      </c>
      <c r="I87" t="n">
        <v>39.345557</v>
      </c>
      <c r="J87" t="n">
        <v>39.345557</v>
      </c>
      <c r="K87" t="n">
        <v>37.378279</v>
      </c>
      <c r="L87" t="n">
        <v>110.883242</v>
      </c>
      <c r="M87" t="n">
        <v>110.883242</v>
      </c>
      <c r="N87" t="n">
        <v>118.086052</v>
      </c>
      <c r="O87" t="n">
        <v>26.876504</v>
      </c>
      <c r="P87" t="n">
        <v>16.79886</v>
      </c>
      <c r="W87" t="n">
        <v>27.610867</v>
      </c>
      <c r="X87" t="n">
        <v>134.234083</v>
      </c>
      <c r="Y87" t="n">
        <v>8.001064</v>
      </c>
      <c r="Z87" t="n">
        <v>14.97557</v>
      </c>
    </row>
    <row r="88" ht="21" customHeight="1">
      <c r="A88" t="inlineStr">
        <is>
          <t>Carcharhinus</t>
        </is>
      </c>
      <c r="B88" t="n">
        <v>4.26</v>
      </c>
      <c r="C88" t="n">
        <v>1819.700859</v>
      </c>
      <c r="D88" s="11" t="inlineStr">
        <is>
          <t>Sharks | Juv. sharks</t>
        </is>
      </c>
      <c r="E88" t="n">
        <v>92.758633</v>
      </c>
      <c r="F88" t="n">
        <v>2211.896778</v>
      </c>
      <c r="G88" t="n">
        <v>528.557699</v>
      </c>
      <c r="H88" t="n">
        <v>1694.662427</v>
      </c>
      <c r="I88" t="n">
        <v>829.165832</v>
      </c>
      <c r="J88" t="n">
        <v>829.165832</v>
      </c>
      <c r="K88" t="n">
        <v>789.681785</v>
      </c>
      <c r="L88" t="n">
        <v>2016.586739</v>
      </c>
      <c r="M88" t="n">
        <v>2016.586739</v>
      </c>
      <c r="N88" t="n">
        <v>2128.697228</v>
      </c>
      <c r="O88" t="n">
        <v>561.286115</v>
      </c>
      <c r="P88" t="n">
        <v>207.956274</v>
      </c>
      <c r="W88" t="n">
        <v>606.9739060000001</v>
      </c>
      <c r="X88" t="n">
        <v>2393.658993</v>
      </c>
      <c r="Y88" t="n">
        <v>145.413381</v>
      </c>
      <c r="Z88" t="n">
        <v>289.661473</v>
      </c>
    </row>
    <row r="89" ht="21" customHeight="1">
      <c r="A89" t="inlineStr">
        <is>
          <t>Katsuwonus pelamis</t>
        </is>
      </c>
      <c r="B89" t="n">
        <v>4.43</v>
      </c>
      <c r="C89" t="n">
        <v>2691.534804</v>
      </c>
      <c r="D89" s="11" t="inlineStr">
        <is>
          <t>Tuna</t>
        </is>
      </c>
      <c r="E89" t="n">
        <v>92.758633</v>
      </c>
      <c r="F89" t="n">
        <v>1217.891849</v>
      </c>
      <c r="G89" t="n">
        <v>325.165267</v>
      </c>
      <c r="H89" t="n">
        <v>703.930824</v>
      </c>
      <c r="I89" t="n">
        <v>327.693492</v>
      </c>
      <c r="J89" t="n">
        <v>327.693492</v>
      </c>
      <c r="K89" t="n">
        <v>311.308817</v>
      </c>
      <c r="L89" t="n">
        <v>675.870038</v>
      </c>
      <c r="M89" t="n">
        <v>675.870038</v>
      </c>
      <c r="N89" t="n">
        <v>710.633419</v>
      </c>
      <c r="O89" t="n">
        <v>254.942405</v>
      </c>
      <c r="P89" t="n">
        <v>107.862693</v>
      </c>
      <c r="W89" t="n">
        <v>271.503704</v>
      </c>
      <c r="X89" t="n">
        <v>791.598393</v>
      </c>
      <c r="Y89" t="n">
        <v>98.86518</v>
      </c>
      <c r="Z89" t="n">
        <v>153.001145</v>
      </c>
    </row>
    <row r="90" ht="21" customHeight="1">
      <c r="A90" t="inlineStr">
        <is>
          <t>Thenus orientalis</t>
        </is>
      </c>
      <c r="B90" t="n">
        <v>2.5</v>
      </c>
      <c r="C90" t="n">
        <v>31.622777</v>
      </c>
      <c r="D90" s="11" t="inlineStr">
        <is>
          <t>Crab, lobster</t>
        </is>
      </c>
      <c r="E90" t="n">
        <v>92.758633</v>
      </c>
      <c r="F90" t="n">
        <v>55.221127</v>
      </c>
      <c r="G90" t="n">
        <v>26.200528</v>
      </c>
      <c r="H90" t="n">
        <v>80.616586</v>
      </c>
      <c r="I90" t="n">
        <v>96.283275</v>
      </c>
      <c r="J90" t="n">
        <v>96.283275</v>
      </c>
      <c r="K90" t="n">
        <v>82.59048</v>
      </c>
      <c r="L90" t="n">
        <v>295.897518</v>
      </c>
      <c r="M90" t="n">
        <v>295.897518</v>
      </c>
      <c r="N90" t="n">
        <v>313.590452</v>
      </c>
      <c r="O90" t="n">
        <v>47.292261</v>
      </c>
      <c r="P90" t="n">
        <v>26.133043</v>
      </c>
      <c r="W90" t="n">
        <v>48.215972</v>
      </c>
      <c r="X90" t="n">
        <v>354.467589</v>
      </c>
      <c r="Y90" t="n">
        <v>13.377731</v>
      </c>
      <c r="Z90" t="n">
        <v>27.235027</v>
      </c>
    </row>
    <row r="91" ht="21" customHeight="1">
      <c r="A91" t="inlineStr">
        <is>
          <t>Penaeus monodon</t>
        </is>
      </c>
      <c r="B91" t="n">
        <v>2.6</v>
      </c>
      <c r="C91" t="n">
        <v>39.810717</v>
      </c>
      <c r="D91" s="11" t="inlineStr">
        <is>
          <t>Shrimps</t>
        </is>
      </c>
      <c r="E91" t="n">
        <v>92.758633</v>
      </c>
      <c r="F91" t="n">
        <v>24.936879</v>
      </c>
      <c r="G91" t="n">
        <v>13.715732</v>
      </c>
      <c r="H91" t="n">
        <v>39.542201</v>
      </c>
      <c r="I91" t="n">
        <v>39.345557</v>
      </c>
      <c r="J91" t="n">
        <v>39.345557</v>
      </c>
      <c r="K91" t="n">
        <v>37.378279</v>
      </c>
      <c r="L91" t="n">
        <v>110.883242</v>
      </c>
      <c r="M91" t="n">
        <v>110.883242</v>
      </c>
      <c r="N91" t="n">
        <v>118.086052</v>
      </c>
      <c r="O91" t="n">
        <v>26.876504</v>
      </c>
      <c r="P91" t="n">
        <v>16.79886</v>
      </c>
      <c r="W91" t="n">
        <v>27.610867</v>
      </c>
      <c r="X91" t="n">
        <v>134.234083</v>
      </c>
      <c r="Y91" t="n">
        <v>8.001064</v>
      </c>
      <c r="Z91" t="n">
        <v>14.97557</v>
      </c>
    </row>
    <row r="92" ht="21" customHeight="1">
      <c r="A92" t="inlineStr">
        <is>
          <t>Terapon</t>
        </is>
      </c>
      <c r="B92" t="n">
        <v>3.5</v>
      </c>
      <c r="C92" t="n">
        <v>316.227766</v>
      </c>
      <c r="D92" s="11" t="inlineStr">
        <is>
          <t>Med.dem.benth.</t>
        </is>
      </c>
      <c r="E92" t="n">
        <v>92.758633</v>
      </c>
      <c r="F92" t="n">
        <v>274.243815</v>
      </c>
      <c r="G92" t="n">
        <v>96.59934699999999</v>
      </c>
      <c r="H92" t="n">
        <v>166.63869</v>
      </c>
      <c r="I92" t="n">
        <v>215.944796</v>
      </c>
      <c r="J92" t="n">
        <v>215.944796</v>
      </c>
      <c r="K92" t="n">
        <v>193.300587</v>
      </c>
      <c r="L92" t="n">
        <v>664.022909</v>
      </c>
      <c r="M92" t="n">
        <v>664.022909</v>
      </c>
      <c r="N92" t="n">
        <v>702.550582</v>
      </c>
      <c r="O92" t="n">
        <v>105.870272</v>
      </c>
      <c r="P92" t="n">
        <v>53.740614</v>
      </c>
      <c r="W92" t="n">
        <v>108.869834</v>
      </c>
      <c r="X92" t="n">
        <v>799.677877</v>
      </c>
      <c r="Y92" t="n">
        <v>37.70608</v>
      </c>
      <c r="Z92" t="n">
        <v>51.4265</v>
      </c>
    </row>
    <row r="93" ht="21" customHeight="1">
      <c r="A93" t="inlineStr">
        <is>
          <t>Polynemidae</t>
        </is>
      </c>
      <c r="B93" t="n">
        <v>3.62</v>
      </c>
      <c r="C93" t="n">
        <v>416.869383</v>
      </c>
      <c r="D93" s="11" t="inlineStr">
        <is>
          <t>Sm.dem.benth.</t>
        </is>
      </c>
      <c r="E93" t="n">
        <v>92.758633</v>
      </c>
      <c r="F93" t="n">
        <v>135.946622</v>
      </c>
      <c r="G93" t="n">
        <v>54.557109</v>
      </c>
      <c r="H93" t="n">
        <v>104.458273</v>
      </c>
      <c r="I93" t="n">
        <v>106.771533</v>
      </c>
      <c r="J93" t="n">
        <v>106.771533</v>
      </c>
      <c r="K93" t="n">
        <v>89.978955</v>
      </c>
      <c r="L93" t="n">
        <v>308.045854</v>
      </c>
      <c r="M93" t="n">
        <v>308.045854</v>
      </c>
      <c r="N93" t="n">
        <v>325.959633</v>
      </c>
      <c r="O93" t="n">
        <v>56.685005</v>
      </c>
      <c r="P93" t="n">
        <v>30.438514</v>
      </c>
      <c r="W93" t="n">
        <v>58.087916</v>
      </c>
      <c r="X93" t="n">
        <v>369.109424</v>
      </c>
      <c r="Y93" t="n">
        <v>23.952956</v>
      </c>
      <c r="Z93" t="n">
        <v>34.558123</v>
      </c>
    </row>
    <row r="94" ht="21" customHeight="1">
      <c r="A94" t="inlineStr">
        <is>
          <t>Cynoglossus</t>
        </is>
      </c>
      <c r="B94" t="n">
        <v>3.36</v>
      </c>
      <c r="C94" t="n">
        <v>229.086765</v>
      </c>
      <c r="D94" s="11" t="inlineStr">
        <is>
          <t>Flatfish</t>
        </is>
      </c>
      <c r="E94" t="n">
        <v>92.758633</v>
      </c>
      <c r="F94" t="n">
        <v>198.898533</v>
      </c>
      <c r="G94" t="n">
        <v>74.370034</v>
      </c>
      <c r="H94" t="n">
        <v>143.388298</v>
      </c>
      <c r="I94" t="n">
        <v>137.630101</v>
      </c>
      <c r="J94" t="n">
        <v>137.630101</v>
      </c>
      <c r="K94" t="n">
        <v>132.468972</v>
      </c>
      <c r="L94" t="n">
        <v>418.824939</v>
      </c>
      <c r="M94" t="n">
        <v>418.824939</v>
      </c>
      <c r="N94" t="n">
        <v>443.184514</v>
      </c>
      <c r="O94" t="n">
        <v>74.286663</v>
      </c>
      <c r="P94" t="n">
        <v>38.351856</v>
      </c>
      <c r="W94" t="n">
        <v>77.14257600000001</v>
      </c>
      <c r="X94" t="n">
        <v>501.55581</v>
      </c>
      <c r="Y94" t="n">
        <v>30.634607</v>
      </c>
      <c r="Z94" t="n">
        <v>45.33149</v>
      </c>
    </row>
    <row r="95" ht="21" customHeight="1">
      <c r="A95" t="inlineStr">
        <is>
          <t>Leiognathus</t>
        </is>
      </c>
      <c r="B95" t="n">
        <v>3.22</v>
      </c>
      <c r="C95" t="n">
        <v>165.958691</v>
      </c>
      <c r="D95" s="11" t="inlineStr">
        <is>
          <t>Ponyfishes</t>
        </is>
      </c>
      <c r="E95" t="n">
        <v>92.758633</v>
      </c>
      <c r="F95" t="n">
        <v>55.624121</v>
      </c>
      <c r="G95" t="n">
        <v>26.356091</v>
      </c>
      <c r="H95" t="n">
        <v>61.131005</v>
      </c>
      <c r="I95" t="n">
        <v>58.637366</v>
      </c>
      <c r="J95" t="n">
        <v>58.637366</v>
      </c>
      <c r="K95" t="n">
        <v>56.980549</v>
      </c>
      <c r="L95" t="n">
        <v>167.671166</v>
      </c>
      <c r="M95" t="n">
        <v>167.671166</v>
      </c>
      <c r="N95" t="n">
        <v>176.99785</v>
      </c>
      <c r="O95" t="n">
        <v>35.276744</v>
      </c>
      <c r="P95" t="n">
        <v>19.385003</v>
      </c>
      <c r="W95" t="n">
        <v>36.372559</v>
      </c>
      <c r="X95" t="n">
        <v>200.137074</v>
      </c>
      <c r="Y95" t="n">
        <v>13.440773</v>
      </c>
      <c r="Z95" t="n">
        <v>22.381404</v>
      </c>
    </row>
    <row r="96" ht="21" customHeight="1">
      <c r="A96" t="inlineStr">
        <is>
          <t>Tetraodontidae</t>
        </is>
      </c>
      <c r="B96" t="n">
        <v>3.5</v>
      </c>
      <c r="C96" t="n">
        <v>316.227766</v>
      </c>
      <c r="D96" s="11" t="inlineStr">
        <is>
          <t>Med.dem.benth.</t>
        </is>
      </c>
      <c r="E96" t="n">
        <v>92.758633</v>
      </c>
      <c r="F96" t="n">
        <v>274.243815</v>
      </c>
      <c r="G96" t="n">
        <v>96.59934699999999</v>
      </c>
      <c r="H96" t="n">
        <v>166.63869</v>
      </c>
      <c r="I96" t="n">
        <v>215.944796</v>
      </c>
      <c r="J96" t="n">
        <v>215.944796</v>
      </c>
      <c r="K96" t="n">
        <v>193.300587</v>
      </c>
      <c r="L96" t="n">
        <v>664.022909</v>
      </c>
      <c r="M96" t="n">
        <v>664.022909</v>
      </c>
      <c r="N96" t="n">
        <v>702.550582</v>
      </c>
      <c r="O96" t="n">
        <v>105.870272</v>
      </c>
      <c r="P96" t="n">
        <v>53.740614</v>
      </c>
      <c r="W96" t="n">
        <v>108.869834</v>
      </c>
      <c r="X96" t="n">
        <v>799.677877</v>
      </c>
      <c r="Y96" t="n">
        <v>37.70608</v>
      </c>
      <c r="Z96" t="n">
        <v>51.4265</v>
      </c>
    </row>
    <row r="97" ht="21" customHeight="1">
      <c r="A97" t="inlineStr">
        <is>
          <t>Seriolina nigrofasciata</t>
        </is>
      </c>
      <c r="B97" t="n">
        <v>4.17</v>
      </c>
      <c r="C97" t="n">
        <v>1479.108388</v>
      </c>
      <c r="D97" s="11" t="inlineStr">
        <is>
          <t>Lg. piscivores | Juv.Lg.Pisciv.</t>
        </is>
      </c>
      <c r="E97" t="n">
        <v>92.758633</v>
      </c>
      <c r="F97" t="n">
        <v>629.8141419999999</v>
      </c>
      <c r="G97" t="n">
        <v>190.080993</v>
      </c>
      <c r="H97" t="n">
        <v>480.632956</v>
      </c>
      <c r="I97" t="n">
        <v>315.097689</v>
      </c>
      <c r="J97" t="n">
        <v>315.097689</v>
      </c>
      <c r="K97" t="n">
        <v>292.632358</v>
      </c>
      <c r="L97" t="n">
        <v>806.383997</v>
      </c>
      <c r="M97" t="n">
        <v>806.383997</v>
      </c>
      <c r="N97" t="n">
        <v>851.766221</v>
      </c>
      <c r="O97" t="n">
        <v>204.799662</v>
      </c>
      <c r="P97" t="n">
        <v>89.620936</v>
      </c>
      <c r="W97" t="n">
        <v>213.690011</v>
      </c>
      <c r="X97" t="n">
        <v>962.931199</v>
      </c>
      <c r="Y97" t="n">
        <v>64.546074</v>
      </c>
      <c r="Z97" t="n">
        <v>110.616316</v>
      </c>
    </row>
    <row r="98" ht="21" customHeight="1">
      <c r="A98" t="inlineStr">
        <is>
          <t>Miscellaneous aquatic invertebrates</t>
        </is>
      </c>
      <c r="B98" t="n">
        <v>2.43</v>
      </c>
      <c r="C98" t="n">
        <v>26.915348</v>
      </c>
      <c r="D98" s="11" t="inlineStr">
        <is>
          <t>Benthos</t>
        </is>
      </c>
      <c r="E98" t="n">
        <v>92.758633</v>
      </c>
      <c r="F98" t="n">
        <v>30.493728</v>
      </c>
      <c r="G98" t="n">
        <v>16.156554</v>
      </c>
      <c r="H98" t="n">
        <v>23.735388</v>
      </c>
      <c r="I98" t="n">
        <v>40.29524</v>
      </c>
      <c r="J98" t="n">
        <v>40.29524</v>
      </c>
      <c r="K98" t="n">
        <v>13.120387</v>
      </c>
      <c r="L98" t="n">
        <v>126.575988</v>
      </c>
      <c r="M98" t="n">
        <v>126.575988</v>
      </c>
      <c r="N98" t="n">
        <v>133.836756</v>
      </c>
      <c r="O98" t="n">
        <v>21.065935</v>
      </c>
      <c r="P98" t="n">
        <v>13.449167</v>
      </c>
      <c r="W98" t="n">
        <v>21.490914</v>
      </c>
      <c r="X98" t="n">
        <v>150.538596</v>
      </c>
      <c r="Y98" t="n">
        <v>9.112489</v>
      </c>
      <c r="Z98" t="n">
        <v>11.291188</v>
      </c>
    </row>
    <row r="99" ht="21" customHeight="1">
      <c r="A99" t="inlineStr">
        <is>
          <t>Parapenaeopsis</t>
        </is>
      </c>
      <c r="B99" t="n">
        <v>2.72</v>
      </c>
      <c r="C99" t="n">
        <v>52.480746</v>
      </c>
      <c r="D99" s="11" t="inlineStr">
        <is>
          <t>Shrimps</t>
        </is>
      </c>
      <c r="E99" t="n">
        <v>92.758633</v>
      </c>
      <c r="F99" t="n">
        <v>24.936879</v>
      </c>
      <c r="G99" t="n">
        <v>13.715732</v>
      </c>
      <c r="H99" t="n">
        <v>39.542201</v>
      </c>
      <c r="I99" t="n">
        <v>39.345557</v>
      </c>
      <c r="J99" t="n">
        <v>39.345557</v>
      </c>
      <c r="K99" t="n">
        <v>37.378279</v>
      </c>
      <c r="L99" t="n">
        <v>110.883242</v>
      </c>
      <c r="M99" t="n">
        <v>110.883242</v>
      </c>
      <c r="N99" t="n">
        <v>118.086052</v>
      </c>
      <c r="O99" t="n">
        <v>26.876504</v>
      </c>
      <c r="P99" t="n">
        <v>16.79886</v>
      </c>
      <c r="W99" t="n">
        <v>27.610867</v>
      </c>
      <c r="X99" t="n">
        <v>134.234083</v>
      </c>
      <c r="Y99" t="n">
        <v>8.001064</v>
      </c>
      <c r="Z99" t="n">
        <v>14.97557</v>
      </c>
    </row>
    <row r="100" ht="21" customHeight="1">
      <c r="A100" t="inlineStr">
        <is>
          <t>Lutjanus</t>
        </is>
      </c>
      <c r="B100" t="n">
        <v>4.02</v>
      </c>
      <c r="C100" t="n">
        <v>1047.128548</v>
      </c>
      <c r="D100" s="11" t="inlineStr">
        <is>
          <t>Grouper/snapper | Juv. groupers</t>
        </is>
      </c>
      <c r="E100" t="n">
        <v>92.758633</v>
      </c>
      <c r="F100" t="n">
        <v>729.665396</v>
      </c>
      <c r="G100" t="n">
        <v>214.274848</v>
      </c>
      <c r="H100" t="n">
        <v>601.521613</v>
      </c>
      <c r="I100" t="n">
        <v>458.291515</v>
      </c>
      <c r="J100" t="n">
        <v>458.291515</v>
      </c>
      <c r="K100" t="n">
        <v>404.883308</v>
      </c>
      <c r="L100" t="n">
        <v>1297.204135</v>
      </c>
      <c r="M100" t="n">
        <v>1297.204135</v>
      </c>
      <c r="N100" t="n">
        <v>1373.024947</v>
      </c>
      <c r="O100" t="n">
        <v>262.162033</v>
      </c>
      <c r="P100" t="n">
        <v>111.742313</v>
      </c>
      <c r="W100" t="n">
        <v>273.908931</v>
      </c>
      <c r="X100" t="n">
        <v>1584.887607</v>
      </c>
      <c r="Y100" t="n">
        <v>70.98925199999999</v>
      </c>
      <c r="Z100" t="n">
        <v>131.686727</v>
      </c>
    </row>
    <row r="101" ht="21" customHeight="1">
      <c r="A101" t="inlineStr">
        <is>
          <t>Cephalopoda</t>
        </is>
      </c>
      <c r="B101" t="n">
        <v>3.81</v>
      </c>
      <c r="C101" t="n">
        <v>645.654229</v>
      </c>
      <c r="D101" s="11" t="inlineStr">
        <is>
          <t>Cephalopods</t>
        </is>
      </c>
      <c r="E101" t="n">
        <v>92.758633</v>
      </c>
      <c r="F101" t="n">
        <v>207.108363</v>
      </c>
      <c r="G101" t="n">
        <v>76.859779</v>
      </c>
      <c r="H101" t="n">
        <v>153.276012</v>
      </c>
      <c r="I101" t="n">
        <v>121.77284</v>
      </c>
      <c r="J101" t="n">
        <v>121.77284</v>
      </c>
      <c r="K101" t="n">
        <v>118.23963</v>
      </c>
      <c r="L101" t="n">
        <v>349.557692</v>
      </c>
      <c r="M101" t="n">
        <v>349.557692</v>
      </c>
      <c r="N101" t="n">
        <v>370.254323</v>
      </c>
      <c r="O101" t="n">
        <v>98.097358</v>
      </c>
      <c r="P101" t="n">
        <v>49.643681</v>
      </c>
      <c r="W101" t="n">
        <v>100.957994</v>
      </c>
      <c r="X101" t="n">
        <v>407.059034</v>
      </c>
      <c r="Y101" t="n">
        <v>31.446324</v>
      </c>
      <c r="Z101" t="n">
        <v>45.753688</v>
      </c>
    </row>
    <row r="102" ht="21" customHeight="1">
      <c r="A102" t="inlineStr">
        <is>
          <t>Pristipomoides</t>
        </is>
      </c>
      <c r="B102" t="n">
        <v>3.91</v>
      </c>
      <c r="C102" t="n">
        <v>812.830516</v>
      </c>
      <c r="D102" s="11" t="inlineStr">
        <is>
          <t>Grouper/snapper | Juv. groupers</t>
        </is>
      </c>
      <c r="E102" t="n">
        <v>92.758633</v>
      </c>
      <c r="F102" t="n">
        <v>729.665396</v>
      </c>
      <c r="G102" t="n">
        <v>214.274848</v>
      </c>
      <c r="H102" t="n">
        <v>601.521613</v>
      </c>
      <c r="I102" t="n">
        <v>458.291515</v>
      </c>
      <c r="J102" t="n">
        <v>458.291515</v>
      </c>
      <c r="K102" t="n">
        <v>404.883308</v>
      </c>
      <c r="L102" t="n">
        <v>1297.204135</v>
      </c>
      <c r="M102" t="n">
        <v>1297.204135</v>
      </c>
      <c r="N102" t="n">
        <v>1373.024947</v>
      </c>
      <c r="O102" t="n">
        <v>262.162033</v>
      </c>
      <c r="P102" t="n">
        <v>111.742313</v>
      </c>
      <c r="W102" t="n">
        <v>273.908931</v>
      </c>
      <c r="X102" t="n">
        <v>1584.887607</v>
      </c>
      <c r="Y102" t="n">
        <v>70.98925199999999</v>
      </c>
      <c r="Z102" t="n">
        <v>131.686727</v>
      </c>
    </row>
    <row r="103" ht="21" customHeight="1">
      <c r="A103" t="inlineStr">
        <is>
          <t>Lutjanus quinquelineatus</t>
        </is>
      </c>
      <c r="B103" t="n">
        <v>3.68</v>
      </c>
      <c r="C103" t="n">
        <v>478.630092</v>
      </c>
      <c r="D103" s="11" t="inlineStr">
        <is>
          <t>Grouper/snapper | Juv. groupers</t>
        </is>
      </c>
      <c r="E103" t="n">
        <v>92.758633</v>
      </c>
      <c r="F103" t="n">
        <v>729.665396</v>
      </c>
      <c r="G103" t="n">
        <v>214.274848</v>
      </c>
      <c r="H103" t="n">
        <v>601.521613</v>
      </c>
      <c r="I103" t="n">
        <v>458.291515</v>
      </c>
      <c r="J103" t="n">
        <v>458.291515</v>
      </c>
      <c r="K103" t="n">
        <v>404.883308</v>
      </c>
      <c r="L103" t="n">
        <v>1297.204135</v>
      </c>
      <c r="M103" t="n">
        <v>1297.204135</v>
      </c>
      <c r="N103" t="n">
        <v>1373.024947</v>
      </c>
      <c r="O103" t="n">
        <v>262.162033</v>
      </c>
      <c r="P103" t="n">
        <v>111.742313</v>
      </c>
      <c r="W103" t="n">
        <v>273.908931</v>
      </c>
      <c r="X103" t="n">
        <v>1584.887607</v>
      </c>
      <c r="Y103" t="n">
        <v>70.98925199999999</v>
      </c>
      <c r="Z103" t="n">
        <v>131.686727</v>
      </c>
    </row>
    <row r="104" ht="21" customHeight="1">
      <c r="A104" t="inlineStr">
        <is>
          <t>Siganus</t>
        </is>
      </c>
      <c r="B104" t="n">
        <v>2.11</v>
      </c>
      <c r="C104" t="n">
        <v>12.882496</v>
      </c>
      <c r="D104" s="11" t="inlineStr">
        <is>
          <t>O.fish</t>
        </is>
      </c>
      <c r="E104" t="n">
        <v>92.758633</v>
      </c>
      <c r="F104" t="n">
        <v>41.788101</v>
      </c>
      <c r="G104" t="n">
        <v>20.881264</v>
      </c>
      <c r="H104" t="n">
        <v>52.028891</v>
      </c>
      <c r="I104" t="n">
        <v>48.21537</v>
      </c>
      <c r="J104" t="n">
        <v>48.21537</v>
      </c>
      <c r="K104" t="n">
        <v>48.150458</v>
      </c>
      <c r="L104" t="n">
        <v>135.960121</v>
      </c>
      <c r="M104" t="n">
        <v>135.960121</v>
      </c>
      <c r="N104" t="n">
        <v>143.850985</v>
      </c>
      <c r="O104" t="n">
        <v>31.644149</v>
      </c>
      <c r="P104" t="n">
        <v>18.19469</v>
      </c>
      <c r="W104" t="n">
        <v>32.429472</v>
      </c>
      <c r="X104" t="n">
        <v>163.410873</v>
      </c>
      <c r="Y104" t="n">
        <v>11.171569</v>
      </c>
      <c r="Z104" t="n">
        <v>19.389776</v>
      </c>
    </row>
    <row r="105" ht="21" customHeight="1">
      <c r="A105" t="inlineStr">
        <is>
          <t>Nemipterus japonicus</t>
        </is>
      </c>
      <c r="B105" t="n">
        <v>3.77</v>
      </c>
      <c r="C105" t="n">
        <v>588.843655</v>
      </c>
      <c r="D105" s="11" t="inlineStr">
        <is>
          <t>Sm.dem.benth.</t>
        </is>
      </c>
      <c r="E105" t="n">
        <v>92.758633</v>
      </c>
      <c r="F105" t="n">
        <v>135.946622</v>
      </c>
      <c r="G105" t="n">
        <v>54.557109</v>
      </c>
      <c r="H105" t="n">
        <v>104.458273</v>
      </c>
      <c r="I105" t="n">
        <v>106.771533</v>
      </c>
      <c r="J105" t="n">
        <v>106.771533</v>
      </c>
      <c r="K105" t="n">
        <v>89.978955</v>
      </c>
      <c r="L105" t="n">
        <v>308.045854</v>
      </c>
      <c r="M105" t="n">
        <v>308.045854</v>
      </c>
      <c r="N105" t="n">
        <v>325.959633</v>
      </c>
      <c r="O105" t="n">
        <v>56.685005</v>
      </c>
      <c r="P105" t="n">
        <v>30.438514</v>
      </c>
      <c r="W105" t="n">
        <v>58.087916</v>
      </c>
      <c r="X105" t="n">
        <v>369.109424</v>
      </c>
      <c r="Y105" t="n">
        <v>23.952956</v>
      </c>
      <c r="Z105" t="n">
        <v>34.558123</v>
      </c>
    </row>
    <row r="106" ht="21" customHeight="1">
      <c r="A106" t="inlineStr">
        <is>
          <t>Mugil</t>
        </is>
      </c>
      <c r="B106" t="n">
        <v>2.26</v>
      </c>
      <c r="C106" t="n">
        <v>18.197009</v>
      </c>
      <c r="D106" s="11" t="inlineStr">
        <is>
          <t>O.fish</t>
        </is>
      </c>
      <c r="E106" t="n">
        <v>92.758633</v>
      </c>
      <c r="F106" t="n">
        <v>41.788101</v>
      </c>
      <c r="G106" t="n">
        <v>20.881264</v>
      </c>
      <c r="H106" t="n">
        <v>52.028891</v>
      </c>
      <c r="I106" t="n">
        <v>48.21537</v>
      </c>
      <c r="J106" t="n">
        <v>48.21537</v>
      </c>
      <c r="K106" t="n">
        <v>48.150458</v>
      </c>
      <c r="L106" t="n">
        <v>135.960121</v>
      </c>
      <c r="M106" t="n">
        <v>135.960121</v>
      </c>
      <c r="N106" t="n">
        <v>143.850985</v>
      </c>
      <c r="O106" t="n">
        <v>31.644149</v>
      </c>
      <c r="P106" t="n">
        <v>18.19469</v>
      </c>
      <c r="W106" t="n">
        <v>32.429472</v>
      </c>
      <c r="X106" t="n">
        <v>163.410873</v>
      </c>
      <c r="Y106" t="n">
        <v>11.171569</v>
      </c>
      <c r="Z106" t="n">
        <v>19.389776</v>
      </c>
    </row>
    <row r="107" ht="21" customHeight="1">
      <c r="A107" t="inlineStr">
        <is>
          <t>Ilisha elongata</t>
        </is>
      </c>
      <c r="B107" t="n">
        <v>3.79</v>
      </c>
      <c r="C107" t="n">
        <v>616.595002</v>
      </c>
      <c r="D107" s="11" t="inlineStr">
        <is>
          <t>Sm. pelagics</t>
        </is>
      </c>
      <c r="E107" t="n">
        <v>92.758633</v>
      </c>
      <c r="F107" t="n">
        <v>79.432823</v>
      </c>
      <c r="G107" t="n">
        <v>35.22555</v>
      </c>
      <c r="H107" t="n">
        <v>36.979496</v>
      </c>
      <c r="I107" t="n">
        <v>22.609246</v>
      </c>
      <c r="J107" t="n">
        <v>22.609246</v>
      </c>
      <c r="K107" t="n">
        <v>21.478784</v>
      </c>
      <c r="L107" t="n">
        <v>30.239099</v>
      </c>
      <c r="M107" t="n">
        <v>30.239099</v>
      </c>
      <c r="N107" t="n">
        <v>31.345103</v>
      </c>
      <c r="O107" t="n">
        <v>25.592867</v>
      </c>
      <c r="P107" t="n">
        <v>15.901406</v>
      </c>
      <c r="W107" t="n">
        <v>26.701358</v>
      </c>
      <c r="X107" t="n">
        <v>32.392065</v>
      </c>
      <c r="Y107" t="n">
        <v>16.922772</v>
      </c>
      <c r="Z107" t="n">
        <v>17.234838</v>
      </c>
    </row>
    <row r="108" ht="21" customHeight="1">
      <c r="A108" t="inlineStr">
        <is>
          <t>Carangoides</t>
        </is>
      </c>
      <c r="B108" t="n">
        <v>4.34</v>
      </c>
      <c r="C108" t="n">
        <v>2187.761624</v>
      </c>
      <c r="D108" s="11" t="inlineStr">
        <is>
          <t>Lg. piscivores | Juv.Lg.Pisciv.</t>
        </is>
      </c>
      <c r="E108" t="n">
        <v>92.758633</v>
      </c>
      <c r="F108" t="n">
        <v>629.8141419999999</v>
      </c>
      <c r="G108" t="n">
        <v>190.080993</v>
      </c>
      <c r="H108" t="n">
        <v>480.632956</v>
      </c>
      <c r="I108" t="n">
        <v>315.097689</v>
      </c>
      <c r="J108" t="n">
        <v>315.097689</v>
      </c>
      <c r="K108" t="n">
        <v>292.632358</v>
      </c>
      <c r="L108" t="n">
        <v>806.383997</v>
      </c>
      <c r="M108" t="n">
        <v>806.383997</v>
      </c>
      <c r="N108" t="n">
        <v>851.766221</v>
      </c>
      <c r="O108" t="n">
        <v>204.799662</v>
      </c>
      <c r="P108" t="n">
        <v>89.620936</v>
      </c>
      <c r="W108" t="n">
        <v>213.690011</v>
      </c>
      <c r="X108" t="n">
        <v>962.931199</v>
      </c>
      <c r="Y108" t="n">
        <v>64.546074</v>
      </c>
      <c r="Z108" t="n">
        <v>110.616316</v>
      </c>
    </row>
    <row r="109" ht="21" customHeight="1">
      <c r="A109" t="inlineStr">
        <is>
          <t>Tegillarca granosa</t>
        </is>
      </c>
      <c r="B109" t="n">
        <v>2</v>
      </c>
      <c r="C109" t="n">
        <v>10</v>
      </c>
      <c r="D109" s="11" t="inlineStr">
        <is>
          <t>Molluscs</t>
        </is>
      </c>
      <c r="E109" t="n">
        <v>92.758633</v>
      </c>
      <c r="F109" t="n">
        <v>15.848932</v>
      </c>
      <c r="G109" t="n">
        <v>9.483373</v>
      </c>
      <c r="H109" t="n">
        <v>13.28747</v>
      </c>
      <c r="I109" t="n">
        <v>8.760194</v>
      </c>
      <c r="J109" t="n">
        <v>8.760194</v>
      </c>
      <c r="K109" t="n">
        <v>7.884174</v>
      </c>
      <c r="L109" t="n">
        <v>10.549912</v>
      </c>
      <c r="M109" t="n">
        <v>10.549912</v>
      </c>
      <c r="N109" t="n">
        <v>10.809345</v>
      </c>
      <c r="O109" t="n">
        <v>8.798415</v>
      </c>
      <c r="P109" t="n">
        <v>6.022535</v>
      </c>
      <c r="W109" t="n">
        <v>8.947789999999999</v>
      </c>
      <c r="X109" t="n">
        <v>11.156289</v>
      </c>
      <c r="Y109" t="n">
        <v>5.968659</v>
      </c>
      <c r="Z109" t="n">
        <v>7.276791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O.fish</t>
        </is>
      </c>
      <c r="E110" t="n">
        <v>92.758633</v>
      </c>
      <c r="F110" t="n">
        <v>41.788101</v>
      </c>
      <c r="G110" t="n">
        <v>20.881264</v>
      </c>
      <c r="H110" t="n">
        <v>52.028891</v>
      </c>
      <c r="I110" t="n">
        <v>48.21537</v>
      </c>
      <c r="J110" t="n">
        <v>48.21537</v>
      </c>
      <c r="K110" t="n">
        <v>48.150458</v>
      </c>
      <c r="L110" t="n">
        <v>135.960121</v>
      </c>
      <c r="M110" t="n">
        <v>135.960121</v>
      </c>
      <c r="N110" t="n">
        <v>143.850985</v>
      </c>
      <c r="O110" t="n">
        <v>31.644149</v>
      </c>
      <c r="P110" t="n">
        <v>18.19469</v>
      </c>
      <c r="W110" t="n">
        <v>32.429472</v>
      </c>
      <c r="X110" t="n">
        <v>163.410873</v>
      </c>
      <c r="Y110" t="n">
        <v>11.171569</v>
      </c>
      <c r="Z110" t="n">
        <v>19.389776</v>
      </c>
    </row>
    <row r="111" ht="21" customHeight="1">
      <c r="A111" t="inlineStr">
        <is>
          <t>Mierspenaeopsis sculptilis</t>
        </is>
      </c>
      <c r="B111" t="n">
        <v>2.71</v>
      </c>
      <c r="C111" t="n">
        <v>51.286138</v>
      </c>
      <c r="D111" s="11" t="inlineStr">
        <is>
          <t>Shrimps</t>
        </is>
      </c>
      <c r="E111" t="n">
        <v>92.758633</v>
      </c>
      <c r="F111" t="n">
        <v>24.936879</v>
      </c>
      <c r="G111" t="n">
        <v>13.715732</v>
      </c>
      <c r="H111" t="n">
        <v>39.542201</v>
      </c>
      <c r="I111" t="n">
        <v>39.345557</v>
      </c>
      <c r="J111" t="n">
        <v>39.345557</v>
      </c>
      <c r="K111" t="n">
        <v>37.378279</v>
      </c>
      <c r="L111" t="n">
        <v>110.883242</v>
      </c>
      <c r="M111" t="n">
        <v>110.883242</v>
      </c>
      <c r="N111" t="n">
        <v>118.086052</v>
      </c>
      <c r="O111" t="n">
        <v>26.876504</v>
      </c>
      <c r="P111" t="n">
        <v>16.79886</v>
      </c>
      <c r="W111" t="n">
        <v>27.610867</v>
      </c>
      <c r="X111" t="n">
        <v>134.234083</v>
      </c>
      <c r="Y111" t="n">
        <v>8.001064</v>
      </c>
      <c r="Z111" t="n">
        <v>14.97557</v>
      </c>
    </row>
    <row r="112" ht="21" customHeight="1">
      <c r="A112" t="inlineStr">
        <is>
          <t>Ozius guttatus</t>
        </is>
      </c>
      <c r="B112" t="n">
        <v>3.7</v>
      </c>
      <c r="C112" t="n">
        <v>501.187234</v>
      </c>
      <c r="D112" s="11" t="inlineStr">
        <is>
          <t>Crab, lobster</t>
        </is>
      </c>
      <c r="E112" t="n">
        <v>92.758633</v>
      </c>
      <c r="F112" t="n">
        <v>55.221127</v>
      </c>
      <c r="G112" t="n">
        <v>26.200528</v>
      </c>
      <c r="H112" t="n">
        <v>80.616586</v>
      </c>
      <c r="I112" t="n">
        <v>96.283275</v>
      </c>
      <c r="J112" t="n">
        <v>96.283275</v>
      </c>
      <c r="K112" t="n">
        <v>82.59048</v>
      </c>
      <c r="L112" t="n">
        <v>295.897518</v>
      </c>
      <c r="M112" t="n">
        <v>295.897518</v>
      </c>
      <c r="N112" t="n">
        <v>313.590452</v>
      </c>
      <c r="O112" t="n">
        <v>47.292261</v>
      </c>
      <c r="P112" t="n">
        <v>26.133043</v>
      </c>
      <c r="W112" t="n">
        <v>48.215972</v>
      </c>
      <c r="X112" t="n">
        <v>354.467589</v>
      </c>
      <c r="Y112" t="n">
        <v>13.377731</v>
      </c>
      <c r="Z112" t="n">
        <v>27.235027</v>
      </c>
    </row>
    <row r="113" ht="51" customHeight="1">
      <c r="A113" t="inlineStr">
        <is>
          <t>Marine groundfishes not identified</t>
        </is>
      </c>
      <c r="B113" t="n">
        <v>3.22</v>
      </c>
      <c r="C113" t="n">
        <v>165.958691</v>
      </c>
      <c r="D113" s="11" t="inlineStr">
        <is>
          <t>Med.dem.benth. | Med.dem.pisc. | Sm.dem.benth. | Sm.dem.pisc. | O.fish</t>
        </is>
      </c>
      <c r="E113" t="n">
        <v>92.758633</v>
      </c>
      <c r="F113" t="n">
        <v>206.950774</v>
      </c>
      <c r="G113" t="n">
        <v>76.47147699999999</v>
      </c>
      <c r="H113" t="n">
        <v>174.988745</v>
      </c>
      <c r="I113" t="n">
        <v>152.73063</v>
      </c>
      <c r="J113" t="n">
        <v>152.73063</v>
      </c>
      <c r="K113" t="n">
        <v>147.353313</v>
      </c>
      <c r="L113" t="n">
        <v>437.074857</v>
      </c>
      <c r="M113" t="n">
        <v>437.074857</v>
      </c>
      <c r="N113" t="n">
        <v>462.80939</v>
      </c>
      <c r="O113" t="n">
        <v>95.728662</v>
      </c>
      <c r="P113" t="n">
        <v>47.813164</v>
      </c>
      <c r="W113" t="n">
        <v>99.091415</v>
      </c>
      <c r="X113" t="n">
        <v>526.032469</v>
      </c>
      <c r="Y113" t="n">
        <v>31.208611</v>
      </c>
      <c r="Z113" t="n">
        <v>49.217684</v>
      </c>
    </row>
    <row r="114" ht="21" customHeight="1">
      <c r="A114" t="inlineStr">
        <is>
          <t>Bothidae</t>
        </is>
      </c>
      <c r="B114" t="n">
        <v>3.77</v>
      </c>
      <c r="C114" t="n">
        <v>588.843655</v>
      </c>
      <c r="D114" s="11" t="inlineStr">
        <is>
          <t>Flatfish</t>
        </is>
      </c>
      <c r="E114" t="n">
        <v>92.758633</v>
      </c>
      <c r="F114" t="n">
        <v>198.898533</v>
      </c>
      <c r="G114" t="n">
        <v>74.370034</v>
      </c>
      <c r="H114" t="n">
        <v>143.388298</v>
      </c>
      <c r="I114" t="n">
        <v>137.630101</v>
      </c>
      <c r="J114" t="n">
        <v>137.630101</v>
      </c>
      <c r="K114" t="n">
        <v>132.468972</v>
      </c>
      <c r="L114" t="n">
        <v>418.824939</v>
      </c>
      <c r="M114" t="n">
        <v>418.824939</v>
      </c>
      <c r="N114" t="n">
        <v>443.184514</v>
      </c>
      <c r="O114" t="n">
        <v>74.286663</v>
      </c>
      <c r="P114" t="n">
        <v>38.351856</v>
      </c>
      <c r="W114" t="n">
        <v>77.14257600000001</v>
      </c>
      <c r="X114" t="n">
        <v>501.55581</v>
      </c>
      <c r="Y114" t="n">
        <v>30.634607</v>
      </c>
      <c r="Z114" t="n">
        <v>45.33149</v>
      </c>
    </row>
    <row r="115" ht="21" customHeight="1">
      <c r="A115" t="inlineStr">
        <is>
          <t>Thunnus albacares</t>
        </is>
      </c>
      <c r="B115" t="n">
        <v>4.41</v>
      </c>
      <c r="C115" t="n">
        <v>2570.395783</v>
      </c>
      <c r="D115" s="11" t="inlineStr">
        <is>
          <t>Tuna</t>
        </is>
      </c>
      <c r="E115" t="n">
        <v>92.758633</v>
      </c>
      <c r="F115" t="n">
        <v>1217.891849</v>
      </c>
      <c r="G115" t="n">
        <v>325.165267</v>
      </c>
      <c r="H115" t="n">
        <v>703.930824</v>
      </c>
      <c r="I115" t="n">
        <v>327.693492</v>
      </c>
      <c r="J115" t="n">
        <v>327.693492</v>
      </c>
      <c r="K115" t="n">
        <v>311.308817</v>
      </c>
      <c r="L115" t="n">
        <v>675.870038</v>
      </c>
      <c r="M115" t="n">
        <v>675.870038</v>
      </c>
      <c r="N115" t="n">
        <v>710.633419</v>
      </c>
      <c r="O115" t="n">
        <v>254.942405</v>
      </c>
      <c r="P115" t="n">
        <v>107.862693</v>
      </c>
      <c r="W115" t="n">
        <v>271.503704</v>
      </c>
      <c r="X115" t="n">
        <v>791.598393</v>
      </c>
      <c r="Y115" t="n">
        <v>98.86518</v>
      </c>
      <c r="Z115" t="n">
        <v>153.001145</v>
      </c>
    </row>
    <row r="116" ht="21" customHeight="1">
      <c r="A116" t="inlineStr">
        <is>
          <t>Rachycentron canadum</t>
        </is>
      </c>
      <c r="B116" t="n">
        <v>3.96</v>
      </c>
      <c r="C116" t="n">
        <v>912.010839</v>
      </c>
      <c r="D116" s="11" t="inlineStr">
        <is>
          <t>Lg. piscivores | Juv.Lg.Pisciv.</t>
        </is>
      </c>
      <c r="E116" t="n">
        <v>92.758633</v>
      </c>
      <c r="F116" t="n">
        <v>629.8141419999999</v>
      </c>
      <c r="G116" t="n">
        <v>190.080993</v>
      </c>
      <c r="H116" t="n">
        <v>480.632956</v>
      </c>
      <c r="I116" t="n">
        <v>315.097689</v>
      </c>
      <c r="J116" t="n">
        <v>315.097689</v>
      </c>
      <c r="K116" t="n">
        <v>292.632358</v>
      </c>
      <c r="L116" t="n">
        <v>806.383997</v>
      </c>
      <c r="M116" t="n">
        <v>806.383997</v>
      </c>
      <c r="N116" t="n">
        <v>851.766221</v>
      </c>
      <c r="O116" t="n">
        <v>204.799662</v>
      </c>
      <c r="P116" t="n">
        <v>89.620936</v>
      </c>
      <c r="W116" t="n">
        <v>213.690011</v>
      </c>
      <c r="X116" t="n">
        <v>962.931199</v>
      </c>
      <c r="Y116" t="n">
        <v>64.546074</v>
      </c>
      <c r="Z116" t="n">
        <v>110.616316</v>
      </c>
    </row>
    <row r="117" ht="21" customHeight="1">
      <c r="A117" t="inlineStr">
        <is>
          <t>Penaeus japonicus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92.758633</v>
      </c>
      <c r="F117" t="n">
        <v>24.936879</v>
      </c>
      <c r="G117" t="n">
        <v>13.715732</v>
      </c>
      <c r="H117" t="n">
        <v>39.542201</v>
      </c>
      <c r="I117" t="n">
        <v>39.345557</v>
      </c>
      <c r="J117" t="n">
        <v>39.345557</v>
      </c>
      <c r="K117" t="n">
        <v>37.378279</v>
      </c>
      <c r="L117" t="n">
        <v>110.883242</v>
      </c>
      <c r="M117" t="n">
        <v>110.883242</v>
      </c>
      <c r="N117" t="n">
        <v>118.086052</v>
      </c>
      <c r="O117" t="n">
        <v>26.876504</v>
      </c>
      <c r="P117" t="n">
        <v>16.79886</v>
      </c>
      <c r="W117" t="n">
        <v>27.610867</v>
      </c>
      <c r="X117" t="n">
        <v>134.234083</v>
      </c>
      <c r="Y117" t="n">
        <v>8.001064</v>
      </c>
      <c r="Z117" t="n">
        <v>14.97557</v>
      </c>
    </row>
    <row r="118" ht="21" customHeight="1">
      <c r="A118" t="inlineStr">
        <is>
          <t>Melicertus canaliculatus</t>
        </is>
      </c>
      <c r="B118" t="n">
        <v>3.77</v>
      </c>
      <c r="C118" t="n">
        <v>588.843655</v>
      </c>
      <c r="D118" s="11" t="inlineStr">
        <is>
          <t>Shrimps</t>
        </is>
      </c>
      <c r="E118" t="n">
        <v>92.758633</v>
      </c>
      <c r="F118" t="n">
        <v>24.936879</v>
      </c>
      <c r="G118" t="n">
        <v>13.715732</v>
      </c>
      <c r="H118" t="n">
        <v>39.542201</v>
      </c>
      <c r="I118" t="n">
        <v>39.345557</v>
      </c>
      <c r="J118" t="n">
        <v>39.345557</v>
      </c>
      <c r="K118" t="n">
        <v>37.378279</v>
      </c>
      <c r="L118" t="n">
        <v>110.883242</v>
      </c>
      <c r="M118" t="n">
        <v>110.883242</v>
      </c>
      <c r="N118" t="n">
        <v>118.086052</v>
      </c>
      <c r="O118" t="n">
        <v>26.876504</v>
      </c>
      <c r="P118" t="n">
        <v>16.79886</v>
      </c>
      <c r="W118" t="n">
        <v>27.610867</v>
      </c>
      <c r="X118" t="n">
        <v>134.234083</v>
      </c>
      <c r="Y118" t="n">
        <v>8.001064</v>
      </c>
      <c r="Z118" t="n">
        <v>14.97557</v>
      </c>
    </row>
    <row r="119" ht="21" customHeight="1">
      <c r="A119" t="inlineStr">
        <is>
          <t>Plectorhinchus</t>
        </is>
      </c>
      <c r="B119" t="n">
        <v>3.43</v>
      </c>
      <c r="C119" t="n">
        <v>269.15348</v>
      </c>
      <c r="D119" s="11" t="inlineStr">
        <is>
          <t>Med.dem.benth.</t>
        </is>
      </c>
      <c r="E119" t="n">
        <v>92.758633</v>
      </c>
      <c r="F119" t="n">
        <v>274.243815</v>
      </c>
      <c r="G119" t="n">
        <v>96.59934699999999</v>
      </c>
      <c r="H119" t="n">
        <v>166.63869</v>
      </c>
      <c r="I119" t="n">
        <v>215.944796</v>
      </c>
      <c r="J119" t="n">
        <v>215.944796</v>
      </c>
      <c r="K119" t="n">
        <v>193.300587</v>
      </c>
      <c r="L119" t="n">
        <v>664.022909</v>
      </c>
      <c r="M119" t="n">
        <v>664.022909</v>
      </c>
      <c r="N119" t="n">
        <v>702.550582</v>
      </c>
      <c r="O119" t="n">
        <v>105.870272</v>
      </c>
      <c r="P119" t="n">
        <v>53.740614</v>
      </c>
      <c r="W119" t="n">
        <v>108.869834</v>
      </c>
      <c r="X119" t="n">
        <v>799.677877</v>
      </c>
      <c r="Y119" t="n">
        <v>37.70608</v>
      </c>
      <c r="Z119" t="n">
        <v>51.4265</v>
      </c>
    </row>
    <row r="120" ht="21" customHeight="1">
      <c r="A120" t="inlineStr">
        <is>
          <t>Pampus argenteus</t>
        </is>
      </c>
      <c r="B120" t="n">
        <v>3.3</v>
      </c>
      <c r="C120" t="n">
        <v>199.526231</v>
      </c>
      <c r="D120" s="11" t="inlineStr">
        <is>
          <t>Med.dem.benth.</t>
        </is>
      </c>
      <c r="E120" t="n">
        <v>92.758633</v>
      </c>
      <c r="F120" t="n">
        <v>274.243815</v>
      </c>
      <c r="G120" t="n">
        <v>96.59934699999999</v>
      </c>
      <c r="H120" t="n">
        <v>166.63869</v>
      </c>
      <c r="I120" t="n">
        <v>215.944796</v>
      </c>
      <c r="J120" t="n">
        <v>215.944796</v>
      </c>
      <c r="K120" t="n">
        <v>193.300587</v>
      </c>
      <c r="L120" t="n">
        <v>664.022909</v>
      </c>
      <c r="M120" t="n">
        <v>664.022909</v>
      </c>
      <c r="N120" t="n">
        <v>702.550582</v>
      </c>
      <c r="O120" t="n">
        <v>105.870272</v>
      </c>
      <c r="P120" t="n">
        <v>53.740614</v>
      </c>
      <c r="W120" t="n">
        <v>108.869834</v>
      </c>
      <c r="X120" t="n">
        <v>799.677877</v>
      </c>
      <c r="Y120" t="n">
        <v>37.70608</v>
      </c>
      <c r="Z120" t="n">
        <v>51.4265</v>
      </c>
    </row>
    <row r="121" ht="21" customHeight="1">
      <c r="A121" t="inlineStr">
        <is>
          <t>Muraenesox</t>
        </is>
      </c>
      <c r="B121" t="n">
        <v>3.99</v>
      </c>
      <c r="C121" t="n">
        <v>977.237221</v>
      </c>
      <c r="D121" s="11" t="inlineStr">
        <is>
          <t>Juv.Lg.Pisciv. | Lg. piscivores</t>
        </is>
      </c>
      <c r="E121" t="n">
        <v>92.758633</v>
      </c>
      <c r="F121" t="n">
        <v>629.8141419999999</v>
      </c>
      <c r="G121" t="n">
        <v>190.080993</v>
      </c>
      <c r="H121" t="n">
        <v>480.632956</v>
      </c>
      <c r="I121" t="n">
        <v>315.097689</v>
      </c>
      <c r="J121" t="n">
        <v>315.097689</v>
      </c>
      <c r="K121" t="n">
        <v>292.632358</v>
      </c>
      <c r="L121" t="n">
        <v>806.383997</v>
      </c>
      <c r="M121" t="n">
        <v>806.383997</v>
      </c>
      <c r="N121" t="n">
        <v>851.766221</v>
      </c>
      <c r="O121" t="n">
        <v>204.799662</v>
      </c>
      <c r="P121" t="n">
        <v>89.620936</v>
      </c>
      <c r="W121" t="n">
        <v>213.690011</v>
      </c>
      <c r="X121" t="n">
        <v>962.931199</v>
      </c>
      <c r="Y121" t="n">
        <v>64.546074</v>
      </c>
      <c r="Z121" t="n">
        <v>110.616316</v>
      </c>
    </row>
    <row r="122" ht="21" customHeight="1">
      <c r="A122" t="inlineStr">
        <is>
          <t>Scomberomorus commerson</t>
        </is>
      </c>
      <c r="B122" t="n">
        <v>4.5</v>
      </c>
      <c r="C122" t="n">
        <v>3162.27766</v>
      </c>
      <c r="D122" s="11" t="inlineStr">
        <is>
          <t>Scomberomorus</t>
        </is>
      </c>
      <c r="E122" t="n">
        <v>92.758633</v>
      </c>
      <c r="F122" t="n">
        <v>729.447588</v>
      </c>
      <c r="G122" t="n">
        <v>214.222773</v>
      </c>
      <c r="H122" t="n">
        <v>444.290446</v>
      </c>
      <c r="I122" t="n">
        <v>234.170666</v>
      </c>
      <c r="J122" t="n">
        <v>234.170666</v>
      </c>
      <c r="K122" t="n">
        <v>222.462132</v>
      </c>
      <c r="L122" t="n">
        <v>510.434635</v>
      </c>
      <c r="M122" t="n">
        <v>510.434635</v>
      </c>
      <c r="N122" t="n">
        <v>537.808771</v>
      </c>
      <c r="O122" t="n">
        <v>191.217924</v>
      </c>
      <c r="P122" t="n">
        <v>85.80764499999999</v>
      </c>
      <c r="W122" t="n">
        <v>201.393966</v>
      </c>
      <c r="X122" t="n">
        <v>601.019559</v>
      </c>
      <c r="Y122" t="n">
        <v>70.97555</v>
      </c>
      <c r="Z122" t="n">
        <v>108.592819</v>
      </c>
    </row>
    <row r="123" ht="36" customHeight="1">
      <c r="A123" t="inlineStr">
        <is>
          <t>Clupeiformes</t>
        </is>
      </c>
      <c r="B123" t="n">
        <v>3.24</v>
      </c>
      <c r="C123" t="n">
        <v>173.780083</v>
      </c>
      <c r="D123" s="11" t="inlineStr">
        <is>
          <t>Sm. pelagics | Lg. piscivores | Juv.Lg.Pisciv.</t>
        </is>
      </c>
      <c r="E123" t="n">
        <v>92.758633</v>
      </c>
      <c r="F123" t="n">
        <v>165.080137</v>
      </c>
      <c r="G123" t="n">
        <v>59.323303</v>
      </c>
      <c r="H123" t="n">
        <v>106.018407</v>
      </c>
      <c r="I123" t="n">
        <v>68.124689</v>
      </c>
      <c r="J123" t="n">
        <v>68.124689</v>
      </c>
      <c r="K123" t="n">
        <v>63.674212</v>
      </c>
      <c r="L123" t="n">
        <v>151.0185</v>
      </c>
      <c r="M123" t="n">
        <v>151.0185</v>
      </c>
      <c r="N123" t="n">
        <v>159.014525</v>
      </c>
      <c r="O123" t="n">
        <v>53.480043</v>
      </c>
      <c r="P123" t="n">
        <v>27.373234</v>
      </c>
      <c r="W123" t="n">
        <v>55.799504</v>
      </c>
      <c r="X123" t="n">
        <v>177.197447</v>
      </c>
      <c r="Y123" t="n">
        <v>24.333648</v>
      </c>
      <c r="Z123" t="n">
        <v>31.76635</v>
      </c>
    </row>
    <row r="124" ht="21" customHeight="1">
      <c r="A124" t="inlineStr">
        <is>
          <t>Sphyraena obtusata</t>
        </is>
      </c>
      <c r="B124" t="n">
        <v>4.5</v>
      </c>
      <c r="C124" t="n">
        <v>3162.27766</v>
      </c>
      <c r="D124" s="11" t="inlineStr">
        <is>
          <t>Juv.Lg.Pisciv. | Lg. piscivores</t>
        </is>
      </c>
      <c r="E124" t="n">
        <v>92.758633</v>
      </c>
      <c r="F124" t="n">
        <v>629.8141419999999</v>
      </c>
      <c r="G124" t="n">
        <v>190.080993</v>
      </c>
      <c r="H124" t="n">
        <v>480.632956</v>
      </c>
      <c r="I124" t="n">
        <v>315.097689</v>
      </c>
      <c r="J124" t="n">
        <v>315.097689</v>
      </c>
      <c r="K124" t="n">
        <v>292.632358</v>
      </c>
      <c r="L124" t="n">
        <v>806.383997</v>
      </c>
      <c r="M124" t="n">
        <v>806.383997</v>
      </c>
      <c r="N124" t="n">
        <v>851.766221</v>
      </c>
      <c r="O124" t="n">
        <v>204.799662</v>
      </c>
      <c r="P124" t="n">
        <v>89.620936</v>
      </c>
      <c r="W124" t="n">
        <v>213.690011</v>
      </c>
      <c r="X124" t="n">
        <v>962.931199</v>
      </c>
      <c r="Y124" t="n">
        <v>64.546074</v>
      </c>
      <c r="Z124" t="n">
        <v>110.616316</v>
      </c>
    </row>
    <row r="125" ht="21" customHeight="1">
      <c r="A125" t="inlineStr">
        <is>
          <t>Scyris indica</t>
        </is>
      </c>
      <c r="B125" t="n">
        <v>4.09</v>
      </c>
      <c r="C125" t="n">
        <v>1230.268771</v>
      </c>
      <c r="D125" s="11" t="inlineStr">
        <is>
          <t>Lg. piscivores | Juv.Lg.Pisciv.</t>
        </is>
      </c>
      <c r="E125" t="n">
        <v>92.758633</v>
      </c>
      <c r="F125" t="n">
        <v>629.8141419999999</v>
      </c>
      <c r="G125" t="n">
        <v>190.080993</v>
      </c>
      <c r="H125" t="n">
        <v>480.632956</v>
      </c>
      <c r="I125" t="n">
        <v>315.097689</v>
      </c>
      <c r="J125" t="n">
        <v>315.097689</v>
      </c>
      <c r="K125" t="n">
        <v>292.632358</v>
      </c>
      <c r="L125" t="n">
        <v>806.383997</v>
      </c>
      <c r="M125" t="n">
        <v>806.383997</v>
      </c>
      <c r="N125" t="n">
        <v>851.766221</v>
      </c>
      <c r="O125" t="n">
        <v>204.799662</v>
      </c>
      <c r="P125" t="n">
        <v>89.620936</v>
      </c>
      <c r="W125" t="n">
        <v>213.690011</v>
      </c>
      <c r="X125" t="n">
        <v>962.931199</v>
      </c>
      <c r="Y125" t="n">
        <v>64.546074</v>
      </c>
      <c r="Z125" t="n">
        <v>110.616316</v>
      </c>
    </row>
    <row r="126" ht="21" customHeight="1">
      <c r="A126" t="inlineStr">
        <is>
          <t>Anodontostoma chacunda</t>
        </is>
      </c>
      <c r="B126" t="n">
        <v>2.84</v>
      </c>
      <c r="C126" t="n">
        <v>69.183097</v>
      </c>
      <c r="D126" s="11" t="inlineStr">
        <is>
          <t>Sm. pelagics</t>
        </is>
      </c>
      <c r="E126" t="n">
        <v>92.758633</v>
      </c>
      <c r="F126" t="n">
        <v>79.432823</v>
      </c>
      <c r="G126" t="n">
        <v>35.22555</v>
      </c>
      <c r="H126" t="n">
        <v>36.979496</v>
      </c>
      <c r="I126" t="n">
        <v>22.609246</v>
      </c>
      <c r="J126" t="n">
        <v>22.609246</v>
      </c>
      <c r="K126" t="n">
        <v>21.478784</v>
      </c>
      <c r="L126" t="n">
        <v>30.239099</v>
      </c>
      <c r="M126" t="n">
        <v>30.239099</v>
      </c>
      <c r="N126" t="n">
        <v>31.345103</v>
      </c>
      <c r="O126" t="n">
        <v>25.592867</v>
      </c>
      <c r="P126" t="n">
        <v>15.901406</v>
      </c>
      <c r="W126" t="n">
        <v>26.701358</v>
      </c>
      <c r="X126" t="n">
        <v>32.392065</v>
      </c>
      <c r="Y126" t="n">
        <v>16.922772</v>
      </c>
      <c r="Z126" t="n">
        <v>17.234838</v>
      </c>
    </row>
    <row r="127" ht="21" customHeight="1">
      <c r="A127" t="inlineStr">
        <is>
          <t>Auxis thazard</t>
        </is>
      </c>
      <c r="B127" t="n">
        <v>4.37</v>
      </c>
      <c r="C127" t="n">
        <v>2344.228815</v>
      </c>
      <c r="D127" s="11" t="inlineStr">
        <is>
          <t>Tuna</t>
        </is>
      </c>
      <c r="E127" t="n">
        <v>92.758633</v>
      </c>
      <c r="F127" t="n">
        <v>1217.891849</v>
      </c>
      <c r="G127" t="n">
        <v>325.165267</v>
      </c>
      <c r="H127" t="n">
        <v>703.930824</v>
      </c>
      <c r="I127" t="n">
        <v>327.693492</v>
      </c>
      <c r="J127" t="n">
        <v>327.693492</v>
      </c>
      <c r="K127" t="n">
        <v>311.308817</v>
      </c>
      <c r="L127" t="n">
        <v>675.870038</v>
      </c>
      <c r="M127" t="n">
        <v>675.870038</v>
      </c>
      <c r="N127" t="n">
        <v>710.633419</v>
      </c>
      <c r="O127" t="n">
        <v>254.942405</v>
      </c>
      <c r="P127" t="n">
        <v>107.862693</v>
      </c>
      <c r="W127" t="n">
        <v>271.503704</v>
      </c>
      <c r="X127" t="n">
        <v>791.598393</v>
      </c>
      <c r="Y127" t="n">
        <v>98.86518</v>
      </c>
      <c r="Z127" t="n">
        <v>153.001145</v>
      </c>
    </row>
    <row r="128" ht="21" customHeight="1">
      <c r="A128" t="inlineStr">
        <is>
          <t>Malacostraca</t>
        </is>
      </c>
      <c r="B128" t="n">
        <v>3</v>
      </c>
      <c r="C128" t="n">
        <v>100</v>
      </c>
      <c r="D128" s="11" t="inlineStr">
        <is>
          <t>Shrimps | Crab, lobster</t>
        </is>
      </c>
      <c r="E128" t="n">
        <v>92.758633</v>
      </c>
      <c r="F128" t="n">
        <v>31.823213</v>
      </c>
      <c r="G128" t="n">
        <v>16.554649</v>
      </c>
      <c r="H128" t="n">
        <v>48.882103</v>
      </c>
      <c r="I128" t="n">
        <v>52.292621</v>
      </c>
      <c r="J128" t="n">
        <v>52.292621</v>
      </c>
      <c r="K128" t="n">
        <v>47.659079</v>
      </c>
      <c r="L128" t="n">
        <v>152.953628</v>
      </c>
      <c r="M128" t="n">
        <v>152.953628</v>
      </c>
      <c r="N128" t="n">
        <v>162.541786</v>
      </c>
      <c r="O128" t="n">
        <v>31.518842</v>
      </c>
      <c r="P128" t="n">
        <v>18.921359</v>
      </c>
      <c r="W128" t="n">
        <v>32.29626</v>
      </c>
      <c r="X128" t="n">
        <v>184.312967</v>
      </c>
      <c r="Y128" t="n">
        <v>9.223663999999999</v>
      </c>
      <c r="Z128" t="n">
        <v>17.763247</v>
      </c>
    </row>
    <row r="129" ht="21" customHeight="1">
      <c r="A129" t="inlineStr">
        <is>
          <t>Lutjanus johnii</t>
        </is>
      </c>
      <c r="B129" t="n">
        <v>4.2</v>
      </c>
      <c r="C129" t="n">
        <v>1584.893192</v>
      </c>
      <c r="D129" s="11" t="inlineStr">
        <is>
          <t>Grouper/snapper | Juv. groupers</t>
        </is>
      </c>
      <c r="E129" t="n">
        <v>92.758633</v>
      </c>
      <c r="F129" t="n">
        <v>729.665396</v>
      </c>
      <c r="G129" t="n">
        <v>214.274848</v>
      </c>
      <c r="H129" t="n">
        <v>601.521613</v>
      </c>
      <c r="I129" t="n">
        <v>458.291515</v>
      </c>
      <c r="J129" t="n">
        <v>458.291515</v>
      </c>
      <c r="K129" t="n">
        <v>404.883308</v>
      </c>
      <c r="L129" t="n">
        <v>1297.204135</v>
      </c>
      <c r="M129" t="n">
        <v>1297.204135</v>
      </c>
      <c r="N129" t="n">
        <v>1373.024947</v>
      </c>
      <c r="O129" t="n">
        <v>262.162033</v>
      </c>
      <c r="P129" t="n">
        <v>111.742313</v>
      </c>
      <c r="W129" t="n">
        <v>273.908931</v>
      </c>
      <c r="X129" t="n">
        <v>1584.887607</v>
      </c>
      <c r="Y129" t="n">
        <v>70.98925199999999</v>
      </c>
      <c r="Z129" t="n">
        <v>131.686727</v>
      </c>
    </row>
    <row r="130" ht="21" customHeight="1">
      <c r="A130" t="inlineStr">
        <is>
          <t>Gerreidae</t>
        </is>
      </c>
      <c r="B130" t="n">
        <v>3.03</v>
      </c>
      <c r="C130" t="n">
        <v>107.151931</v>
      </c>
      <c r="D130" s="11" t="inlineStr">
        <is>
          <t>Sm.dem.benth.</t>
        </is>
      </c>
      <c r="E130" t="n">
        <v>92.758633</v>
      </c>
      <c r="F130" t="n">
        <v>135.946622</v>
      </c>
      <c r="G130" t="n">
        <v>54.557109</v>
      </c>
      <c r="H130" t="n">
        <v>104.458273</v>
      </c>
      <c r="I130" t="n">
        <v>106.771533</v>
      </c>
      <c r="J130" t="n">
        <v>106.771533</v>
      </c>
      <c r="K130" t="n">
        <v>89.978955</v>
      </c>
      <c r="L130" t="n">
        <v>308.045854</v>
      </c>
      <c r="M130" t="n">
        <v>308.045854</v>
      </c>
      <c r="N130" t="n">
        <v>325.959633</v>
      </c>
      <c r="O130" t="n">
        <v>56.685005</v>
      </c>
      <c r="P130" t="n">
        <v>30.438514</v>
      </c>
      <c r="W130" t="n">
        <v>58.087916</v>
      </c>
      <c r="X130" t="n">
        <v>369.109424</v>
      </c>
      <c r="Y130" t="n">
        <v>23.952956</v>
      </c>
      <c r="Z130" t="n">
        <v>34.558123</v>
      </c>
    </row>
    <row r="131" ht="21" customHeight="1">
      <c r="A131" t="inlineStr">
        <is>
          <t>Caesionidae</t>
        </is>
      </c>
      <c r="B131" t="n">
        <v>3.39</v>
      </c>
      <c r="C131" t="n">
        <v>245.470892</v>
      </c>
      <c r="D131" s="11" t="inlineStr">
        <is>
          <t>Sm. pelagics</t>
        </is>
      </c>
      <c r="E131" t="n">
        <v>92.758633</v>
      </c>
      <c r="F131" t="n">
        <v>79.432823</v>
      </c>
      <c r="G131" t="n">
        <v>35.22555</v>
      </c>
      <c r="H131" t="n">
        <v>36.979496</v>
      </c>
      <c r="I131" t="n">
        <v>22.609246</v>
      </c>
      <c r="J131" t="n">
        <v>22.609246</v>
      </c>
      <c r="K131" t="n">
        <v>21.478784</v>
      </c>
      <c r="L131" t="n">
        <v>30.239099</v>
      </c>
      <c r="M131" t="n">
        <v>30.239099</v>
      </c>
      <c r="N131" t="n">
        <v>31.345103</v>
      </c>
      <c r="O131" t="n">
        <v>25.592867</v>
      </c>
      <c r="P131" t="n">
        <v>15.901406</v>
      </c>
      <c r="W131" t="n">
        <v>26.701358</v>
      </c>
      <c r="X131" t="n">
        <v>32.392065</v>
      </c>
      <c r="Y131" t="n">
        <v>16.922772</v>
      </c>
      <c r="Z131" t="n">
        <v>17.234838</v>
      </c>
    </row>
    <row r="132" ht="21" customHeight="1">
      <c r="A132" t="inlineStr">
        <is>
          <t>Charybdis</t>
        </is>
      </c>
      <c r="B132" t="n">
        <v>2.7</v>
      </c>
      <c r="C132" t="n">
        <v>50.118723</v>
      </c>
      <c r="D132" s="11" t="inlineStr">
        <is>
          <t>Crab, lobster</t>
        </is>
      </c>
      <c r="E132" t="n">
        <v>92.758633</v>
      </c>
      <c r="F132" t="n">
        <v>55.221127</v>
      </c>
      <c r="G132" t="n">
        <v>26.200528</v>
      </c>
      <c r="H132" t="n">
        <v>80.616586</v>
      </c>
      <c r="I132" t="n">
        <v>96.283275</v>
      </c>
      <c r="J132" t="n">
        <v>96.283275</v>
      </c>
      <c r="K132" t="n">
        <v>82.59048</v>
      </c>
      <c r="L132" t="n">
        <v>295.897518</v>
      </c>
      <c r="M132" t="n">
        <v>295.897518</v>
      </c>
      <c r="N132" t="n">
        <v>313.590452</v>
      </c>
      <c r="O132" t="n">
        <v>47.292261</v>
      </c>
      <c r="P132" t="n">
        <v>26.133043</v>
      </c>
      <c r="W132" t="n">
        <v>48.215972</v>
      </c>
      <c r="X132" t="n">
        <v>354.467589</v>
      </c>
      <c r="Y132" t="n">
        <v>13.377731</v>
      </c>
      <c r="Z132" t="n">
        <v>27.235027</v>
      </c>
    </row>
    <row r="133" ht="21" customHeight="1">
      <c r="A133" t="inlineStr">
        <is>
          <t>Scorpaenidae</t>
        </is>
      </c>
      <c r="B133" t="n">
        <v>3.92</v>
      </c>
      <c r="C133" t="n">
        <v>831.763771</v>
      </c>
      <c r="D133" s="11" t="inlineStr">
        <is>
          <t>Lg. piscivores | Juv.Lg.Pisciv.</t>
        </is>
      </c>
      <c r="E133" t="n">
        <v>92.758633</v>
      </c>
      <c r="F133" t="n">
        <v>629.8141419999999</v>
      </c>
      <c r="G133" t="n">
        <v>190.080993</v>
      </c>
      <c r="H133" t="n">
        <v>480.632956</v>
      </c>
      <c r="I133" t="n">
        <v>315.097689</v>
      </c>
      <c r="J133" t="n">
        <v>315.097689</v>
      </c>
      <c r="K133" t="n">
        <v>292.632358</v>
      </c>
      <c r="L133" t="n">
        <v>806.383997</v>
      </c>
      <c r="M133" t="n">
        <v>806.383997</v>
      </c>
      <c r="N133" t="n">
        <v>851.766221</v>
      </c>
      <c r="O133" t="n">
        <v>204.799662</v>
      </c>
      <c r="P133" t="n">
        <v>89.620936</v>
      </c>
      <c r="W133" t="n">
        <v>213.690011</v>
      </c>
      <c r="X133" t="n">
        <v>962.931199</v>
      </c>
      <c r="Y133" t="n">
        <v>64.546074</v>
      </c>
      <c r="Z133" t="n">
        <v>110.616316</v>
      </c>
    </row>
    <row r="134" ht="21" customHeight="1">
      <c r="A134" t="inlineStr">
        <is>
          <t>Podophthalmus vigil</t>
        </is>
      </c>
      <c r="B134" t="n">
        <v>3.36</v>
      </c>
      <c r="C134" t="n">
        <v>229.086765</v>
      </c>
      <c r="D134" s="11" t="inlineStr">
        <is>
          <t>Crab, lobster</t>
        </is>
      </c>
      <c r="E134" t="n">
        <v>92.758633</v>
      </c>
      <c r="F134" t="n">
        <v>55.221127</v>
      </c>
      <c r="G134" t="n">
        <v>26.200528</v>
      </c>
      <c r="H134" t="n">
        <v>80.616586</v>
      </c>
      <c r="I134" t="n">
        <v>96.283275</v>
      </c>
      <c r="J134" t="n">
        <v>96.283275</v>
      </c>
      <c r="K134" t="n">
        <v>82.59048</v>
      </c>
      <c r="L134" t="n">
        <v>295.897518</v>
      </c>
      <c r="M134" t="n">
        <v>295.897518</v>
      </c>
      <c r="N134" t="n">
        <v>313.590452</v>
      </c>
      <c r="O134" t="n">
        <v>47.292261</v>
      </c>
      <c r="P134" t="n">
        <v>26.133043</v>
      </c>
      <c r="W134" t="n">
        <v>48.215972</v>
      </c>
      <c r="X134" t="n">
        <v>354.467589</v>
      </c>
      <c r="Y134" t="n">
        <v>13.377731</v>
      </c>
      <c r="Z134" t="n">
        <v>27.235027</v>
      </c>
    </row>
    <row r="135" ht="21" customHeight="1">
      <c r="A135" t="inlineStr">
        <is>
          <t>Charybdis feriatus</t>
        </is>
      </c>
      <c r="B135" t="n">
        <v>3.51</v>
      </c>
      <c r="C135" t="n">
        <v>323.593657</v>
      </c>
      <c r="D135" s="11" t="inlineStr">
        <is>
          <t>Crab, lobster</t>
        </is>
      </c>
      <c r="E135" t="n">
        <v>92.758633</v>
      </c>
      <c r="F135" t="n">
        <v>55.221127</v>
      </c>
      <c r="G135" t="n">
        <v>26.200528</v>
      </c>
      <c r="H135" t="n">
        <v>80.616586</v>
      </c>
      <c r="I135" t="n">
        <v>96.283275</v>
      </c>
      <c r="J135" t="n">
        <v>96.283275</v>
      </c>
      <c r="K135" t="n">
        <v>82.59048</v>
      </c>
      <c r="L135" t="n">
        <v>295.897518</v>
      </c>
      <c r="M135" t="n">
        <v>295.897518</v>
      </c>
      <c r="N135" t="n">
        <v>313.590452</v>
      </c>
      <c r="O135" t="n">
        <v>47.292261</v>
      </c>
      <c r="P135" t="n">
        <v>26.133043</v>
      </c>
      <c r="W135" t="n">
        <v>48.215972</v>
      </c>
      <c r="X135" t="n">
        <v>354.467589</v>
      </c>
      <c r="Y135" t="n">
        <v>13.377731</v>
      </c>
      <c r="Z135" t="n">
        <v>27.235027</v>
      </c>
    </row>
    <row r="136" ht="21" customHeight="1">
      <c r="A136" t="inlineStr">
        <is>
          <t>Scomberoides</t>
        </is>
      </c>
      <c r="B136" t="n">
        <v>4.47</v>
      </c>
      <c r="C136" t="n">
        <v>2951.209227</v>
      </c>
      <c r="D136" s="11" t="inlineStr">
        <is>
          <t>Lg. piscivores | Juv.Lg.Pisciv.</t>
        </is>
      </c>
      <c r="E136" t="n">
        <v>92.758633</v>
      </c>
      <c r="F136" t="n">
        <v>629.8141419999999</v>
      </c>
      <c r="G136" t="n">
        <v>190.080993</v>
      </c>
      <c r="H136" t="n">
        <v>480.632956</v>
      </c>
      <c r="I136" t="n">
        <v>315.097689</v>
      </c>
      <c r="J136" t="n">
        <v>315.097689</v>
      </c>
      <c r="K136" t="n">
        <v>292.632358</v>
      </c>
      <c r="L136" t="n">
        <v>806.383997</v>
      </c>
      <c r="M136" t="n">
        <v>806.383997</v>
      </c>
      <c r="N136" t="n">
        <v>851.766221</v>
      </c>
      <c r="O136" t="n">
        <v>204.799662</v>
      </c>
      <c r="P136" t="n">
        <v>89.620936</v>
      </c>
      <c r="W136" t="n">
        <v>213.690011</v>
      </c>
      <c r="X136" t="n">
        <v>962.931199</v>
      </c>
      <c r="Y136" t="n">
        <v>64.546074</v>
      </c>
      <c r="Z136" t="n">
        <v>110.616316</v>
      </c>
    </row>
    <row r="137" ht="21" customHeight="1">
      <c r="A137" t="inlineStr">
        <is>
          <t>Caesio</t>
        </is>
      </c>
      <c r="B137" t="n">
        <v>3.4</v>
      </c>
      <c r="C137" t="n">
        <v>251.188643</v>
      </c>
      <c r="D137" s="11" t="inlineStr">
        <is>
          <t>Sm. pelagics</t>
        </is>
      </c>
      <c r="E137" t="n">
        <v>92.758633</v>
      </c>
      <c r="F137" t="n">
        <v>79.432823</v>
      </c>
      <c r="G137" t="n">
        <v>35.22555</v>
      </c>
      <c r="H137" t="n">
        <v>36.979496</v>
      </c>
      <c r="I137" t="n">
        <v>22.609246</v>
      </c>
      <c r="J137" t="n">
        <v>22.609246</v>
      </c>
      <c r="K137" t="n">
        <v>21.478784</v>
      </c>
      <c r="L137" t="n">
        <v>30.239099</v>
      </c>
      <c r="M137" t="n">
        <v>30.239099</v>
      </c>
      <c r="N137" t="n">
        <v>31.345103</v>
      </c>
      <c r="O137" t="n">
        <v>25.592867</v>
      </c>
      <c r="P137" t="n">
        <v>15.901406</v>
      </c>
      <c r="W137" t="n">
        <v>26.701358</v>
      </c>
      <c r="X137" t="n">
        <v>32.392065</v>
      </c>
      <c r="Y137" t="n">
        <v>16.922772</v>
      </c>
      <c r="Z137" t="n">
        <v>17.234838</v>
      </c>
    </row>
    <row r="138" ht="21" customHeight="1">
      <c r="A138" t="inlineStr">
        <is>
          <t>Charybdis anisodon</t>
        </is>
      </c>
      <c r="B138" t="n">
        <v>3.42</v>
      </c>
      <c r="C138" t="n">
        <v>263.026799</v>
      </c>
      <c r="D138" s="11" t="inlineStr">
        <is>
          <t>Crab, lobster</t>
        </is>
      </c>
      <c r="E138" t="n">
        <v>92.758633</v>
      </c>
      <c r="F138" t="n">
        <v>55.221127</v>
      </c>
      <c r="G138" t="n">
        <v>26.200528</v>
      </c>
      <c r="H138" t="n">
        <v>80.616586</v>
      </c>
      <c r="I138" t="n">
        <v>96.283275</v>
      </c>
      <c r="J138" t="n">
        <v>96.283275</v>
      </c>
      <c r="K138" t="n">
        <v>82.59048</v>
      </c>
      <c r="L138" t="n">
        <v>295.897518</v>
      </c>
      <c r="M138" t="n">
        <v>295.897518</v>
      </c>
      <c r="N138" t="n">
        <v>313.590452</v>
      </c>
      <c r="O138" t="n">
        <v>47.292261</v>
      </c>
      <c r="P138" t="n">
        <v>26.133043</v>
      </c>
      <c r="W138" t="n">
        <v>48.215972</v>
      </c>
      <c r="X138" t="n">
        <v>354.467589</v>
      </c>
      <c r="Y138" t="n">
        <v>13.377731</v>
      </c>
      <c r="Z138" t="n">
        <v>27.235027</v>
      </c>
    </row>
    <row r="139" ht="21" customHeight="1">
      <c r="A139" t="inlineStr">
        <is>
          <t>Mierspenaeopsis hardwickii</t>
        </is>
      </c>
      <c r="D139" s="11" t="inlineStr">
        <is>
          <t>Shrimps</t>
        </is>
      </c>
      <c r="E139" t="n">
        <v>92.758633</v>
      </c>
      <c r="F139" t="n">
        <v>24.936879</v>
      </c>
      <c r="G139" t="n">
        <v>13.715732</v>
      </c>
      <c r="H139" t="n">
        <v>39.542201</v>
      </c>
      <c r="I139" t="n">
        <v>39.345557</v>
      </c>
      <c r="J139" t="n">
        <v>39.345557</v>
      </c>
      <c r="K139" t="n">
        <v>37.378279</v>
      </c>
      <c r="L139" t="n">
        <v>110.883242</v>
      </c>
      <c r="M139" t="n">
        <v>110.883242</v>
      </c>
      <c r="N139" t="n">
        <v>118.086052</v>
      </c>
      <c r="O139" t="n">
        <v>26.876504</v>
      </c>
      <c r="P139" t="n">
        <v>16.79886</v>
      </c>
      <c r="W139" t="n">
        <v>27.610867</v>
      </c>
      <c r="X139" t="n">
        <v>134.234083</v>
      </c>
      <c r="Y139" t="n">
        <v>8.001064</v>
      </c>
      <c r="Z139" t="n">
        <v>14.97557</v>
      </c>
    </row>
    <row r="140" ht="21" customHeight="1">
      <c r="A140" t="inlineStr">
        <is>
          <t>Plotosidae</t>
        </is>
      </c>
      <c r="B140" t="n">
        <v>3.49</v>
      </c>
      <c r="C140" t="n">
        <v>309.029543</v>
      </c>
      <c r="D140" s="11" t="inlineStr">
        <is>
          <t>Med.dem.benth.</t>
        </is>
      </c>
      <c r="E140" t="n">
        <v>92.758633</v>
      </c>
      <c r="F140" t="n">
        <v>274.243815</v>
      </c>
      <c r="G140" t="n">
        <v>96.59934699999999</v>
      </c>
      <c r="H140" t="n">
        <v>166.63869</v>
      </c>
      <c r="I140" t="n">
        <v>215.944796</v>
      </c>
      <c r="J140" t="n">
        <v>215.944796</v>
      </c>
      <c r="K140" t="n">
        <v>193.300587</v>
      </c>
      <c r="L140" t="n">
        <v>664.022909</v>
      </c>
      <c r="M140" t="n">
        <v>664.022909</v>
      </c>
      <c r="N140" t="n">
        <v>702.550582</v>
      </c>
      <c r="O140" t="n">
        <v>105.870272</v>
      </c>
      <c r="P140" t="n">
        <v>53.740614</v>
      </c>
      <c r="W140" t="n">
        <v>108.869834</v>
      </c>
      <c r="X140" t="n">
        <v>799.677877</v>
      </c>
      <c r="Y140" t="n">
        <v>37.70608</v>
      </c>
      <c r="Z140" t="n">
        <v>51.4265</v>
      </c>
    </row>
    <row r="141" ht="21" customHeight="1">
      <c r="A141" t="inlineStr">
        <is>
          <t>Dussumieria</t>
        </is>
      </c>
      <c r="B141" t="n">
        <v>3.4</v>
      </c>
      <c r="C141" t="n">
        <v>251.188643</v>
      </c>
      <c r="D141" s="11" t="inlineStr">
        <is>
          <t>Sm. pelagics</t>
        </is>
      </c>
      <c r="E141" t="n">
        <v>92.758633</v>
      </c>
      <c r="F141" t="n">
        <v>79.432823</v>
      </c>
      <c r="G141" t="n">
        <v>35.22555</v>
      </c>
      <c r="H141" t="n">
        <v>36.979496</v>
      </c>
      <c r="I141" t="n">
        <v>22.609246</v>
      </c>
      <c r="J141" t="n">
        <v>22.609246</v>
      </c>
      <c r="K141" t="n">
        <v>21.478784</v>
      </c>
      <c r="L141" t="n">
        <v>30.239099</v>
      </c>
      <c r="M141" t="n">
        <v>30.239099</v>
      </c>
      <c r="N141" t="n">
        <v>31.345103</v>
      </c>
      <c r="O141" t="n">
        <v>25.592867</v>
      </c>
      <c r="P141" t="n">
        <v>15.901406</v>
      </c>
      <c r="W141" t="n">
        <v>26.701358</v>
      </c>
      <c r="X141" t="n">
        <v>32.392065</v>
      </c>
      <c r="Y141" t="n">
        <v>16.922772</v>
      </c>
      <c r="Z141" t="n">
        <v>17.234838</v>
      </c>
    </row>
    <row r="142" ht="21" customHeight="1">
      <c r="A142" t="inlineStr">
        <is>
          <t>Paralichthyidae</t>
        </is>
      </c>
      <c r="B142" t="n">
        <v>4.06</v>
      </c>
      <c r="C142" t="n">
        <v>1148.153621</v>
      </c>
      <c r="D142" s="11" t="inlineStr">
        <is>
          <t>Flatfish</t>
        </is>
      </c>
      <c r="E142" t="n">
        <v>92.758633</v>
      </c>
      <c r="F142" t="n">
        <v>198.898533</v>
      </c>
      <c r="G142" t="n">
        <v>74.370034</v>
      </c>
      <c r="H142" t="n">
        <v>143.388298</v>
      </c>
      <c r="I142" t="n">
        <v>137.630101</v>
      </c>
      <c r="J142" t="n">
        <v>137.630101</v>
      </c>
      <c r="K142" t="n">
        <v>132.468972</v>
      </c>
      <c r="L142" t="n">
        <v>418.824939</v>
      </c>
      <c r="M142" t="n">
        <v>418.824939</v>
      </c>
      <c r="N142" t="n">
        <v>443.184514</v>
      </c>
      <c r="O142" t="n">
        <v>74.286663</v>
      </c>
      <c r="P142" t="n">
        <v>38.351856</v>
      </c>
      <c r="W142" t="n">
        <v>77.14257600000001</v>
      </c>
      <c r="X142" t="n">
        <v>501.55581</v>
      </c>
      <c r="Y142" t="n">
        <v>30.634607</v>
      </c>
      <c r="Z142" t="n">
        <v>45.33149</v>
      </c>
    </row>
    <row r="143" ht="21" customHeight="1">
      <c r="A143" t="inlineStr">
        <is>
          <t>Siganus canaliculatus</t>
        </is>
      </c>
      <c r="B143" t="n">
        <v>2.76</v>
      </c>
      <c r="C143" t="n">
        <v>57.543994</v>
      </c>
      <c r="D143" s="11" t="inlineStr">
        <is>
          <t>O.fish</t>
        </is>
      </c>
      <c r="E143" t="n">
        <v>92.758633</v>
      </c>
      <c r="F143" t="n">
        <v>41.788101</v>
      </c>
      <c r="G143" t="n">
        <v>20.881264</v>
      </c>
      <c r="H143" t="n">
        <v>52.028891</v>
      </c>
      <c r="I143" t="n">
        <v>48.21537</v>
      </c>
      <c r="J143" t="n">
        <v>48.21537</v>
      </c>
      <c r="K143" t="n">
        <v>48.150458</v>
      </c>
      <c r="L143" t="n">
        <v>135.960121</v>
      </c>
      <c r="M143" t="n">
        <v>135.960121</v>
      </c>
      <c r="N143" t="n">
        <v>143.850985</v>
      </c>
      <c r="O143" t="n">
        <v>31.644149</v>
      </c>
      <c r="P143" t="n">
        <v>18.19469</v>
      </c>
      <c r="W143" t="n">
        <v>32.429472</v>
      </c>
      <c r="X143" t="n">
        <v>163.410873</v>
      </c>
      <c r="Y143" t="n">
        <v>11.171569</v>
      </c>
      <c r="Z143" t="n">
        <v>19.389776</v>
      </c>
    </row>
    <row r="144" ht="21" customHeight="1">
      <c r="A144" t="inlineStr">
        <is>
          <t>Plotosus</t>
        </is>
      </c>
      <c r="B144" t="n">
        <v>3.49</v>
      </c>
      <c r="C144" t="n">
        <v>309.029543</v>
      </c>
      <c r="D144" s="11" t="inlineStr">
        <is>
          <t>Med.dem.benth.</t>
        </is>
      </c>
      <c r="E144" t="n">
        <v>92.758633</v>
      </c>
      <c r="F144" t="n">
        <v>274.243815</v>
      </c>
      <c r="G144" t="n">
        <v>96.59934699999999</v>
      </c>
      <c r="H144" t="n">
        <v>166.63869</v>
      </c>
      <c r="I144" t="n">
        <v>215.944796</v>
      </c>
      <c r="J144" t="n">
        <v>215.944796</v>
      </c>
      <c r="K144" t="n">
        <v>193.300587</v>
      </c>
      <c r="L144" t="n">
        <v>664.022909</v>
      </c>
      <c r="M144" t="n">
        <v>664.022909</v>
      </c>
      <c r="N144" t="n">
        <v>702.550582</v>
      </c>
      <c r="O144" t="n">
        <v>105.870272</v>
      </c>
      <c r="P144" t="n">
        <v>53.740614</v>
      </c>
      <c r="W144" t="n">
        <v>108.869834</v>
      </c>
      <c r="X144" t="n">
        <v>799.677877</v>
      </c>
      <c r="Y144" t="n">
        <v>37.70608</v>
      </c>
      <c r="Z144" t="n">
        <v>51.4265</v>
      </c>
    </row>
    <row r="145" ht="21" customHeight="1">
      <c r="A145" t="inlineStr">
        <is>
          <t>Siganidae</t>
        </is>
      </c>
      <c r="B145" t="n">
        <v>2.11</v>
      </c>
      <c r="C145" t="n">
        <v>12.882496</v>
      </c>
      <c r="D145" s="11" t="inlineStr">
        <is>
          <t>O.fish</t>
        </is>
      </c>
      <c r="E145" t="n">
        <v>92.758633</v>
      </c>
      <c r="F145" t="n">
        <v>41.788101</v>
      </c>
      <c r="G145" t="n">
        <v>20.881264</v>
      </c>
      <c r="H145" t="n">
        <v>52.028891</v>
      </c>
      <c r="I145" t="n">
        <v>48.21537</v>
      </c>
      <c r="J145" t="n">
        <v>48.21537</v>
      </c>
      <c r="K145" t="n">
        <v>48.150458</v>
      </c>
      <c r="L145" t="n">
        <v>135.960121</v>
      </c>
      <c r="M145" t="n">
        <v>135.960121</v>
      </c>
      <c r="N145" t="n">
        <v>143.850985</v>
      </c>
      <c r="O145" t="n">
        <v>31.644149</v>
      </c>
      <c r="P145" t="n">
        <v>18.19469</v>
      </c>
      <c r="W145" t="n">
        <v>32.429472</v>
      </c>
      <c r="X145" t="n">
        <v>163.410873</v>
      </c>
      <c r="Y145" t="n">
        <v>11.171569</v>
      </c>
      <c r="Z145" t="n">
        <v>19.389776</v>
      </c>
    </row>
    <row r="146" ht="21" customHeight="1">
      <c r="A146" t="inlineStr">
        <is>
          <t>Panulirus longipes</t>
        </is>
      </c>
      <c r="B146" t="n">
        <v>2.6</v>
      </c>
      <c r="C146" t="n">
        <v>39.810717</v>
      </c>
      <c r="D146" s="11" t="inlineStr">
        <is>
          <t>Crab, lobster</t>
        </is>
      </c>
      <c r="E146" t="n">
        <v>92.758633</v>
      </c>
      <c r="F146" t="n">
        <v>55.221127</v>
      </c>
      <c r="G146" t="n">
        <v>26.200528</v>
      </c>
      <c r="H146" t="n">
        <v>80.616586</v>
      </c>
      <c r="I146" t="n">
        <v>96.283275</v>
      </c>
      <c r="J146" t="n">
        <v>96.283275</v>
      </c>
      <c r="K146" t="n">
        <v>82.59048</v>
      </c>
      <c r="L146" t="n">
        <v>295.897518</v>
      </c>
      <c r="M146" t="n">
        <v>295.897518</v>
      </c>
      <c r="N146" t="n">
        <v>313.590452</v>
      </c>
      <c r="O146" t="n">
        <v>47.292261</v>
      </c>
      <c r="P146" t="n">
        <v>26.133043</v>
      </c>
      <c r="W146" t="n">
        <v>48.215972</v>
      </c>
      <c r="X146" t="n">
        <v>354.467589</v>
      </c>
      <c r="Y146" t="n">
        <v>13.377731</v>
      </c>
      <c r="Z146" t="n">
        <v>27.235027</v>
      </c>
    </row>
    <row r="147" ht="21" customHeight="1">
      <c r="A147" t="inlineStr">
        <is>
          <t>Solenocera crassicornis</t>
        </is>
      </c>
      <c r="B147" t="n">
        <v>2.2</v>
      </c>
      <c r="C147" t="n">
        <v>15.848932</v>
      </c>
      <c r="D147" s="11" t="inlineStr">
        <is>
          <t>Shrimps</t>
        </is>
      </c>
      <c r="E147" t="n">
        <v>92.758633</v>
      </c>
      <c r="F147" t="n">
        <v>24.936879</v>
      </c>
      <c r="G147" t="n">
        <v>13.715732</v>
      </c>
      <c r="H147" t="n">
        <v>39.542201</v>
      </c>
      <c r="I147" t="n">
        <v>39.345557</v>
      </c>
      <c r="J147" t="n">
        <v>39.345557</v>
      </c>
      <c r="K147" t="n">
        <v>37.378279</v>
      </c>
      <c r="L147" t="n">
        <v>110.883242</v>
      </c>
      <c r="M147" t="n">
        <v>110.883242</v>
      </c>
      <c r="N147" t="n">
        <v>118.086052</v>
      </c>
      <c r="O147" t="n">
        <v>26.876504</v>
      </c>
      <c r="P147" t="n">
        <v>16.79886</v>
      </c>
      <c r="W147" t="n">
        <v>27.610867</v>
      </c>
      <c r="X147" t="n">
        <v>134.234083</v>
      </c>
      <c r="Y147" t="n">
        <v>8.001064</v>
      </c>
      <c r="Z147" t="n">
        <v>14.97557</v>
      </c>
    </row>
    <row r="148" ht="21" customHeight="1">
      <c r="A148" t="inlineStr">
        <is>
          <t>Rhizostomeae</t>
        </is>
      </c>
      <c r="B148" t="n">
        <v>3.46</v>
      </c>
      <c r="C148" t="n">
        <v>288.40315</v>
      </c>
      <c r="D148" s="11" t="inlineStr">
        <is>
          <t>Jellyfish</t>
        </is>
      </c>
      <c r="E148" t="n">
        <v>92.758633</v>
      </c>
      <c r="F148" t="n">
        <v>100</v>
      </c>
      <c r="G148" t="n">
        <v>42.488496</v>
      </c>
      <c r="H148" t="n">
        <v>40.364071</v>
      </c>
      <c r="I148" t="n">
        <v>0</v>
      </c>
      <c r="J148" t="n">
        <v>5.855218</v>
      </c>
      <c r="K148" t="n">
        <v>0</v>
      </c>
      <c r="L148" t="n">
        <v>0</v>
      </c>
      <c r="M148" t="n">
        <v>0</v>
      </c>
      <c r="N148" t="n">
        <v>0</v>
      </c>
      <c r="O148" t="n">
        <v>27.992074</v>
      </c>
      <c r="P148" t="n">
        <v>17.312674</v>
      </c>
      <c r="W148" t="n">
        <v>28.633264</v>
      </c>
      <c r="X148" t="n">
        <v>0</v>
      </c>
      <c r="Y148" t="n">
        <v>19.639386</v>
      </c>
      <c r="Z148" t="n">
        <v>18.657416</v>
      </c>
    </row>
    <row r="149" ht="21" customHeight="1">
      <c r="A149" t="inlineStr">
        <is>
          <t>Elagatis bipinnulata</t>
        </is>
      </c>
      <c r="B149" t="n">
        <v>4.27</v>
      </c>
      <c r="C149" t="n">
        <v>1862.087137</v>
      </c>
      <c r="D149" s="11" t="inlineStr">
        <is>
          <t>Lg. piscivores | Juv.Lg.Pisciv.</t>
        </is>
      </c>
      <c r="E149" t="n">
        <v>92.758633</v>
      </c>
      <c r="F149" t="n">
        <v>629.8141419999999</v>
      </c>
      <c r="G149" t="n">
        <v>190.080993</v>
      </c>
      <c r="H149" t="n">
        <v>480.632956</v>
      </c>
      <c r="I149" t="n">
        <v>315.097689</v>
      </c>
      <c r="J149" t="n">
        <v>315.097689</v>
      </c>
      <c r="K149" t="n">
        <v>292.632358</v>
      </c>
      <c r="L149" t="n">
        <v>806.383997</v>
      </c>
      <c r="M149" t="n">
        <v>806.383997</v>
      </c>
      <c r="N149" t="n">
        <v>851.766221</v>
      </c>
      <c r="O149" t="n">
        <v>204.799662</v>
      </c>
      <c r="P149" t="n">
        <v>89.620936</v>
      </c>
      <c r="W149" t="n">
        <v>213.690011</v>
      </c>
      <c r="X149" t="n">
        <v>962.931199</v>
      </c>
      <c r="Y149" t="n">
        <v>64.546074</v>
      </c>
      <c r="Z149" t="n">
        <v>110.616316</v>
      </c>
    </row>
    <row r="150" ht="21" customHeight="1">
      <c r="A150" t="inlineStr">
        <is>
          <t>Istiophorus</t>
        </is>
      </c>
      <c r="B150" t="n">
        <v>4.5</v>
      </c>
      <c r="C150" t="n">
        <v>3162.27766</v>
      </c>
      <c r="D150" s="11" t="inlineStr">
        <is>
          <t>Unresolved</t>
        </is>
      </c>
    </row>
    <row r="151" ht="21" customHeight="1">
      <c r="A151" t="inlineStr">
        <is>
          <t>Thunnus obesus</t>
        </is>
      </c>
      <c r="B151" t="n">
        <v>4.49</v>
      </c>
      <c r="C151" t="n">
        <v>3090.295433</v>
      </c>
      <c r="D151" s="11" t="inlineStr">
        <is>
          <t>Tuna</t>
        </is>
      </c>
      <c r="E151" t="n">
        <v>92.758633</v>
      </c>
      <c r="F151" t="n">
        <v>1217.891849</v>
      </c>
      <c r="G151" t="n">
        <v>325.165267</v>
      </c>
      <c r="H151" t="n">
        <v>703.930824</v>
      </c>
      <c r="I151" t="n">
        <v>327.693492</v>
      </c>
      <c r="J151" t="n">
        <v>327.693492</v>
      </c>
      <c r="K151" t="n">
        <v>311.308817</v>
      </c>
      <c r="L151" t="n">
        <v>675.870038</v>
      </c>
      <c r="M151" t="n">
        <v>675.870038</v>
      </c>
      <c r="N151" t="n">
        <v>710.633419</v>
      </c>
      <c r="O151" t="n">
        <v>254.942405</v>
      </c>
      <c r="P151" t="n">
        <v>107.862693</v>
      </c>
      <c r="W151" t="n">
        <v>271.503704</v>
      </c>
      <c r="X151" t="n">
        <v>791.598393</v>
      </c>
      <c r="Y151" t="n">
        <v>98.86518</v>
      </c>
      <c r="Z151" t="n">
        <v>153.001145</v>
      </c>
    </row>
    <row r="152" ht="21" customHeight="1">
      <c r="A152" t="inlineStr">
        <is>
          <t>Lates calcarifer</t>
        </is>
      </c>
      <c r="B152" t="n">
        <v>4.35</v>
      </c>
      <c r="C152" t="n">
        <v>2238.721139</v>
      </c>
      <c r="D152" s="11" t="inlineStr">
        <is>
          <t>Lg. piscivores | Juv.Lg.Pisciv.</t>
        </is>
      </c>
      <c r="E152" t="n">
        <v>92.758633</v>
      </c>
      <c r="F152" t="n">
        <v>629.8141419999999</v>
      </c>
      <c r="G152" t="n">
        <v>190.080993</v>
      </c>
      <c r="H152" t="n">
        <v>480.632956</v>
      </c>
      <c r="I152" t="n">
        <v>315.097689</v>
      </c>
      <c r="J152" t="n">
        <v>315.097689</v>
      </c>
      <c r="K152" t="n">
        <v>292.632358</v>
      </c>
      <c r="L152" t="n">
        <v>806.383997</v>
      </c>
      <c r="M152" t="n">
        <v>806.383997</v>
      </c>
      <c r="N152" t="n">
        <v>851.766221</v>
      </c>
      <c r="O152" t="n">
        <v>204.799662</v>
      </c>
      <c r="P152" t="n">
        <v>89.620936</v>
      </c>
      <c r="W152" t="n">
        <v>213.690011</v>
      </c>
      <c r="X152" t="n">
        <v>962.931199</v>
      </c>
      <c r="Y152" t="n">
        <v>64.546074</v>
      </c>
      <c r="Z152" t="n">
        <v>110.616316</v>
      </c>
    </row>
    <row r="153" ht="21" customHeight="1">
      <c r="A153" t="inlineStr">
        <is>
          <t>Monacanthidae</t>
        </is>
      </c>
      <c r="B153" t="n">
        <v>3</v>
      </c>
      <c r="C153" t="n">
        <v>100</v>
      </c>
      <c r="D153" s="11" t="inlineStr">
        <is>
          <t>Med.dem.benth.</t>
        </is>
      </c>
      <c r="E153" t="n">
        <v>92.758633</v>
      </c>
      <c r="F153" t="n">
        <v>274.243815</v>
      </c>
      <c r="G153" t="n">
        <v>96.59934699999999</v>
      </c>
      <c r="H153" t="n">
        <v>166.63869</v>
      </c>
      <c r="I153" t="n">
        <v>215.944796</v>
      </c>
      <c r="J153" t="n">
        <v>215.944796</v>
      </c>
      <c r="K153" t="n">
        <v>193.300587</v>
      </c>
      <c r="L153" t="n">
        <v>664.022909</v>
      </c>
      <c r="M153" t="n">
        <v>664.022909</v>
      </c>
      <c r="N153" t="n">
        <v>702.550582</v>
      </c>
      <c r="O153" t="n">
        <v>105.870272</v>
      </c>
      <c r="P153" t="n">
        <v>53.740614</v>
      </c>
      <c r="W153" t="n">
        <v>108.869834</v>
      </c>
      <c r="X153" t="n">
        <v>799.677877</v>
      </c>
      <c r="Y153" t="n">
        <v>37.70608</v>
      </c>
      <c r="Z153" t="n">
        <v>51.4265</v>
      </c>
    </row>
    <row r="154" ht="21" customHeight="1">
      <c r="A154" t="inlineStr">
        <is>
          <t>Thunnus</t>
        </is>
      </c>
      <c r="D154" s="11" t="inlineStr">
        <is>
          <t>Tuna</t>
        </is>
      </c>
      <c r="E154" t="n">
        <v>92.758633</v>
      </c>
      <c r="F154" t="n">
        <v>1217.891849</v>
      </c>
      <c r="G154" t="n">
        <v>325.165267</v>
      </c>
      <c r="H154" t="n">
        <v>703.930824</v>
      </c>
      <c r="I154" t="n">
        <v>327.693492</v>
      </c>
      <c r="J154" t="n">
        <v>327.693492</v>
      </c>
      <c r="K154" t="n">
        <v>311.308817</v>
      </c>
      <c r="L154" t="n">
        <v>675.870038</v>
      </c>
      <c r="M154" t="n">
        <v>675.870038</v>
      </c>
      <c r="N154" t="n">
        <v>710.633419</v>
      </c>
      <c r="O154" t="n">
        <v>254.942405</v>
      </c>
      <c r="P154" t="n">
        <v>107.862693</v>
      </c>
      <c r="W154" t="n">
        <v>271.503704</v>
      </c>
      <c r="X154" t="n">
        <v>791.598393</v>
      </c>
      <c r="Y154" t="n">
        <v>98.86518</v>
      </c>
      <c r="Z154" t="n">
        <v>153.001145</v>
      </c>
    </row>
    <row r="155" ht="21" customHeight="1">
      <c r="A155" t="inlineStr">
        <is>
          <t>Bivalvia</t>
        </is>
      </c>
      <c r="D155" s="11" t="inlineStr">
        <is>
          <t>Molluscs</t>
        </is>
      </c>
      <c r="E155" t="n">
        <v>92.758633</v>
      </c>
      <c r="F155" t="n">
        <v>15.848932</v>
      </c>
      <c r="G155" t="n">
        <v>9.483373</v>
      </c>
      <c r="H155" t="n">
        <v>13.28747</v>
      </c>
      <c r="I155" t="n">
        <v>8.760194</v>
      </c>
      <c r="J155" t="n">
        <v>8.760194</v>
      </c>
      <c r="K155" t="n">
        <v>7.884174</v>
      </c>
      <c r="L155" t="n">
        <v>10.549912</v>
      </c>
      <c r="M155" t="n">
        <v>10.549912</v>
      </c>
      <c r="N155" t="n">
        <v>10.809345</v>
      </c>
      <c r="O155" t="n">
        <v>8.798415</v>
      </c>
      <c r="P155" t="n">
        <v>6.022535</v>
      </c>
      <c r="W155" t="n">
        <v>8.947789999999999</v>
      </c>
      <c r="X155" t="n">
        <v>11.156289</v>
      </c>
      <c r="Y155" t="n">
        <v>5.968659</v>
      </c>
      <c r="Z155" t="n">
        <v>7.276791</v>
      </c>
    </row>
    <row r="156" ht="21" customHeight="1">
      <c r="A156" t="inlineStr">
        <is>
          <t>Scarus</t>
        </is>
      </c>
      <c r="B156" t="n">
        <v>2</v>
      </c>
      <c r="C156" t="n">
        <v>10</v>
      </c>
      <c r="D156" s="11" t="inlineStr">
        <is>
          <t>O.fish</t>
        </is>
      </c>
      <c r="E156" t="n">
        <v>92.758633</v>
      </c>
      <c r="F156" t="n">
        <v>41.788101</v>
      </c>
      <c r="G156" t="n">
        <v>20.881264</v>
      </c>
      <c r="H156" t="n">
        <v>52.028891</v>
      </c>
      <c r="I156" t="n">
        <v>48.21537</v>
      </c>
      <c r="J156" t="n">
        <v>48.21537</v>
      </c>
      <c r="K156" t="n">
        <v>48.150458</v>
      </c>
      <c r="L156" t="n">
        <v>135.960121</v>
      </c>
      <c r="M156" t="n">
        <v>135.960121</v>
      </c>
      <c r="N156" t="n">
        <v>143.850985</v>
      </c>
      <c r="O156" t="n">
        <v>31.644149</v>
      </c>
      <c r="P156" t="n">
        <v>18.19469</v>
      </c>
      <c r="W156" t="n">
        <v>32.429472</v>
      </c>
      <c r="X156" t="n">
        <v>163.410873</v>
      </c>
      <c r="Y156" t="n">
        <v>11.171569</v>
      </c>
      <c r="Z156" t="n">
        <v>19.389776</v>
      </c>
    </row>
    <row r="157" ht="21" customHeight="1">
      <c r="A157" t="inlineStr">
        <is>
          <t>Lactarius lactarius</t>
        </is>
      </c>
      <c r="B157" t="n">
        <v>3.97</v>
      </c>
      <c r="C157" t="n">
        <v>933.2543010000001</v>
      </c>
      <c r="D157" s="11" t="inlineStr">
        <is>
          <t>Med.dem.pisc.</t>
        </is>
      </c>
      <c r="E157" t="n">
        <v>92.758633</v>
      </c>
      <c r="F157" t="n">
        <v>213.954708</v>
      </c>
      <c r="G157" t="n">
        <v>78.922014</v>
      </c>
      <c r="H157" t="n">
        <v>192.983472</v>
      </c>
      <c r="I157" t="n">
        <v>158.091504</v>
      </c>
      <c r="J157" t="n">
        <v>158.091504</v>
      </c>
      <c r="K157" t="n">
        <v>155.980707</v>
      </c>
      <c r="L157" t="n">
        <v>445.224589</v>
      </c>
      <c r="M157" t="n">
        <v>445.224589</v>
      </c>
      <c r="N157" t="n">
        <v>471.516338</v>
      </c>
      <c r="O157" t="n">
        <v>104.595857</v>
      </c>
      <c r="P157" t="n">
        <v>51.592439</v>
      </c>
      <c r="W157" t="n">
        <v>108.487387</v>
      </c>
      <c r="X157" t="n">
        <v>535.009173</v>
      </c>
      <c r="Y157" t="n">
        <v>32.114569</v>
      </c>
      <c r="Z157" t="n">
        <v>52.467555</v>
      </c>
    </row>
    <row r="158" ht="21" customHeight="1">
      <c r="A158" t="inlineStr">
        <is>
          <t>Drepane</t>
        </is>
      </c>
      <c r="B158" t="n">
        <v>3.32</v>
      </c>
      <c r="C158" t="n">
        <v>208.929613</v>
      </c>
      <c r="D158" s="11" t="inlineStr">
        <is>
          <t>Med.dem.benth.</t>
        </is>
      </c>
      <c r="E158" t="n">
        <v>92.758633</v>
      </c>
      <c r="F158" t="n">
        <v>274.243815</v>
      </c>
      <c r="G158" t="n">
        <v>96.59934699999999</v>
      </c>
      <c r="H158" t="n">
        <v>166.63869</v>
      </c>
      <c r="I158" t="n">
        <v>215.944796</v>
      </c>
      <c r="J158" t="n">
        <v>215.944796</v>
      </c>
      <c r="K158" t="n">
        <v>193.300587</v>
      </c>
      <c r="L158" t="n">
        <v>664.022909</v>
      </c>
      <c r="M158" t="n">
        <v>664.022909</v>
      </c>
      <c r="N158" t="n">
        <v>702.550582</v>
      </c>
      <c r="O158" t="n">
        <v>105.870272</v>
      </c>
      <c r="P158" t="n">
        <v>53.740614</v>
      </c>
      <c r="W158" t="n">
        <v>108.869834</v>
      </c>
      <c r="X158" t="n">
        <v>799.677877</v>
      </c>
      <c r="Y158" t="n">
        <v>37.70608</v>
      </c>
      <c r="Z158" t="n">
        <v>51.4265</v>
      </c>
    </row>
    <row r="159" ht="21" customHeight="1">
      <c r="A159" t="inlineStr">
        <is>
          <t>Lethrinus</t>
        </is>
      </c>
      <c r="B159" t="n">
        <v>3.75</v>
      </c>
      <c r="C159" t="n">
        <v>562.341325</v>
      </c>
      <c r="D159" s="11" t="inlineStr">
        <is>
          <t>Med.dem.pisc.</t>
        </is>
      </c>
      <c r="E159" t="n">
        <v>92.758633</v>
      </c>
      <c r="F159" t="n">
        <v>213.954708</v>
      </c>
      <c r="G159" t="n">
        <v>78.922014</v>
      </c>
      <c r="H159" t="n">
        <v>192.983472</v>
      </c>
      <c r="I159" t="n">
        <v>158.091504</v>
      </c>
      <c r="J159" t="n">
        <v>158.091504</v>
      </c>
      <c r="K159" t="n">
        <v>155.980707</v>
      </c>
      <c r="L159" t="n">
        <v>445.224589</v>
      </c>
      <c r="M159" t="n">
        <v>445.224589</v>
      </c>
      <c r="N159" t="n">
        <v>471.516338</v>
      </c>
      <c r="O159" t="n">
        <v>104.595857</v>
      </c>
      <c r="P159" t="n">
        <v>51.592439</v>
      </c>
      <c r="W159" t="n">
        <v>108.487387</v>
      </c>
      <c r="X159" t="n">
        <v>535.009173</v>
      </c>
      <c r="Y159" t="n">
        <v>32.114569</v>
      </c>
      <c r="Z159" t="n">
        <v>52.467555</v>
      </c>
    </row>
    <row r="160" ht="21" customHeight="1">
      <c r="A160" t="inlineStr">
        <is>
          <t>Dussumieria elopsoides</t>
        </is>
      </c>
      <c r="B160" t="n">
        <v>3.4</v>
      </c>
      <c r="C160" t="n">
        <v>251.188643</v>
      </c>
      <c r="D160" s="11" t="inlineStr">
        <is>
          <t>Sm. pelagics</t>
        </is>
      </c>
      <c r="E160" t="n">
        <v>92.758633</v>
      </c>
      <c r="F160" t="n">
        <v>79.432823</v>
      </c>
      <c r="G160" t="n">
        <v>35.22555</v>
      </c>
      <c r="H160" t="n">
        <v>36.979496</v>
      </c>
      <c r="I160" t="n">
        <v>22.609246</v>
      </c>
      <c r="J160" t="n">
        <v>22.609246</v>
      </c>
      <c r="K160" t="n">
        <v>21.478784</v>
      </c>
      <c r="L160" t="n">
        <v>30.239099</v>
      </c>
      <c r="M160" t="n">
        <v>30.239099</v>
      </c>
      <c r="N160" t="n">
        <v>31.345103</v>
      </c>
      <c r="O160" t="n">
        <v>25.592867</v>
      </c>
      <c r="P160" t="n">
        <v>15.901406</v>
      </c>
      <c r="W160" t="n">
        <v>26.701358</v>
      </c>
      <c r="X160" t="n">
        <v>32.392065</v>
      </c>
      <c r="Y160" t="n">
        <v>16.922772</v>
      </c>
      <c r="Z160" t="n">
        <v>17.234838</v>
      </c>
    </row>
    <row r="161" ht="21" customHeight="1">
      <c r="A161" t="inlineStr">
        <is>
          <t>Rastrelliger brachysoma</t>
        </is>
      </c>
      <c r="B161" t="n">
        <v>2.72</v>
      </c>
      <c r="C161" t="n">
        <v>52.480746</v>
      </c>
      <c r="D161" s="11" t="inlineStr">
        <is>
          <t>Mackerel</t>
        </is>
      </c>
      <c r="E161" t="n">
        <v>92.758633</v>
      </c>
      <c r="F161" t="n">
        <v>79.432823</v>
      </c>
      <c r="G161" t="n">
        <v>35.22555</v>
      </c>
      <c r="H161" t="n">
        <v>36.979496</v>
      </c>
      <c r="I161" t="n">
        <v>22.609246</v>
      </c>
      <c r="J161" t="n">
        <v>22.609246</v>
      </c>
      <c r="K161" t="n">
        <v>21.478784</v>
      </c>
      <c r="L161" t="n">
        <v>30.239099</v>
      </c>
      <c r="M161" t="n">
        <v>30.239099</v>
      </c>
      <c r="N161" t="n">
        <v>31.345103</v>
      </c>
      <c r="O161" t="n">
        <v>25.592867</v>
      </c>
      <c r="P161" t="n">
        <v>15.901406</v>
      </c>
      <c r="W161" t="n">
        <v>26.679379</v>
      </c>
      <c r="X161" t="n">
        <v>32.242101</v>
      </c>
      <c r="Y161" t="n">
        <v>16.922772</v>
      </c>
      <c r="Z161" t="n">
        <v>17.234838</v>
      </c>
    </row>
    <row r="162" ht="21" customHeight="1">
      <c r="A162" t="inlineStr">
        <is>
          <t>Photopectoralis bindus</t>
        </is>
      </c>
      <c r="B162" t="n">
        <v>2.93</v>
      </c>
      <c r="C162" t="n">
        <v>85.113804</v>
      </c>
      <c r="D162" s="11" t="inlineStr">
        <is>
          <t>Ponyfishes</t>
        </is>
      </c>
      <c r="E162" t="n">
        <v>92.758633</v>
      </c>
      <c r="F162" t="n">
        <v>55.624121</v>
      </c>
      <c r="G162" t="n">
        <v>26.356091</v>
      </c>
      <c r="H162" t="n">
        <v>61.131005</v>
      </c>
      <c r="I162" t="n">
        <v>58.637366</v>
      </c>
      <c r="J162" t="n">
        <v>58.637366</v>
      </c>
      <c r="K162" t="n">
        <v>56.980549</v>
      </c>
      <c r="L162" t="n">
        <v>167.671166</v>
      </c>
      <c r="M162" t="n">
        <v>167.671166</v>
      </c>
      <c r="N162" t="n">
        <v>176.99785</v>
      </c>
      <c r="O162" t="n">
        <v>35.276744</v>
      </c>
      <c r="P162" t="n">
        <v>19.385003</v>
      </c>
      <c r="W162" t="n">
        <v>36.372559</v>
      </c>
      <c r="X162" t="n">
        <v>200.137074</v>
      </c>
      <c r="Y162" t="n">
        <v>13.440773</v>
      </c>
      <c r="Z162" t="n">
        <v>22.381404</v>
      </c>
    </row>
    <row r="163" ht="21" customHeight="1">
      <c r="A163" t="inlineStr">
        <is>
          <t>Istiophoridae</t>
        </is>
      </c>
      <c r="B163" t="n">
        <v>4.48</v>
      </c>
      <c r="C163" t="n">
        <v>3019.95172</v>
      </c>
      <c r="D163" s="11" t="inlineStr">
        <is>
          <t>Unresolved</t>
        </is>
      </c>
    </row>
    <row r="164" ht="21" customHeight="1">
      <c r="A164" t="inlineStr">
        <is>
          <t>Palinuridae</t>
        </is>
      </c>
      <c r="B164" t="n">
        <v>3.14</v>
      </c>
      <c r="C164" t="n">
        <v>138.038426</v>
      </c>
      <c r="D164" s="11" t="inlineStr">
        <is>
          <t>Crab, lobster</t>
        </is>
      </c>
      <c r="E164" t="n">
        <v>92.758633</v>
      </c>
      <c r="F164" t="n">
        <v>55.221127</v>
      </c>
      <c r="G164" t="n">
        <v>26.200528</v>
      </c>
      <c r="H164" t="n">
        <v>80.616586</v>
      </c>
      <c r="I164" t="n">
        <v>96.283275</v>
      </c>
      <c r="J164" t="n">
        <v>96.283275</v>
      </c>
      <c r="K164" t="n">
        <v>82.59048</v>
      </c>
      <c r="L164" t="n">
        <v>295.897518</v>
      </c>
      <c r="M164" t="n">
        <v>295.897518</v>
      </c>
      <c r="N164" t="n">
        <v>313.590452</v>
      </c>
      <c r="O164" t="n">
        <v>47.292261</v>
      </c>
      <c r="P164" t="n">
        <v>26.133043</v>
      </c>
      <c r="W164" t="n">
        <v>48.215972</v>
      </c>
      <c r="X164" t="n">
        <v>354.467589</v>
      </c>
      <c r="Y164" t="n">
        <v>13.377731</v>
      </c>
      <c r="Z164" t="n">
        <v>27.235027</v>
      </c>
    </row>
    <row r="165" ht="21" customHeight="1">
      <c r="A165" t="inlineStr">
        <is>
          <t>Gazza minuta</t>
        </is>
      </c>
      <c r="B165" t="n">
        <v>4.19</v>
      </c>
      <c r="C165" t="n">
        <v>1548.816619</v>
      </c>
      <c r="D165" s="11" t="inlineStr">
        <is>
          <t>Ponyfishes</t>
        </is>
      </c>
      <c r="E165" t="n">
        <v>92.758633</v>
      </c>
      <c r="F165" t="n">
        <v>55.624121</v>
      </c>
      <c r="G165" t="n">
        <v>26.356091</v>
      </c>
      <c r="H165" t="n">
        <v>61.131005</v>
      </c>
      <c r="I165" t="n">
        <v>58.637366</v>
      </c>
      <c r="J165" t="n">
        <v>58.637366</v>
      </c>
      <c r="K165" t="n">
        <v>56.980549</v>
      </c>
      <c r="L165" t="n">
        <v>167.671166</v>
      </c>
      <c r="M165" t="n">
        <v>167.671166</v>
      </c>
      <c r="N165" t="n">
        <v>176.99785</v>
      </c>
      <c r="O165" t="n">
        <v>35.276744</v>
      </c>
      <c r="P165" t="n">
        <v>19.385003</v>
      </c>
      <c r="W165" t="n">
        <v>36.372559</v>
      </c>
      <c r="X165" t="n">
        <v>200.137074</v>
      </c>
      <c r="Y165" t="n">
        <v>13.440773</v>
      </c>
      <c r="Z165" t="n">
        <v>22.381404</v>
      </c>
    </row>
    <row r="166" ht="21" customHeight="1">
      <c r="A166" t="inlineStr">
        <is>
          <t>Sardinella fimbriata</t>
        </is>
      </c>
      <c r="B166" t="n">
        <v>2.7</v>
      </c>
      <c r="C166" t="n">
        <v>50.118723</v>
      </c>
      <c r="D166" s="11" t="inlineStr">
        <is>
          <t>Sm. pelagics</t>
        </is>
      </c>
      <c r="E166" t="n">
        <v>92.758633</v>
      </c>
      <c r="F166" t="n">
        <v>79.432823</v>
      </c>
      <c r="G166" t="n">
        <v>35.22555</v>
      </c>
      <c r="H166" t="n">
        <v>36.979496</v>
      </c>
      <c r="I166" t="n">
        <v>22.609246</v>
      </c>
      <c r="J166" t="n">
        <v>22.609246</v>
      </c>
      <c r="K166" t="n">
        <v>21.478784</v>
      </c>
      <c r="L166" t="n">
        <v>30.239099</v>
      </c>
      <c r="M166" t="n">
        <v>30.239099</v>
      </c>
      <c r="N166" t="n">
        <v>31.345103</v>
      </c>
      <c r="O166" t="n">
        <v>25.592867</v>
      </c>
      <c r="P166" t="n">
        <v>15.901406</v>
      </c>
      <c r="W166" t="n">
        <v>26.701358</v>
      </c>
      <c r="X166" t="n">
        <v>32.392065</v>
      </c>
      <c r="Y166" t="n">
        <v>16.922772</v>
      </c>
      <c r="Z166" t="n">
        <v>17.234838</v>
      </c>
    </row>
    <row r="167" ht="21" customHeight="1">
      <c r="A167" t="inlineStr">
        <is>
          <t>Terapon theraps</t>
        </is>
      </c>
      <c r="B167" t="n">
        <v>3.49</v>
      </c>
      <c r="C167" t="n">
        <v>309.029543</v>
      </c>
      <c r="D167" s="11" t="inlineStr">
        <is>
          <t>Sm.dem.benth.</t>
        </is>
      </c>
      <c r="E167" t="n">
        <v>92.758633</v>
      </c>
      <c r="F167" t="n">
        <v>135.946622</v>
      </c>
      <c r="G167" t="n">
        <v>54.557109</v>
      </c>
      <c r="H167" t="n">
        <v>104.458273</v>
      </c>
      <c r="I167" t="n">
        <v>106.771533</v>
      </c>
      <c r="J167" t="n">
        <v>106.771533</v>
      </c>
      <c r="K167" t="n">
        <v>89.978955</v>
      </c>
      <c r="L167" t="n">
        <v>308.045854</v>
      </c>
      <c r="M167" t="n">
        <v>308.045854</v>
      </c>
      <c r="N167" t="n">
        <v>325.959633</v>
      </c>
      <c r="O167" t="n">
        <v>56.685005</v>
      </c>
      <c r="P167" t="n">
        <v>30.438514</v>
      </c>
      <c r="W167" t="n">
        <v>58.087916</v>
      </c>
      <c r="X167" t="n">
        <v>369.109424</v>
      </c>
      <c r="Y167" t="n">
        <v>23.952956</v>
      </c>
      <c r="Z167" t="n">
        <v>34.558123</v>
      </c>
    </row>
    <row r="168" ht="21" customHeight="1">
      <c r="A168" t="inlineStr">
        <is>
          <t>Psettodidae</t>
        </is>
      </c>
      <c r="B168" t="n">
        <v>3.83</v>
      </c>
      <c r="C168" t="n">
        <v>676.082975</v>
      </c>
      <c r="D168" s="11" t="inlineStr">
        <is>
          <t>Med.dem.pisc.</t>
        </is>
      </c>
      <c r="E168" t="n">
        <v>92.758633</v>
      </c>
      <c r="F168" t="n">
        <v>213.954708</v>
      </c>
      <c r="G168" t="n">
        <v>78.922014</v>
      </c>
      <c r="H168" t="n">
        <v>192.983472</v>
      </c>
      <c r="I168" t="n">
        <v>158.091504</v>
      </c>
      <c r="J168" t="n">
        <v>158.091504</v>
      </c>
      <c r="K168" t="n">
        <v>155.980707</v>
      </c>
      <c r="L168" t="n">
        <v>445.224589</v>
      </c>
      <c r="M168" t="n">
        <v>445.224589</v>
      </c>
      <c r="N168" t="n">
        <v>471.516338</v>
      </c>
      <c r="O168" t="n">
        <v>104.595857</v>
      </c>
      <c r="P168" t="n">
        <v>51.592439</v>
      </c>
      <c r="W168" t="n">
        <v>108.487387</v>
      </c>
      <c r="X168" t="n">
        <v>535.009173</v>
      </c>
      <c r="Y168" t="n">
        <v>32.114569</v>
      </c>
      <c r="Z168" t="n">
        <v>52.467555</v>
      </c>
    </row>
    <row r="169" ht="21" customHeight="1">
      <c r="A169" t="inlineStr">
        <is>
          <t>Pampus chinensis</t>
        </is>
      </c>
      <c r="B169" t="n">
        <v>3.6</v>
      </c>
      <c r="C169" t="n">
        <v>398.107171</v>
      </c>
      <c r="D169" s="11" t="inlineStr">
        <is>
          <t>Med.dem.benth.</t>
        </is>
      </c>
      <c r="E169" t="n">
        <v>92.758633</v>
      </c>
      <c r="F169" t="n">
        <v>274.243815</v>
      </c>
      <c r="G169" t="n">
        <v>96.59934699999999</v>
      </c>
      <c r="H169" t="n">
        <v>166.63869</v>
      </c>
      <c r="I169" t="n">
        <v>215.944796</v>
      </c>
      <c r="J169" t="n">
        <v>215.944796</v>
      </c>
      <c r="K169" t="n">
        <v>193.300587</v>
      </c>
      <c r="L169" t="n">
        <v>664.022909</v>
      </c>
      <c r="M169" t="n">
        <v>664.022909</v>
      </c>
      <c r="N169" t="n">
        <v>702.550582</v>
      </c>
      <c r="O169" t="n">
        <v>105.870272</v>
      </c>
      <c r="P169" t="n">
        <v>53.740614</v>
      </c>
      <c r="W169" t="n">
        <v>108.869834</v>
      </c>
      <c r="X169" t="n">
        <v>799.677877</v>
      </c>
      <c r="Y169" t="n">
        <v>37.70608</v>
      </c>
      <c r="Z169" t="n">
        <v>51.4265</v>
      </c>
    </row>
    <row r="170" ht="66" customHeight="1">
      <c r="A170" t="inlineStr">
        <is>
          <t>Perciformes</t>
        </is>
      </c>
      <c r="B170" t="n">
        <v>3.53</v>
      </c>
      <c r="C170" t="n">
        <v>338.844156</v>
      </c>
      <c r="D170" s="11" t="inlineStr">
        <is>
          <t>Grouper/snapper | Juv. groupers | Med.dem.benth. | Med.dem.pisc. | O.fish | Sm.dem.benth. | Sm.dem.pisc.</t>
        </is>
      </c>
      <c r="E170" t="n">
        <v>92.758633</v>
      </c>
      <c r="F170" t="n">
        <v>141.288559</v>
      </c>
      <c r="G170" t="n">
        <v>53.23792</v>
      </c>
      <c r="H170" t="n">
        <v>121.074449</v>
      </c>
      <c r="I170" t="n">
        <v>107.225923</v>
      </c>
      <c r="J170" t="n">
        <v>107.225923</v>
      </c>
      <c r="K170" t="n">
        <v>100.553383</v>
      </c>
      <c r="L170" t="n">
        <v>307.384185</v>
      </c>
      <c r="M170" t="n">
        <v>307.384185</v>
      </c>
      <c r="N170" t="n">
        <v>325.392932</v>
      </c>
      <c r="O170" t="n">
        <v>64.43221800000001</v>
      </c>
      <c r="P170" t="n">
        <v>33.063908</v>
      </c>
      <c r="W170" t="n">
        <v>66.503328</v>
      </c>
      <c r="X170" t="n">
        <v>371.351551</v>
      </c>
      <c r="Y170" t="n">
        <v>22.558521</v>
      </c>
      <c r="Z170" t="n">
        <v>36.057889</v>
      </c>
    </row>
    <row r="171" ht="21" customHeight="1">
      <c r="A171" t="inlineStr">
        <is>
          <t>Priacanthus tayenus</t>
        </is>
      </c>
      <c r="B171" t="n">
        <v>3.79</v>
      </c>
      <c r="C171" t="n">
        <v>616.595002</v>
      </c>
      <c r="D171" s="11" t="inlineStr">
        <is>
          <t>Sm.dem.pisc.</t>
        </is>
      </c>
      <c r="E171" t="n">
        <v>92.758633</v>
      </c>
      <c r="F171" t="n">
        <v>197.409669</v>
      </c>
      <c r="G171" t="n">
        <v>73.916488</v>
      </c>
      <c r="H171" t="n">
        <v>154.823545</v>
      </c>
      <c r="I171" t="n">
        <v>115.690597</v>
      </c>
      <c r="J171" t="n">
        <v>115.690597</v>
      </c>
      <c r="K171" t="n">
        <v>113.409335</v>
      </c>
      <c r="L171" t="n">
        <v>329.659655</v>
      </c>
      <c r="M171" t="n">
        <v>329.659655</v>
      </c>
      <c r="N171" t="n">
        <v>349.391819</v>
      </c>
      <c r="O171" t="n">
        <v>73.656982</v>
      </c>
      <c r="P171" t="n">
        <v>38.008692</v>
      </c>
      <c r="W171" t="n">
        <v>76.063031</v>
      </c>
      <c r="X171" t="n">
        <v>403.967718</v>
      </c>
      <c r="Y171" t="n">
        <v>30.486142</v>
      </c>
      <c r="Z171" t="n">
        <v>45.747918</v>
      </c>
    </row>
    <row r="172" ht="21" customHeight="1">
      <c r="A172" t="inlineStr">
        <is>
          <t>Eubleekeria splendens</t>
        </is>
      </c>
      <c r="B172" t="n">
        <v>2.94</v>
      </c>
      <c r="C172" t="n">
        <v>87.09635900000001</v>
      </c>
      <c r="D172" s="11" t="inlineStr">
        <is>
          <t>Ponyfishes</t>
        </is>
      </c>
      <c r="E172" t="n">
        <v>92.758633</v>
      </c>
      <c r="F172" t="n">
        <v>55.624121</v>
      </c>
      <c r="G172" t="n">
        <v>26.356091</v>
      </c>
      <c r="H172" t="n">
        <v>61.131005</v>
      </c>
      <c r="I172" t="n">
        <v>58.637366</v>
      </c>
      <c r="J172" t="n">
        <v>58.637366</v>
      </c>
      <c r="K172" t="n">
        <v>56.980549</v>
      </c>
      <c r="L172" t="n">
        <v>167.671166</v>
      </c>
      <c r="M172" t="n">
        <v>167.671166</v>
      </c>
      <c r="N172" t="n">
        <v>176.99785</v>
      </c>
      <c r="O172" t="n">
        <v>35.276744</v>
      </c>
      <c r="P172" t="n">
        <v>19.385003</v>
      </c>
      <c r="W172" t="n">
        <v>36.372559</v>
      </c>
      <c r="X172" t="n">
        <v>200.137074</v>
      </c>
      <c r="Y172" t="n">
        <v>13.440773</v>
      </c>
      <c r="Z172" t="n">
        <v>22.381404</v>
      </c>
    </row>
    <row r="173" ht="21" customHeight="1">
      <c r="A173" t="inlineStr">
        <is>
          <t>Scyllaridae</t>
        </is>
      </c>
      <c r="B173" t="n">
        <v>2.87</v>
      </c>
      <c r="C173" t="n">
        <v>74.131024</v>
      </c>
      <c r="D173" s="11" t="inlineStr">
        <is>
          <t>Crab, lobster</t>
        </is>
      </c>
      <c r="E173" t="n">
        <v>92.758633</v>
      </c>
      <c r="F173" t="n">
        <v>55.221127</v>
      </c>
      <c r="G173" t="n">
        <v>26.200528</v>
      </c>
      <c r="H173" t="n">
        <v>80.616586</v>
      </c>
      <c r="I173" t="n">
        <v>96.283275</v>
      </c>
      <c r="J173" t="n">
        <v>96.283275</v>
      </c>
      <c r="K173" t="n">
        <v>82.59048</v>
      </c>
      <c r="L173" t="n">
        <v>295.897518</v>
      </c>
      <c r="M173" t="n">
        <v>295.897518</v>
      </c>
      <c r="N173" t="n">
        <v>313.590452</v>
      </c>
      <c r="O173" t="n">
        <v>47.292261</v>
      </c>
      <c r="P173" t="n">
        <v>26.133043</v>
      </c>
      <c r="W173" t="n">
        <v>48.215972</v>
      </c>
      <c r="X173" t="n">
        <v>354.467589</v>
      </c>
      <c r="Y173" t="n">
        <v>13.377731</v>
      </c>
      <c r="Z173" t="n">
        <v>27.235027</v>
      </c>
    </row>
    <row r="174" ht="21" customHeight="1">
      <c r="A174" t="inlineStr">
        <is>
          <t>Sphyraenidae</t>
        </is>
      </c>
      <c r="B174" t="n">
        <v>4.4</v>
      </c>
      <c r="C174" t="n">
        <v>2511.886432</v>
      </c>
      <c r="D174" s="11" t="inlineStr">
        <is>
          <t>Juv.Lg.Pisciv. | Lg. piscivores</t>
        </is>
      </c>
      <c r="E174" t="n">
        <v>92.758633</v>
      </c>
      <c r="F174" t="n">
        <v>629.8141419999999</v>
      </c>
      <c r="G174" t="n">
        <v>190.080993</v>
      </c>
      <c r="H174" t="n">
        <v>480.632956</v>
      </c>
      <c r="I174" t="n">
        <v>315.097689</v>
      </c>
      <c r="J174" t="n">
        <v>315.097689</v>
      </c>
      <c r="K174" t="n">
        <v>292.632358</v>
      </c>
      <c r="L174" t="n">
        <v>806.383997</v>
      </c>
      <c r="M174" t="n">
        <v>806.383997</v>
      </c>
      <c r="N174" t="n">
        <v>851.766221</v>
      </c>
      <c r="O174" t="n">
        <v>204.799662</v>
      </c>
      <c r="P174" t="n">
        <v>89.620936</v>
      </c>
      <c r="W174" t="n">
        <v>213.690011</v>
      </c>
      <c r="X174" t="n">
        <v>962.931199</v>
      </c>
      <c r="Y174" t="n">
        <v>64.546074</v>
      </c>
      <c r="Z174" t="n">
        <v>110.616316</v>
      </c>
    </row>
    <row r="175" ht="21" customHeight="1">
      <c r="A175" t="inlineStr">
        <is>
          <t>Gerres</t>
        </is>
      </c>
      <c r="B175" t="n">
        <v>3.27</v>
      </c>
      <c r="C175" t="n">
        <v>186.208714</v>
      </c>
      <c r="D175" s="11" t="inlineStr">
        <is>
          <t>Sm.dem.benth.</t>
        </is>
      </c>
      <c r="E175" t="n">
        <v>92.758633</v>
      </c>
      <c r="F175" t="n">
        <v>135.946622</v>
      </c>
      <c r="G175" t="n">
        <v>54.557109</v>
      </c>
      <c r="H175" t="n">
        <v>104.458273</v>
      </c>
      <c r="I175" t="n">
        <v>106.771533</v>
      </c>
      <c r="J175" t="n">
        <v>106.771533</v>
      </c>
      <c r="K175" t="n">
        <v>89.978955</v>
      </c>
      <c r="L175" t="n">
        <v>308.045854</v>
      </c>
      <c r="M175" t="n">
        <v>308.045854</v>
      </c>
      <c r="N175" t="n">
        <v>325.959633</v>
      </c>
      <c r="O175" t="n">
        <v>56.685005</v>
      </c>
      <c r="P175" t="n">
        <v>30.438514</v>
      </c>
      <c r="W175" t="n">
        <v>58.087916</v>
      </c>
      <c r="X175" t="n">
        <v>369.109424</v>
      </c>
      <c r="Y175" t="n">
        <v>23.952956</v>
      </c>
      <c r="Z175" t="n">
        <v>34.558123</v>
      </c>
    </row>
    <row r="176" ht="21" customHeight="1">
      <c r="A176" t="inlineStr">
        <is>
          <t>Xiphias gladius</t>
        </is>
      </c>
      <c r="B176" t="n">
        <v>4.53</v>
      </c>
      <c r="C176" t="n">
        <v>3388.441561</v>
      </c>
      <c r="D176" s="11" t="inlineStr">
        <is>
          <t>Unresolved</t>
        </is>
      </c>
    </row>
    <row r="177" ht="21" customHeight="1">
      <c r="A177" t="inlineStr">
        <is>
          <t>Haemulidae</t>
        </is>
      </c>
      <c r="B177" t="n">
        <v>3.36</v>
      </c>
      <c r="C177" t="n">
        <v>229.086765</v>
      </c>
      <c r="D177" s="11" t="inlineStr">
        <is>
          <t>Med.dem.benth.</t>
        </is>
      </c>
      <c r="E177" t="n">
        <v>92.758633</v>
      </c>
      <c r="F177" t="n">
        <v>274.243815</v>
      </c>
      <c r="G177" t="n">
        <v>96.59934699999999</v>
      </c>
      <c r="H177" t="n">
        <v>166.63869</v>
      </c>
      <c r="I177" t="n">
        <v>215.944796</v>
      </c>
      <c r="J177" t="n">
        <v>215.944796</v>
      </c>
      <c r="K177" t="n">
        <v>193.300587</v>
      </c>
      <c r="L177" t="n">
        <v>664.022909</v>
      </c>
      <c r="M177" t="n">
        <v>664.022909</v>
      </c>
      <c r="N177" t="n">
        <v>702.550582</v>
      </c>
      <c r="O177" t="n">
        <v>105.870272</v>
      </c>
      <c r="P177" t="n">
        <v>53.740614</v>
      </c>
      <c r="W177" t="n">
        <v>108.869834</v>
      </c>
      <c r="X177" t="n">
        <v>799.677877</v>
      </c>
      <c r="Y177" t="n">
        <v>37.70608</v>
      </c>
      <c r="Z177" t="n">
        <v>51.4265</v>
      </c>
    </row>
    <row r="178" ht="21" customHeight="1">
      <c r="A178" t="inlineStr">
        <is>
          <t>Thryssa</t>
        </is>
      </c>
      <c r="B178" t="n">
        <v>3.34</v>
      </c>
      <c r="C178" t="n">
        <v>218.776162</v>
      </c>
      <c r="D178" s="11" t="inlineStr">
        <is>
          <t>Sm. pelagics</t>
        </is>
      </c>
      <c r="E178" t="n">
        <v>92.758633</v>
      </c>
      <c r="F178" t="n">
        <v>79.432823</v>
      </c>
      <c r="G178" t="n">
        <v>35.22555</v>
      </c>
      <c r="H178" t="n">
        <v>36.979496</v>
      </c>
      <c r="I178" t="n">
        <v>22.609246</v>
      </c>
      <c r="J178" t="n">
        <v>22.609246</v>
      </c>
      <c r="K178" t="n">
        <v>21.478784</v>
      </c>
      <c r="L178" t="n">
        <v>30.239099</v>
      </c>
      <c r="M178" t="n">
        <v>30.239099</v>
      </c>
      <c r="N178" t="n">
        <v>31.345103</v>
      </c>
      <c r="O178" t="n">
        <v>25.592867</v>
      </c>
      <c r="P178" t="n">
        <v>15.901406</v>
      </c>
      <c r="W178" t="n">
        <v>26.701358</v>
      </c>
      <c r="X178" t="n">
        <v>32.392065</v>
      </c>
      <c r="Y178" t="n">
        <v>16.922772</v>
      </c>
      <c r="Z178" t="n">
        <v>17.234838</v>
      </c>
    </row>
    <row r="179" ht="21" customHeight="1">
      <c r="A179" t="inlineStr">
        <is>
          <t>Hilsa kelee</t>
        </is>
      </c>
      <c r="B179" t="n">
        <v>3.25</v>
      </c>
      <c r="C179" t="n">
        <v>177.827941</v>
      </c>
      <c r="D179" s="11" t="inlineStr">
        <is>
          <t>Sm. pelagics</t>
        </is>
      </c>
      <c r="E179" t="n">
        <v>92.758633</v>
      </c>
      <c r="F179" t="n">
        <v>79.432823</v>
      </c>
      <c r="G179" t="n">
        <v>35.22555</v>
      </c>
      <c r="H179" t="n">
        <v>36.979496</v>
      </c>
      <c r="I179" t="n">
        <v>22.609246</v>
      </c>
      <c r="J179" t="n">
        <v>22.609246</v>
      </c>
      <c r="K179" t="n">
        <v>21.478784</v>
      </c>
      <c r="L179" t="n">
        <v>30.239099</v>
      </c>
      <c r="M179" t="n">
        <v>30.239099</v>
      </c>
      <c r="N179" t="n">
        <v>31.345103</v>
      </c>
      <c r="O179" t="n">
        <v>25.592867</v>
      </c>
      <c r="P179" t="n">
        <v>15.901406</v>
      </c>
      <c r="W179" t="n">
        <v>26.701358</v>
      </c>
      <c r="X179" t="n">
        <v>32.392065</v>
      </c>
      <c r="Y179" t="n">
        <v>16.922772</v>
      </c>
      <c r="Z179" t="n">
        <v>17.234838</v>
      </c>
    </row>
    <row r="180" ht="21" customHeight="1">
      <c r="A180" t="inlineStr">
        <is>
          <t>Octopus</t>
        </is>
      </c>
      <c r="B180" t="n">
        <v>3.8</v>
      </c>
      <c r="C180" t="n">
        <v>630.957344</v>
      </c>
      <c r="D180" s="11" t="inlineStr">
        <is>
          <t>Cephalopods</t>
        </is>
      </c>
      <c r="E180" t="n">
        <v>92.758633</v>
      </c>
      <c r="F180" t="n">
        <v>207.108363</v>
      </c>
      <c r="G180" t="n">
        <v>76.859779</v>
      </c>
      <c r="H180" t="n">
        <v>153.276012</v>
      </c>
      <c r="I180" t="n">
        <v>121.77284</v>
      </c>
      <c r="J180" t="n">
        <v>121.77284</v>
      </c>
      <c r="K180" t="n">
        <v>118.23963</v>
      </c>
      <c r="L180" t="n">
        <v>349.557692</v>
      </c>
      <c r="M180" t="n">
        <v>349.557692</v>
      </c>
      <c r="N180" t="n">
        <v>370.254323</v>
      </c>
      <c r="O180" t="n">
        <v>98.097358</v>
      </c>
      <c r="P180" t="n">
        <v>49.643681</v>
      </c>
      <c r="W180" t="n">
        <v>100.957994</v>
      </c>
      <c r="X180" t="n">
        <v>407.059034</v>
      </c>
      <c r="Y180" t="n">
        <v>31.446324</v>
      </c>
      <c r="Z180" t="n">
        <v>45.753688</v>
      </c>
    </row>
    <row r="181" ht="21" customHeight="1">
      <c r="A181" t="inlineStr">
        <is>
          <t>Lethrinidae</t>
        </is>
      </c>
      <c r="B181" t="n">
        <v>3.59</v>
      </c>
      <c r="C181" t="n">
        <v>389.045145</v>
      </c>
      <c r="D181" s="11" t="inlineStr">
        <is>
          <t>Med.dem.pisc.</t>
        </is>
      </c>
      <c r="E181" t="n">
        <v>92.758633</v>
      </c>
      <c r="F181" t="n">
        <v>213.954708</v>
      </c>
      <c r="G181" t="n">
        <v>78.922014</v>
      </c>
      <c r="H181" t="n">
        <v>192.983472</v>
      </c>
      <c r="I181" t="n">
        <v>158.091504</v>
      </c>
      <c r="J181" t="n">
        <v>158.091504</v>
      </c>
      <c r="K181" t="n">
        <v>155.980707</v>
      </c>
      <c r="L181" t="n">
        <v>445.224589</v>
      </c>
      <c r="M181" t="n">
        <v>445.224589</v>
      </c>
      <c r="N181" t="n">
        <v>471.516338</v>
      </c>
      <c r="O181" t="n">
        <v>104.595857</v>
      </c>
      <c r="P181" t="n">
        <v>51.592439</v>
      </c>
      <c r="W181" t="n">
        <v>108.487387</v>
      </c>
      <c r="X181" t="n">
        <v>535.009173</v>
      </c>
      <c r="Y181" t="n">
        <v>32.114569</v>
      </c>
      <c r="Z181" t="n">
        <v>52.467555</v>
      </c>
    </row>
    <row r="182" ht="21" customHeight="1">
      <c r="A182" t="inlineStr">
        <is>
          <t>Pampus</t>
        </is>
      </c>
      <c r="B182" t="n">
        <v>3.41</v>
      </c>
      <c r="C182" t="n">
        <v>257.039578</v>
      </c>
      <c r="D182" s="11" t="inlineStr">
        <is>
          <t>Med.dem.benth.</t>
        </is>
      </c>
      <c r="E182" t="n">
        <v>92.758633</v>
      </c>
      <c r="F182" t="n">
        <v>274.243815</v>
      </c>
      <c r="G182" t="n">
        <v>96.59934699999999</v>
      </c>
      <c r="H182" t="n">
        <v>166.63869</v>
      </c>
      <c r="I182" t="n">
        <v>215.944796</v>
      </c>
      <c r="J182" t="n">
        <v>215.944796</v>
      </c>
      <c r="K182" t="n">
        <v>193.300587</v>
      </c>
      <c r="L182" t="n">
        <v>664.022909</v>
      </c>
      <c r="M182" t="n">
        <v>664.022909</v>
      </c>
      <c r="N182" t="n">
        <v>702.550582</v>
      </c>
      <c r="O182" t="n">
        <v>105.870272</v>
      </c>
      <c r="P182" t="n">
        <v>53.740614</v>
      </c>
      <c r="W182" t="n">
        <v>108.869834</v>
      </c>
      <c r="X182" t="n">
        <v>799.677877</v>
      </c>
      <c r="Y182" t="n">
        <v>37.70608</v>
      </c>
      <c r="Z182" t="n">
        <v>51.4265</v>
      </c>
    </row>
    <row r="183" ht="21" customHeight="1">
      <c r="A183" t="inlineStr">
        <is>
          <t>Platycaranx malabaricus</t>
        </is>
      </c>
      <c r="B183" t="n">
        <v>3.88</v>
      </c>
      <c r="C183" t="n">
        <v>758.577575</v>
      </c>
      <c r="D183" s="11" t="inlineStr">
        <is>
          <t>Lg. piscivores | Juv.Lg.Pisciv.</t>
        </is>
      </c>
      <c r="E183" t="n">
        <v>92.758633</v>
      </c>
      <c r="F183" t="n">
        <v>629.8141419999999</v>
      </c>
      <c r="G183" t="n">
        <v>190.080993</v>
      </c>
      <c r="H183" t="n">
        <v>480.632956</v>
      </c>
      <c r="I183" t="n">
        <v>315.097689</v>
      </c>
      <c r="J183" t="n">
        <v>315.097689</v>
      </c>
      <c r="K183" t="n">
        <v>292.632358</v>
      </c>
      <c r="L183" t="n">
        <v>806.383997</v>
      </c>
      <c r="M183" t="n">
        <v>806.383997</v>
      </c>
      <c r="N183" t="n">
        <v>851.766221</v>
      </c>
      <c r="O183" t="n">
        <v>204.799662</v>
      </c>
      <c r="P183" t="n">
        <v>89.620936</v>
      </c>
      <c r="W183" t="n">
        <v>213.690011</v>
      </c>
      <c r="X183" t="n">
        <v>962.931199</v>
      </c>
      <c r="Y183" t="n">
        <v>64.546074</v>
      </c>
      <c r="Z183" t="n">
        <v>110.616316</v>
      </c>
    </row>
    <row r="184" ht="21" customHeight="1">
      <c r="A184" t="inlineStr">
        <is>
          <t>Crassostrea</t>
        </is>
      </c>
      <c r="D184" s="11" t="inlineStr">
        <is>
          <t>Molluscs</t>
        </is>
      </c>
      <c r="E184" t="n">
        <v>92.758633</v>
      </c>
      <c r="F184" t="n">
        <v>15.848932</v>
      </c>
      <c r="G184" t="n">
        <v>9.483373</v>
      </c>
      <c r="H184" t="n">
        <v>13.28747</v>
      </c>
      <c r="I184" t="n">
        <v>8.760194</v>
      </c>
      <c r="J184" t="n">
        <v>8.760194</v>
      </c>
      <c r="K184" t="n">
        <v>7.884174</v>
      </c>
      <c r="L184" t="n">
        <v>10.549912</v>
      </c>
      <c r="M184" t="n">
        <v>10.549912</v>
      </c>
      <c r="N184" t="n">
        <v>10.809345</v>
      </c>
      <c r="O184" t="n">
        <v>8.798415</v>
      </c>
      <c r="P184" t="n">
        <v>6.022535</v>
      </c>
      <c r="W184" t="n">
        <v>8.947789999999999</v>
      </c>
      <c r="X184" t="n">
        <v>11.156289</v>
      </c>
      <c r="Y184" t="n">
        <v>5.968659</v>
      </c>
      <c r="Z184" t="n">
        <v>7.276791</v>
      </c>
    </row>
    <row r="185" ht="21" customHeight="1">
      <c r="A185" t="inlineStr">
        <is>
          <t>Gnathanodon speciosus</t>
        </is>
      </c>
      <c r="B185" t="n">
        <v>3.84</v>
      </c>
      <c r="C185" t="n">
        <v>691.830971</v>
      </c>
      <c r="D185" s="11" t="inlineStr">
        <is>
          <t>Lg. piscivores | Juv.Lg.Pisciv.</t>
        </is>
      </c>
      <c r="E185" t="n">
        <v>92.758633</v>
      </c>
      <c r="F185" t="n">
        <v>629.8141419999999</v>
      </c>
      <c r="G185" t="n">
        <v>190.080993</v>
      </c>
      <c r="H185" t="n">
        <v>480.632956</v>
      </c>
      <c r="I185" t="n">
        <v>315.097689</v>
      </c>
      <c r="J185" t="n">
        <v>315.097689</v>
      </c>
      <c r="K185" t="n">
        <v>292.632358</v>
      </c>
      <c r="L185" t="n">
        <v>806.383997</v>
      </c>
      <c r="M185" t="n">
        <v>806.383997</v>
      </c>
      <c r="N185" t="n">
        <v>851.766221</v>
      </c>
      <c r="O185" t="n">
        <v>204.799662</v>
      </c>
      <c r="P185" t="n">
        <v>89.620936</v>
      </c>
      <c r="W185" t="n">
        <v>213.690011</v>
      </c>
      <c r="X185" t="n">
        <v>962.931199</v>
      </c>
      <c r="Y185" t="n">
        <v>64.546074</v>
      </c>
      <c r="Z185" t="n">
        <v>110.616316</v>
      </c>
    </row>
    <row r="186" ht="21" customHeight="1">
      <c r="A186" t="inlineStr">
        <is>
          <t>Aluterus</t>
        </is>
      </c>
      <c r="B186" t="n">
        <v>2.81</v>
      </c>
      <c r="C186" t="n">
        <v>64.565423</v>
      </c>
      <c r="D186" s="11" t="inlineStr">
        <is>
          <t>Med.dem.benth.</t>
        </is>
      </c>
      <c r="E186" t="n">
        <v>92.758633</v>
      </c>
      <c r="F186" t="n">
        <v>274.243815</v>
      </c>
      <c r="G186" t="n">
        <v>96.59934699999999</v>
      </c>
      <c r="H186" t="n">
        <v>166.63869</v>
      </c>
      <c r="I186" t="n">
        <v>215.944796</v>
      </c>
      <c r="J186" t="n">
        <v>215.944796</v>
      </c>
      <c r="K186" t="n">
        <v>193.300587</v>
      </c>
      <c r="L186" t="n">
        <v>664.022909</v>
      </c>
      <c r="M186" t="n">
        <v>664.022909</v>
      </c>
      <c r="N186" t="n">
        <v>702.550582</v>
      </c>
      <c r="O186" t="n">
        <v>105.870272</v>
      </c>
      <c r="P186" t="n">
        <v>53.740614</v>
      </c>
      <c r="W186" t="n">
        <v>108.869834</v>
      </c>
      <c r="X186" t="n">
        <v>799.677877</v>
      </c>
      <c r="Y186" t="n">
        <v>37.70608</v>
      </c>
      <c r="Z186" t="n">
        <v>51.4265</v>
      </c>
    </row>
    <row r="187" ht="21" customHeight="1">
      <c r="A187" t="inlineStr">
        <is>
          <t>Scatophagus</t>
        </is>
      </c>
      <c r="B187" t="n">
        <v>2.75</v>
      </c>
      <c r="C187" t="n">
        <v>56.234133</v>
      </c>
      <c r="D187" s="11" t="inlineStr">
        <is>
          <t>O.fish</t>
        </is>
      </c>
      <c r="E187" t="n">
        <v>92.758633</v>
      </c>
      <c r="F187" t="n">
        <v>41.788101</v>
      </c>
      <c r="G187" t="n">
        <v>20.881264</v>
      </c>
      <c r="H187" t="n">
        <v>52.028891</v>
      </c>
      <c r="I187" t="n">
        <v>48.21537</v>
      </c>
      <c r="J187" t="n">
        <v>48.21537</v>
      </c>
      <c r="K187" t="n">
        <v>48.150458</v>
      </c>
      <c r="L187" t="n">
        <v>135.960121</v>
      </c>
      <c r="M187" t="n">
        <v>135.960121</v>
      </c>
      <c r="N187" t="n">
        <v>143.850985</v>
      </c>
      <c r="O187" t="n">
        <v>31.644149</v>
      </c>
      <c r="P187" t="n">
        <v>18.19469</v>
      </c>
      <c r="W187" t="n">
        <v>32.429472</v>
      </c>
      <c r="X187" t="n">
        <v>163.410873</v>
      </c>
      <c r="Y187" t="n">
        <v>11.171569</v>
      </c>
      <c r="Z187" t="n">
        <v>19.389776</v>
      </c>
    </row>
    <row r="188" ht="21" customHeight="1">
      <c r="A188" t="inlineStr">
        <is>
          <t>Panulirus polyphagus</t>
        </is>
      </c>
      <c r="B188" t="n">
        <v>2.94</v>
      </c>
      <c r="C188" t="n">
        <v>87.09635900000001</v>
      </c>
      <c r="D188" s="11" t="inlineStr">
        <is>
          <t>Crab, lobster</t>
        </is>
      </c>
      <c r="E188" t="n">
        <v>92.758633</v>
      </c>
      <c r="F188" t="n">
        <v>55.221127</v>
      </c>
      <c r="G188" t="n">
        <v>26.200528</v>
      </c>
      <c r="H188" t="n">
        <v>80.616586</v>
      </c>
      <c r="I188" t="n">
        <v>96.283275</v>
      </c>
      <c r="J188" t="n">
        <v>96.283275</v>
      </c>
      <c r="K188" t="n">
        <v>82.59048</v>
      </c>
      <c r="L188" t="n">
        <v>295.897518</v>
      </c>
      <c r="M188" t="n">
        <v>295.897518</v>
      </c>
      <c r="N188" t="n">
        <v>313.590452</v>
      </c>
      <c r="O188" t="n">
        <v>47.292261</v>
      </c>
      <c r="P188" t="n">
        <v>26.133043</v>
      </c>
      <c r="W188" t="n">
        <v>48.215972</v>
      </c>
      <c r="X188" t="n">
        <v>354.467589</v>
      </c>
      <c r="Y188" t="n">
        <v>13.377731</v>
      </c>
      <c r="Z188" t="n">
        <v>27.235027</v>
      </c>
    </row>
    <row r="189" ht="21" customHeight="1">
      <c r="A189" t="inlineStr">
        <is>
          <t>Makaira mazara</t>
        </is>
      </c>
      <c r="B189" t="n">
        <v>4.46</v>
      </c>
      <c r="C189" t="n">
        <v>2884.031503</v>
      </c>
      <c r="D189" s="11" t="inlineStr">
        <is>
          <t>Unresolved</t>
        </is>
      </c>
    </row>
    <row r="190" ht="21" customHeight="1">
      <c r="A190" t="inlineStr">
        <is>
          <t>Miscellaneous marine crustaceans</t>
        </is>
      </c>
      <c r="B190" t="n">
        <v>2.7</v>
      </c>
      <c r="C190" t="n">
        <v>50.118723</v>
      </c>
      <c r="D190" s="11" t="inlineStr">
        <is>
          <t>Shrimps</t>
        </is>
      </c>
      <c r="E190" t="n">
        <v>92.758633</v>
      </c>
      <c r="F190" t="n">
        <v>24.936879</v>
      </c>
      <c r="G190" t="n">
        <v>13.715732</v>
      </c>
      <c r="H190" t="n">
        <v>39.542201</v>
      </c>
      <c r="I190" t="n">
        <v>39.345557</v>
      </c>
      <c r="J190" t="n">
        <v>39.345557</v>
      </c>
      <c r="K190" t="n">
        <v>37.378279</v>
      </c>
      <c r="L190" t="n">
        <v>110.883242</v>
      </c>
      <c r="M190" t="n">
        <v>110.883242</v>
      </c>
      <c r="N190" t="n">
        <v>118.086052</v>
      </c>
      <c r="O190" t="n">
        <v>26.876504</v>
      </c>
      <c r="P190" t="n">
        <v>16.79886</v>
      </c>
      <c r="W190" t="n">
        <v>27.610867</v>
      </c>
      <c r="X190" t="n">
        <v>134.234083</v>
      </c>
      <c r="Y190" t="n">
        <v>8.001064</v>
      </c>
      <c r="Z190" t="n">
        <v>14.97557</v>
      </c>
    </row>
    <row r="191" ht="21" customHeight="1">
      <c r="A191" t="inlineStr">
        <is>
          <t>Platycephalus indicus</t>
        </is>
      </c>
      <c r="B191" t="n">
        <v>3.6</v>
      </c>
      <c r="C191" t="n">
        <v>398.107171</v>
      </c>
      <c r="D191" s="11" t="inlineStr">
        <is>
          <t>Med.dem.pisc.</t>
        </is>
      </c>
      <c r="E191" t="n">
        <v>92.758633</v>
      </c>
      <c r="F191" t="n">
        <v>213.954708</v>
      </c>
      <c r="G191" t="n">
        <v>78.922014</v>
      </c>
      <c r="H191" t="n">
        <v>192.983472</v>
      </c>
      <c r="I191" t="n">
        <v>158.091504</v>
      </c>
      <c r="J191" t="n">
        <v>158.091504</v>
      </c>
      <c r="K191" t="n">
        <v>155.980707</v>
      </c>
      <c r="L191" t="n">
        <v>445.224589</v>
      </c>
      <c r="M191" t="n">
        <v>445.224589</v>
      </c>
      <c r="N191" t="n">
        <v>471.516338</v>
      </c>
      <c r="O191" t="n">
        <v>104.595857</v>
      </c>
      <c r="P191" t="n">
        <v>51.592439</v>
      </c>
      <c r="W191" t="n">
        <v>108.487387</v>
      </c>
      <c r="X191" t="n">
        <v>535.009173</v>
      </c>
      <c r="Y191" t="n">
        <v>32.114569</v>
      </c>
      <c r="Z191" t="n">
        <v>52.467555</v>
      </c>
    </row>
    <row r="192" ht="21" customHeight="1">
      <c r="A192" t="inlineStr">
        <is>
          <t>Holothuriidae</t>
        </is>
      </c>
      <c r="D192" s="11" t="inlineStr">
        <is>
          <t>Benthos</t>
        </is>
      </c>
      <c r="E192" t="n">
        <v>92.758633</v>
      </c>
      <c r="F192" t="n">
        <v>30.493728</v>
      </c>
      <c r="G192" t="n">
        <v>16.156554</v>
      </c>
      <c r="H192" t="n">
        <v>23.735388</v>
      </c>
      <c r="I192" t="n">
        <v>40.29524</v>
      </c>
      <c r="J192" t="n">
        <v>40.29524</v>
      </c>
      <c r="K192" t="n">
        <v>13.120387</v>
      </c>
      <c r="L192" t="n">
        <v>126.575988</v>
      </c>
      <c r="M192" t="n">
        <v>126.575988</v>
      </c>
      <c r="N192" t="n">
        <v>133.836756</v>
      </c>
      <c r="O192" t="n">
        <v>21.065935</v>
      </c>
      <c r="P192" t="n">
        <v>13.449167</v>
      </c>
      <c r="W192" t="n">
        <v>21.490914</v>
      </c>
      <c r="X192" t="n">
        <v>150.538596</v>
      </c>
      <c r="Y192" t="n">
        <v>9.112489</v>
      </c>
      <c r="Z192" t="n">
        <v>11.291188</v>
      </c>
    </row>
    <row r="193" ht="21" customHeight="1">
      <c r="A193" t="inlineStr">
        <is>
          <t>Istiompax indica</t>
        </is>
      </c>
      <c r="B193" t="n">
        <v>4.5</v>
      </c>
      <c r="C193" t="n">
        <v>3162.27766</v>
      </c>
      <c r="D193" s="11" t="inlineStr">
        <is>
          <t>Unresolved</t>
        </is>
      </c>
    </row>
    <row r="194" ht="21" customHeight="1">
      <c r="A194" t="inlineStr">
        <is>
          <t>Menidae</t>
        </is>
      </c>
      <c r="B194" t="n">
        <v>3.45</v>
      </c>
      <c r="C194" t="n">
        <v>281.838293</v>
      </c>
      <c r="D194" s="11" t="inlineStr">
        <is>
          <t>Med.dem.benth.</t>
        </is>
      </c>
      <c r="E194" t="n">
        <v>92.758633</v>
      </c>
      <c r="F194" t="n">
        <v>274.243815</v>
      </c>
      <c r="G194" t="n">
        <v>96.59934699999999</v>
      </c>
      <c r="H194" t="n">
        <v>166.63869</v>
      </c>
      <c r="I194" t="n">
        <v>215.944796</v>
      </c>
      <c r="J194" t="n">
        <v>215.944796</v>
      </c>
      <c r="K194" t="n">
        <v>193.300587</v>
      </c>
      <c r="L194" t="n">
        <v>664.022909</v>
      </c>
      <c r="M194" t="n">
        <v>664.022909</v>
      </c>
      <c r="N194" t="n">
        <v>702.550582</v>
      </c>
      <c r="O194" t="n">
        <v>105.870272</v>
      </c>
      <c r="P194" t="n">
        <v>53.740614</v>
      </c>
      <c r="W194" t="n">
        <v>108.869834</v>
      </c>
      <c r="X194" t="n">
        <v>799.677877</v>
      </c>
      <c r="Y194" t="n">
        <v>37.70608</v>
      </c>
      <c r="Z194" t="n">
        <v>51.4265</v>
      </c>
    </row>
    <row r="195" ht="21" customHeight="1">
      <c r="A195" t="inlineStr">
        <is>
          <t>Hyporhamphus</t>
        </is>
      </c>
      <c r="B195" t="n">
        <v>3.3</v>
      </c>
      <c r="C195" t="n">
        <v>199.526231</v>
      </c>
      <c r="D195" s="11" t="inlineStr">
        <is>
          <t>Sm. pelagics</t>
        </is>
      </c>
      <c r="E195" t="n">
        <v>92.758633</v>
      </c>
      <c r="F195" t="n">
        <v>79.432823</v>
      </c>
      <c r="G195" t="n">
        <v>35.22555</v>
      </c>
      <c r="H195" t="n">
        <v>36.979496</v>
      </c>
      <c r="I195" t="n">
        <v>22.609246</v>
      </c>
      <c r="J195" t="n">
        <v>22.609246</v>
      </c>
      <c r="K195" t="n">
        <v>21.478784</v>
      </c>
      <c r="L195" t="n">
        <v>30.239099</v>
      </c>
      <c r="M195" t="n">
        <v>30.239099</v>
      </c>
      <c r="N195" t="n">
        <v>31.345103</v>
      </c>
      <c r="O195" t="n">
        <v>25.592867</v>
      </c>
      <c r="P195" t="n">
        <v>15.901406</v>
      </c>
      <c r="W195" t="n">
        <v>26.701358</v>
      </c>
      <c r="X195" t="n">
        <v>32.392065</v>
      </c>
      <c r="Y195" t="n">
        <v>16.922772</v>
      </c>
      <c r="Z195" t="n">
        <v>17.234838</v>
      </c>
    </row>
    <row r="196" ht="21" customHeight="1">
      <c r="A196" t="inlineStr">
        <is>
          <t>Caranx sexfasciatus</t>
        </is>
      </c>
      <c r="B196" t="n">
        <v>4.5</v>
      </c>
      <c r="C196" t="n">
        <v>3162.27766</v>
      </c>
      <c r="D196" s="11" t="inlineStr">
        <is>
          <t>Lg. piscivores | Juv.Lg.Pisciv.</t>
        </is>
      </c>
      <c r="E196" t="n">
        <v>92.758633</v>
      </c>
      <c r="F196" t="n">
        <v>629.8141419999999</v>
      </c>
      <c r="G196" t="n">
        <v>190.080993</v>
      </c>
      <c r="H196" t="n">
        <v>480.632956</v>
      </c>
      <c r="I196" t="n">
        <v>315.097689</v>
      </c>
      <c r="J196" t="n">
        <v>315.097689</v>
      </c>
      <c r="K196" t="n">
        <v>292.632358</v>
      </c>
      <c r="L196" t="n">
        <v>806.383997</v>
      </c>
      <c r="M196" t="n">
        <v>806.383997</v>
      </c>
      <c r="N196" t="n">
        <v>851.766221</v>
      </c>
      <c r="O196" t="n">
        <v>204.799662</v>
      </c>
      <c r="P196" t="n">
        <v>89.620936</v>
      </c>
      <c r="W196" t="n">
        <v>213.690011</v>
      </c>
      <c r="X196" t="n">
        <v>962.931199</v>
      </c>
      <c r="Y196" t="n">
        <v>64.546074</v>
      </c>
      <c r="Z196" t="n">
        <v>110.616316</v>
      </c>
    </row>
    <row r="197" ht="21" customHeight="1">
      <c r="A197" t="inlineStr">
        <is>
          <t>Megalops cyprinoides</t>
        </is>
      </c>
      <c r="B197" t="n">
        <v>3.48</v>
      </c>
      <c r="C197" t="n">
        <v>301.995172</v>
      </c>
      <c r="D197" s="11" t="inlineStr">
        <is>
          <t>Lg. piscivores | Juv.Lg.Pisciv.</t>
        </is>
      </c>
      <c r="E197" t="n">
        <v>92.758633</v>
      </c>
      <c r="F197" t="n">
        <v>629.8141419999999</v>
      </c>
      <c r="G197" t="n">
        <v>190.080993</v>
      </c>
      <c r="H197" t="n">
        <v>480.632956</v>
      </c>
      <c r="I197" t="n">
        <v>315.097689</v>
      </c>
      <c r="J197" t="n">
        <v>315.097689</v>
      </c>
      <c r="K197" t="n">
        <v>292.632358</v>
      </c>
      <c r="L197" t="n">
        <v>806.383997</v>
      </c>
      <c r="M197" t="n">
        <v>806.383997</v>
      </c>
      <c r="N197" t="n">
        <v>851.766221</v>
      </c>
      <c r="O197" t="n">
        <v>204.799662</v>
      </c>
      <c r="P197" t="n">
        <v>89.620936</v>
      </c>
      <c r="W197" t="n">
        <v>213.690011</v>
      </c>
      <c r="X197" t="n">
        <v>962.931199</v>
      </c>
      <c r="Y197" t="n">
        <v>64.546074</v>
      </c>
      <c r="Z197" t="n">
        <v>110.616316</v>
      </c>
    </row>
    <row r="198" ht="21" customHeight="1">
      <c r="A198" t="inlineStr">
        <is>
          <t>Spratelloides</t>
        </is>
      </c>
      <c r="D198" s="11" t="inlineStr">
        <is>
          <t>Sm. pelagics</t>
        </is>
      </c>
      <c r="E198" t="n">
        <v>92.758633</v>
      </c>
      <c r="F198" t="n">
        <v>79.432823</v>
      </c>
      <c r="G198" t="n">
        <v>35.22555</v>
      </c>
      <c r="H198" t="n">
        <v>36.979496</v>
      </c>
      <c r="I198" t="n">
        <v>22.609246</v>
      </c>
      <c r="J198" t="n">
        <v>22.609246</v>
      </c>
      <c r="K198" t="n">
        <v>21.478784</v>
      </c>
      <c r="L198" t="n">
        <v>30.239099</v>
      </c>
      <c r="M198" t="n">
        <v>30.239099</v>
      </c>
      <c r="N198" t="n">
        <v>31.345103</v>
      </c>
      <c r="O198" t="n">
        <v>25.592867</v>
      </c>
      <c r="P198" t="n">
        <v>15.901406</v>
      </c>
      <c r="W198" t="n">
        <v>26.701358</v>
      </c>
      <c r="X198" t="n">
        <v>32.392065</v>
      </c>
      <c r="Y198" t="n">
        <v>16.922772</v>
      </c>
      <c r="Z198" t="n">
        <v>17.234838</v>
      </c>
    </row>
    <row r="199" ht="21" customHeight="1">
      <c r="A199" t="inlineStr">
        <is>
          <t>Marine pelagic fishes not identified</t>
        </is>
      </c>
      <c r="D199" s="11" t="inlineStr">
        <is>
          <t>Sm. pelagics | Scad</t>
        </is>
      </c>
      <c r="E199" t="n">
        <v>92.758633</v>
      </c>
      <c r="F199" t="n">
        <v>151.090119</v>
      </c>
      <c r="G199" t="n">
        <v>57.530433</v>
      </c>
      <c r="H199" t="n">
        <v>79.516319</v>
      </c>
      <c r="I199" t="n">
        <v>44.490129</v>
      </c>
      <c r="J199" t="n">
        <v>44.490129</v>
      </c>
      <c r="K199" t="n">
        <v>42.265623</v>
      </c>
      <c r="L199" t="n">
        <v>82.177165</v>
      </c>
      <c r="M199" t="n">
        <v>82.177165</v>
      </c>
      <c r="N199" t="n">
        <v>86.168481</v>
      </c>
      <c r="O199" t="n">
        <v>41.946198</v>
      </c>
      <c r="P199" t="n">
        <v>23.359158</v>
      </c>
      <c r="W199" t="n">
        <v>43.771361</v>
      </c>
      <c r="X199" t="n">
        <v>93.067706</v>
      </c>
      <c r="Y199" t="n">
        <v>24.39843</v>
      </c>
      <c r="Z199" t="n">
        <v>28.786252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Unresolved</t>
        </is>
      </c>
    </row>
    <row r="201" ht="21" customHeight="1">
      <c r="A201" t="inlineStr">
        <is>
          <t>Thunnus alalunga</t>
        </is>
      </c>
      <c r="B201" t="n">
        <v>4.3</v>
      </c>
      <c r="C201" t="n">
        <v>1995.262315</v>
      </c>
      <c r="D201" s="11" t="inlineStr">
        <is>
          <t>Tuna</t>
        </is>
      </c>
      <c r="E201" t="n">
        <v>92.758633</v>
      </c>
      <c r="F201" t="n">
        <v>1217.891849</v>
      </c>
      <c r="G201" t="n">
        <v>325.165267</v>
      </c>
      <c r="H201" t="n">
        <v>703.930824</v>
      </c>
      <c r="I201" t="n">
        <v>327.693492</v>
      </c>
      <c r="J201" t="n">
        <v>327.693492</v>
      </c>
      <c r="K201" t="n">
        <v>311.308817</v>
      </c>
      <c r="L201" t="n">
        <v>675.870038</v>
      </c>
      <c r="M201" t="n">
        <v>675.870038</v>
      </c>
      <c r="N201" t="n">
        <v>710.633419</v>
      </c>
      <c r="O201" t="n">
        <v>254.942405</v>
      </c>
      <c r="P201" t="n">
        <v>107.862693</v>
      </c>
      <c r="W201" t="n">
        <v>271.503704</v>
      </c>
      <c r="X201" t="n">
        <v>791.598393</v>
      </c>
      <c r="Y201" t="n">
        <v>98.86518</v>
      </c>
      <c r="Z201" t="n">
        <v>153.001145</v>
      </c>
    </row>
    <row r="202" ht="21" customHeight="1">
      <c r="A202" t="inlineStr">
        <is>
          <t>Scatophagus argus</t>
        </is>
      </c>
      <c r="B202" t="n">
        <v>2.99</v>
      </c>
      <c r="C202" t="n">
        <v>97.723722</v>
      </c>
      <c r="D202" s="11" t="inlineStr">
        <is>
          <t>O.fish</t>
        </is>
      </c>
      <c r="E202" t="n">
        <v>92.758633</v>
      </c>
      <c r="F202" t="n">
        <v>41.788101</v>
      </c>
      <c r="G202" t="n">
        <v>20.881264</v>
      </c>
      <c r="H202" t="n">
        <v>52.028891</v>
      </c>
      <c r="I202" t="n">
        <v>48.21537</v>
      </c>
      <c r="J202" t="n">
        <v>48.21537</v>
      </c>
      <c r="K202" t="n">
        <v>48.150458</v>
      </c>
      <c r="L202" t="n">
        <v>135.960121</v>
      </c>
      <c r="M202" t="n">
        <v>135.960121</v>
      </c>
      <c r="N202" t="n">
        <v>143.850985</v>
      </c>
      <c r="O202" t="n">
        <v>31.644149</v>
      </c>
      <c r="P202" t="n">
        <v>18.19469</v>
      </c>
      <c r="W202" t="n">
        <v>32.429472</v>
      </c>
      <c r="X202" t="n">
        <v>163.410873</v>
      </c>
      <c r="Y202" t="n">
        <v>11.171569</v>
      </c>
      <c r="Z202" t="n">
        <v>19.389776</v>
      </c>
    </row>
    <row r="203" ht="21" customHeight="1">
      <c r="A203" t="inlineStr">
        <is>
          <t>Panulirus</t>
        </is>
      </c>
      <c r="D203" s="11" t="inlineStr">
        <is>
          <t>Crab, lobster</t>
        </is>
      </c>
      <c r="E203" t="n">
        <v>92.758633</v>
      </c>
      <c r="F203" t="n">
        <v>55.221127</v>
      </c>
      <c r="G203" t="n">
        <v>26.200528</v>
      </c>
      <c r="H203" t="n">
        <v>80.616586</v>
      </c>
      <c r="I203" t="n">
        <v>96.283275</v>
      </c>
      <c r="J203" t="n">
        <v>96.283275</v>
      </c>
      <c r="K203" t="n">
        <v>82.59048</v>
      </c>
      <c r="L203" t="n">
        <v>295.897518</v>
      </c>
      <c r="M203" t="n">
        <v>295.897518</v>
      </c>
      <c r="N203" t="n">
        <v>313.590452</v>
      </c>
      <c r="O203" t="n">
        <v>47.292261</v>
      </c>
      <c r="P203" t="n">
        <v>26.133043</v>
      </c>
      <c r="W203" t="n">
        <v>48.215972</v>
      </c>
      <c r="X203" t="n">
        <v>354.467589</v>
      </c>
      <c r="Y203" t="n">
        <v>13.377731</v>
      </c>
      <c r="Z203" t="n">
        <v>27.235027</v>
      </c>
    </row>
    <row r="204" ht="21" customHeight="1">
      <c r="A204" t="inlineStr">
        <is>
          <t>Istiophorus platypterus</t>
        </is>
      </c>
      <c r="D204" s="11" t="inlineStr">
        <is>
          <t>Unresolved</t>
        </is>
      </c>
    </row>
    <row r="205" ht="21" customHeight="1">
      <c r="A205" t="inlineStr">
        <is>
          <t>Ostreidae</t>
        </is>
      </c>
      <c r="B205" t="n">
        <v>2</v>
      </c>
      <c r="C205" t="n">
        <v>10</v>
      </c>
      <c r="D205" s="11" t="inlineStr">
        <is>
          <t>Molluscs</t>
        </is>
      </c>
      <c r="E205" t="n">
        <v>92.758633</v>
      </c>
      <c r="F205" t="n">
        <v>15.848932</v>
      </c>
      <c r="G205" t="n">
        <v>9.483373</v>
      </c>
      <c r="H205" t="n">
        <v>13.28747</v>
      </c>
      <c r="I205" t="n">
        <v>8.760194</v>
      </c>
      <c r="J205" t="n">
        <v>8.760194</v>
      </c>
      <c r="K205" t="n">
        <v>7.884174</v>
      </c>
      <c r="L205" t="n">
        <v>10.549912</v>
      </c>
      <c r="M205" t="n">
        <v>10.549912</v>
      </c>
      <c r="N205" t="n">
        <v>10.809345</v>
      </c>
      <c r="O205" t="n">
        <v>8.798415</v>
      </c>
      <c r="P205" t="n">
        <v>6.022535</v>
      </c>
      <c r="W205" t="n">
        <v>8.947789999999999</v>
      </c>
      <c r="X205" t="n">
        <v>11.156289</v>
      </c>
      <c r="Y205" t="n">
        <v>5.968659</v>
      </c>
      <c r="Z205" t="n">
        <v>7.276791</v>
      </c>
    </row>
    <row r="206" ht="21" customHeight="1">
      <c r="A206" t="inlineStr">
        <is>
          <t>Stromateidae</t>
        </is>
      </c>
      <c r="D206" s="11" t="inlineStr">
        <is>
          <t>Med.dem.benth.</t>
        </is>
      </c>
      <c r="E206" t="n">
        <v>92.758633</v>
      </c>
      <c r="F206" t="n">
        <v>274.243815</v>
      </c>
      <c r="G206" t="n">
        <v>96.59934699999999</v>
      </c>
      <c r="H206" t="n">
        <v>166.63869</v>
      </c>
      <c r="I206" t="n">
        <v>215.944796</v>
      </c>
      <c r="J206" t="n">
        <v>215.944796</v>
      </c>
      <c r="K206" t="n">
        <v>193.300587</v>
      </c>
      <c r="L206" t="n">
        <v>664.022909</v>
      </c>
      <c r="M206" t="n">
        <v>664.022909</v>
      </c>
      <c r="N206" t="n">
        <v>702.550582</v>
      </c>
      <c r="O206" t="n">
        <v>105.870272</v>
      </c>
      <c r="P206" t="n">
        <v>53.740614</v>
      </c>
      <c r="W206" t="n">
        <v>108.869834</v>
      </c>
      <c r="X206" t="n">
        <v>799.677877</v>
      </c>
      <c r="Y206" t="n">
        <v>37.70608</v>
      </c>
      <c r="Z206" t="n">
        <v>51.4265</v>
      </c>
    </row>
    <row r="207" ht="21" customHeight="1">
      <c r="A207" t="inlineStr">
        <is>
          <t>Aluterus monoceros</t>
        </is>
      </c>
      <c r="B207" t="n">
        <v>3.84</v>
      </c>
      <c r="C207" t="n">
        <v>691.830971</v>
      </c>
      <c r="D207" s="11" t="inlineStr">
        <is>
          <t>Med.dem.benth.</t>
        </is>
      </c>
      <c r="E207" t="n">
        <v>92.758633</v>
      </c>
      <c r="F207" t="n">
        <v>274.243815</v>
      </c>
      <c r="G207" t="n">
        <v>96.59934699999999</v>
      </c>
      <c r="H207" t="n">
        <v>166.63869</v>
      </c>
      <c r="I207" t="n">
        <v>215.944796</v>
      </c>
      <c r="J207" t="n">
        <v>215.944796</v>
      </c>
      <c r="K207" t="n">
        <v>193.300587</v>
      </c>
      <c r="L207" t="n">
        <v>664.022909</v>
      </c>
      <c r="M207" t="n">
        <v>664.022909</v>
      </c>
      <c r="N207" t="n">
        <v>702.550582</v>
      </c>
      <c r="O207" t="n">
        <v>105.870272</v>
      </c>
      <c r="P207" t="n">
        <v>53.740614</v>
      </c>
      <c r="W207" t="n">
        <v>108.869834</v>
      </c>
      <c r="X207" t="n">
        <v>799.677877</v>
      </c>
      <c r="Y207" t="n">
        <v>37.70608</v>
      </c>
      <c r="Z207" t="n">
        <v>51.4265</v>
      </c>
    </row>
    <row r="208" ht="21" customHeight="1">
      <c r="A208" t="inlineStr">
        <is>
          <t>Chondrichthyes</t>
        </is>
      </c>
      <c r="B208" t="n">
        <v>4</v>
      </c>
      <c r="C208" t="n">
        <v>1000</v>
      </c>
      <c r="D208" s="11" t="inlineStr">
        <is>
          <t>Sharks | Juv. sharks | Rays</t>
        </is>
      </c>
      <c r="E208" t="n">
        <v>92.758633</v>
      </c>
      <c r="F208" t="n">
        <v>212.350179</v>
      </c>
      <c r="G208" t="n">
        <v>78.43981700000001</v>
      </c>
      <c r="H208" t="n">
        <v>150.198585</v>
      </c>
      <c r="I208" t="n">
        <v>190.421399</v>
      </c>
      <c r="J208" t="n">
        <v>190.421399</v>
      </c>
      <c r="K208" t="n">
        <v>181.353722</v>
      </c>
      <c r="L208" t="n">
        <v>590.0073</v>
      </c>
      <c r="M208" t="n">
        <v>590.0073</v>
      </c>
      <c r="N208" t="n">
        <v>624.45599</v>
      </c>
      <c r="O208" t="n">
        <v>98.99208</v>
      </c>
      <c r="P208" t="n">
        <v>50.910468</v>
      </c>
      <c r="W208" t="n">
        <v>103.810463</v>
      </c>
      <c r="X208" t="n">
        <v>714.522996</v>
      </c>
      <c r="Y208" t="n">
        <v>31.958644</v>
      </c>
      <c r="Z208" t="n">
        <v>47.110524</v>
      </c>
    </row>
    <row r="209" ht="21" customHeight="1">
      <c r="A209" t="inlineStr">
        <is>
          <t>Echinodermata</t>
        </is>
      </c>
      <c r="B209" t="n">
        <v>2.3</v>
      </c>
      <c r="C209" t="n">
        <v>19.952623</v>
      </c>
      <c r="D209" s="11" t="inlineStr">
        <is>
          <t>Benthos</t>
        </is>
      </c>
      <c r="E209" t="n">
        <v>92.758633</v>
      </c>
      <c r="F209" t="n">
        <v>30.493728</v>
      </c>
      <c r="G209" t="n">
        <v>16.156554</v>
      </c>
      <c r="H209" t="n">
        <v>23.735388</v>
      </c>
      <c r="I209" t="n">
        <v>40.29524</v>
      </c>
      <c r="J209" t="n">
        <v>40.29524</v>
      </c>
      <c r="K209" t="n">
        <v>13.120387</v>
      </c>
      <c r="L209" t="n">
        <v>126.575988</v>
      </c>
      <c r="M209" t="n">
        <v>126.575988</v>
      </c>
      <c r="N209" t="n">
        <v>133.836756</v>
      </c>
      <c r="O209" t="n">
        <v>21.065935</v>
      </c>
      <c r="P209" t="n">
        <v>13.449167</v>
      </c>
      <c r="W209" t="n">
        <v>21.490914</v>
      </c>
      <c r="X209" t="n">
        <v>150.538596</v>
      </c>
      <c r="Y209" t="n">
        <v>9.112489</v>
      </c>
      <c r="Z209" t="n">
        <v>11.291188</v>
      </c>
    </row>
    <row r="210" ht="21" customHeight="1">
      <c r="A210" t="inlineStr">
        <is>
          <t>Caranx</t>
        </is>
      </c>
      <c r="D210" s="11" t="inlineStr">
        <is>
          <t>Lg. piscivores | Juv.Lg.Pisciv.</t>
        </is>
      </c>
      <c r="E210" t="n">
        <v>92.758633</v>
      </c>
      <c r="F210" t="n">
        <v>629.8141419999999</v>
      </c>
      <c r="G210" t="n">
        <v>190.080993</v>
      </c>
      <c r="H210" t="n">
        <v>480.632956</v>
      </c>
      <c r="I210" t="n">
        <v>315.097689</v>
      </c>
      <c r="J210" t="n">
        <v>315.097689</v>
      </c>
      <c r="K210" t="n">
        <v>292.632358</v>
      </c>
      <c r="L210" t="n">
        <v>806.383997</v>
      </c>
      <c r="M210" t="n">
        <v>806.383997</v>
      </c>
      <c r="N210" t="n">
        <v>851.766221</v>
      </c>
      <c r="O210" t="n">
        <v>204.799662</v>
      </c>
      <c r="P210" t="n">
        <v>89.620936</v>
      </c>
      <c r="W210" t="n">
        <v>213.690011</v>
      </c>
      <c r="X210" t="n">
        <v>962.931199</v>
      </c>
      <c r="Y210" t="n">
        <v>64.546074</v>
      </c>
      <c r="Z210" t="n">
        <v>110.616316</v>
      </c>
    </row>
    <row r="211" ht="21" customHeight="1">
      <c r="A211" t="inlineStr">
        <is>
          <t>Pellona ditchela</t>
        </is>
      </c>
      <c r="B211" t="n">
        <v>3.37</v>
      </c>
      <c r="C211" t="n">
        <v>234.422882</v>
      </c>
      <c r="D211" s="11" t="inlineStr">
        <is>
          <t>Sm. pelagics</t>
        </is>
      </c>
      <c r="E211" t="n">
        <v>92.758633</v>
      </c>
      <c r="F211" t="n">
        <v>79.432823</v>
      </c>
      <c r="G211" t="n">
        <v>35.22555</v>
      </c>
      <c r="H211" t="n">
        <v>36.979496</v>
      </c>
      <c r="I211" t="n">
        <v>22.609246</v>
      </c>
      <c r="J211" t="n">
        <v>22.609246</v>
      </c>
      <c r="K211" t="n">
        <v>21.478784</v>
      </c>
      <c r="L211" t="n">
        <v>30.239099</v>
      </c>
      <c r="M211" t="n">
        <v>30.239099</v>
      </c>
      <c r="N211" t="n">
        <v>31.345103</v>
      </c>
      <c r="O211" t="n">
        <v>25.592867</v>
      </c>
      <c r="P211" t="n">
        <v>15.901406</v>
      </c>
      <c r="W211" t="n">
        <v>26.701358</v>
      </c>
      <c r="X211" t="n">
        <v>32.392065</v>
      </c>
      <c r="Y211" t="n">
        <v>16.922772</v>
      </c>
      <c r="Z211" t="n">
        <v>17.234838</v>
      </c>
    </row>
    <row r="212" ht="21" customHeight="1">
      <c r="A212" t="inlineStr">
        <is>
          <t>Carcharhinus falciformis</t>
        </is>
      </c>
      <c r="D212" s="11" t="inlineStr">
        <is>
          <t>Sharks | Juv. sharks</t>
        </is>
      </c>
      <c r="E212" t="n">
        <v>92.758633</v>
      </c>
      <c r="F212" t="n">
        <v>2211.896778</v>
      </c>
      <c r="G212" t="n">
        <v>528.557699</v>
      </c>
      <c r="H212" t="n">
        <v>1694.662427</v>
      </c>
      <c r="I212" t="n">
        <v>829.165832</v>
      </c>
      <c r="J212" t="n">
        <v>829.165832</v>
      </c>
      <c r="K212" t="n">
        <v>789.681785</v>
      </c>
      <c r="L212" t="n">
        <v>2016.586739</v>
      </c>
      <c r="M212" t="n">
        <v>2016.586739</v>
      </c>
      <c r="N212" t="n">
        <v>2128.697228</v>
      </c>
      <c r="O212" t="n">
        <v>561.286115</v>
      </c>
      <c r="P212" t="n">
        <v>207.956274</v>
      </c>
      <c r="W212" t="n">
        <v>606.9739060000001</v>
      </c>
      <c r="X212" t="n">
        <v>2393.658993</v>
      </c>
      <c r="Y212" t="n">
        <v>145.413381</v>
      </c>
      <c r="Z212" t="n">
        <v>289.661473</v>
      </c>
    </row>
    <row r="213" ht="21" customHeight="1">
      <c r="A213" t="inlineStr">
        <is>
          <t>Scyphozoa</t>
        </is>
      </c>
      <c r="D213" s="11" t="inlineStr">
        <is>
          <t>Jellyfish</t>
        </is>
      </c>
      <c r="E213" t="n">
        <v>92.758633</v>
      </c>
      <c r="F213" t="n">
        <v>100</v>
      </c>
      <c r="G213" t="n">
        <v>42.488496</v>
      </c>
      <c r="H213" t="n">
        <v>40.364071</v>
      </c>
      <c r="I213" t="n">
        <v>0</v>
      </c>
      <c r="J213" t="n">
        <v>5.855218</v>
      </c>
      <c r="K213" t="n">
        <v>0</v>
      </c>
      <c r="L213" t="n">
        <v>0</v>
      </c>
      <c r="M213" t="n">
        <v>0</v>
      </c>
      <c r="N213" t="n">
        <v>0</v>
      </c>
      <c r="O213" t="n">
        <v>27.992074</v>
      </c>
      <c r="P213" t="n">
        <v>17.312674</v>
      </c>
      <c r="W213" t="n">
        <v>28.633264</v>
      </c>
      <c r="X213" t="n">
        <v>0</v>
      </c>
      <c r="Y213" t="n">
        <v>19.639386</v>
      </c>
      <c r="Z213" t="n">
        <v>18.657416</v>
      </c>
    </row>
    <row r="214" ht="21" customHeight="1">
      <c r="A214" t="inlineStr">
        <is>
          <t>Coryphaena hippurus</t>
        </is>
      </c>
      <c r="D214" s="11" t="inlineStr">
        <is>
          <t>Lg. piscivores | Juv.Lg.Pisciv.</t>
        </is>
      </c>
      <c r="E214" t="n">
        <v>92.758633</v>
      </c>
      <c r="F214" t="n">
        <v>629.8141419999999</v>
      </c>
      <c r="G214" t="n">
        <v>190.080993</v>
      </c>
      <c r="H214" t="n">
        <v>480.632956</v>
      </c>
      <c r="I214" t="n">
        <v>315.097689</v>
      </c>
      <c r="J214" t="n">
        <v>315.097689</v>
      </c>
      <c r="K214" t="n">
        <v>292.632358</v>
      </c>
      <c r="L214" t="n">
        <v>806.383997</v>
      </c>
      <c r="M214" t="n">
        <v>806.383997</v>
      </c>
      <c r="N214" t="n">
        <v>851.766221</v>
      </c>
      <c r="O214" t="n">
        <v>204.799662</v>
      </c>
      <c r="P214" t="n">
        <v>89.620936</v>
      </c>
      <c r="W214" t="n">
        <v>213.690011</v>
      </c>
      <c r="X214" t="n">
        <v>962.931199</v>
      </c>
      <c r="Y214" t="n">
        <v>64.546074</v>
      </c>
      <c r="Z214" t="n">
        <v>110.616316</v>
      </c>
    </row>
    <row r="215" ht="21" customHeight="1">
      <c r="A215" t="inlineStr">
        <is>
          <t>Labridae</t>
        </is>
      </c>
      <c r="B215" t="n">
        <v>3.46</v>
      </c>
      <c r="C215" t="n">
        <v>288.40315</v>
      </c>
      <c r="D215" s="11" t="inlineStr">
        <is>
          <t>Med.dem.benth.</t>
        </is>
      </c>
      <c r="E215" t="n">
        <v>92.758633</v>
      </c>
      <c r="F215" t="n">
        <v>274.243815</v>
      </c>
      <c r="G215" t="n">
        <v>96.59934699999999</v>
      </c>
      <c r="H215" t="n">
        <v>166.63869</v>
      </c>
      <c r="I215" t="n">
        <v>215.944796</v>
      </c>
      <c r="J215" t="n">
        <v>215.944796</v>
      </c>
      <c r="K215" t="n">
        <v>193.300587</v>
      </c>
      <c r="L215" t="n">
        <v>664.022909</v>
      </c>
      <c r="M215" t="n">
        <v>664.022909</v>
      </c>
      <c r="N215" t="n">
        <v>702.550582</v>
      </c>
      <c r="O215" t="n">
        <v>105.870272</v>
      </c>
      <c r="P215" t="n">
        <v>53.740614</v>
      </c>
      <c r="W215" t="n">
        <v>108.869834</v>
      </c>
      <c r="X215" t="n">
        <v>799.677877</v>
      </c>
      <c r="Y215" t="n">
        <v>37.70608</v>
      </c>
      <c r="Z215" t="n">
        <v>51.4265</v>
      </c>
    </row>
    <row r="216" ht="21" customHeight="1">
      <c r="A216" t="inlineStr">
        <is>
          <t>Decapoda</t>
        </is>
      </c>
      <c r="B216" t="n">
        <v>3.43</v>
      </c>
      <c r="C216" t="n">
        <v>269.15348</v>
      </c>
      <c r="D216" s="11" t="inlineStr">
        <is>
          <t>Shrimps | Crab, lobster</t>
        </is>
      </c>
      <c r="E216" t="n">
        <v>92.758633</v>
      </c>
      <c r="F216" t="n">
        <v>31.823213</v>
      </c>
      <c r="G216" t="n">
        <v>16.554649</v>
      </c>
      <c r="H216" t="n">
        <v>48.882103</v>
      </c>
      <c r="I216" t="n">
        <v>52.292621</v>
      </c>
      <c r="J216" t="n">
        <v>52.292621</v>
      </c>
      <c r="K216" t="n">
        <v>47.659079</v>
      </c>
      <c r="L216" t="n">
        <v>152.953628</v>
      </c>
      <c r="M216" t="n">
        <v>152.953628</v>
      </c>
      <c r="N216" t="n">
        <v>162.541786</v>
      </c>
      <c r="O216" t="n">
        <v>31.518842</v>
      </c>
      <c r="P216" t="n">
        <v>18.921359</v>
      </c>
      <c r="W216" t="n">
        <v>32.29626</v>
      </c>
      <c r="X216" t="n">
        <v>184.312967</v>
      </c>
      <c r="Y216" t="n">
        <v>9.223663999999999</v>
      </c>
      <c r="Z216" t="n">
        <v>17.763247</v>
      </c>
    </row>
    <row r="217" ht="21" customHeight="1">
      <c r="A217" t="inlineStr">
        <is>
          <t>Netuma thalassina</t>
        </is>
      </c>
      <c r="B217" t="n">
        <v>3.54</v>
      </c>
      <c r="C217" t="n">
        <v>346.73685</v>
      </c>
      <c r="D217" s="11" t="inlineStr">
        <is>
          <t>Med.dem.benth.</t>
        </is>
      </c>
      <c r="E217" t="n">
        <v>92.758633</v>
      </c>
      <c r="F217" t="n">
        <v>274.243815</v>
      </c>
      <c r="G217" t="n">
        <v>96.59934699999999</v>
      </c>
      <c r="H217" t="n">
        <v>166.63869</v>
      </c>
      <c r="I217" t="n">
        <v>215.944796</v>
      </c>
      <c r="J217" t="n">
        <v>215.944796</v>
      </c>
      <c r="K217" t="n">
        <v>193.300587</v>
      </c>
      <c r="L217" t="n">
        <v>664.022909</v>
      </c>
      <c r="M217" t="n">
        <v>664.022909</v>
      </c>
      <c r="N217" t="n">
        <v>702.550582</v>
      </c>
      <c r="O217" t="n">
        <v>105.870272</v>
      </c>
      <c r="P217" t="n">
        <v>53.740614</v>
      </c>
      <c r="W217" t="n">
        <v>108.869834</v>
      </c>
      <c r="X217" t="n">
        <v>799.677877</v>
      </c>
      <c r="Y217" t="n">
        <v>37.70608</v>
      </c>
      <c r="Z217" t="n">
        <v>51.4265</v>
      </c>
    </row>
    <row r="218" ht="21" customHeight="1">
      <c r="A218" t="inlineStr">
        <is>
          <t>Sardinella lemuru</t>
        </is>
      </c>
      <c r="B218" t="n">
        <v>2.48</v>
      </c>
      <c r="C218" t="n">
        <v>30.199517</v>
      </c>
      <c r="D218" s="11" t="inlineStr">
        <is>
          <t>Sm. pelagics</t>
        </is>
      </c>
      <c r="E218" t="n">
        <v>92.758633</v>
      </c>
      <c r="F218" t="n">
        <v>79.432823</v>
      </c>
      <c r="G218" t="n">
        <v>35.22555</v>
      </c>
      <c r="H218" t="n">
        <v>36.979496</v>
      </c>
      <c r="I218" t="n">
        <v>22.609246</v>
      </c>
      <c r="J218" t="n">
        <v>22.609246</v>
      </c>
      <c r="K218" t="n">
        <v>21.478784</v>
      </c>
      <c r="L218" t="n">
        <v>30.239099</v>
      </c>
      <c r="M218" t="n">
        <v>30.239099</v>
      </c>
      <c r="N218" t="n">
        <v>31.345103</v>
      </c>
      <c r="O218" t="n">
        <v>25.592867</v>
      </c>
      <c r="P218" t="n">
        <v>15.901406</v>
      </c>
      <c r="W218" t="n">
        <v>26.701358</v>
      </c>
      <c r="X218" t="n">
        <v>32.392065</v>
      </c>
      <c r="Y218" t="n">
        <v>16.922772</v>
      </c>
      <c r="Z218" t="n">
        <v>17.234838</v>
      </c>
    </row>
    <row r="219" ht="21" customHeight="1">
      <c r="A219" t="inlineStr">
        <is>
          <t>Teuthida</t>
        </is>
      </c>
      <c r="B219" t="n">
        <v>4.13</v>
      </c>
      <c r="C219" t="n">
        <v>1348.962883</v>
      </c>
      <c r="D219" s="11" t="inlineStr">
        <is>
          <t>Cephalopods</t>
        </is>
      </c>
      <c r="E219" t="n">
        <v>92.758633</v>
      </c>
      <c r="F219" t="n">
        <v>207.108363</v>
      </c>
      <c r="G219" t="n">
        <v>76.859779</v>
      </c>
      <c r="H219" t="n">
        <v>153.276012</v>
      </c>
      <c r="I219" t="n">
        <v>121.77284</v>
      </c>
      <c r="J219" t="n">
        <v>121.77284</v>
      </c>
      <c r="K219" t="n">
        <v>118.23963</v>
      </c>
      <c r="L219" t="n">
        <v>349.557692</v>
      </c>
      <c r="M219" t="n">
        <v>349.557692</v>
      </c>
      <c r="N219" t="n">
        <v>370.254323</v>
      </c>
      <c r="O219" t="n">
        <v>98.097358</v>
      </c>
      <c r="P219" t="n">
        <v>49.643681</v>
      </c>
      <c r="W219" t="n">
        <v>100.957994</v>
      </c>
      <c r="X219" t="n">
        <v>407.059034</v>
      </c>
      <c r="Y219" t="n">
        <v>31.446324</v>
      </c>
      <c r="Z219" t="n">
        <v>45.753688</v>
      </c>
    </row>
    <row r="220" ht="21" customHeight="1">
      <c r="A220" t="inlineStr">
        <is>
          <t>Acetes japonicus</t>
        </is>
      </c>
      <c r="B220" t="n">
        <v>2.54</v>
      </c>
      <c r="C220" t="n">
        <v>34.673685</v>
      </c>
      <c r="D220" s="11" t="inlineStr">
        <is>
          <t>Shrimps</t>
        </is>
      </c>
      <c r="E220" t="n">
        <v>92.758633</v>
      </c>
      <c r="F220" t="n">
        <v>24.936879</v>
      </c>
      <c r="G220" t="n">
        <v>13.715732</v>
      </c>
      <c r="H220" t="n">
        <v>39.542201</v>
      </c>
      <c r="I220" t="n">
        <v>39.345557</v>
      </c>
      <c r="J220" t="n">
        <v>39.345557</v>
      </c>
      <c r="K220" t="n">
        <v>37.378279</v>
      </c>
      <c r="L220" t="n">
        <v>110.883242</v>
      </c>
      <c r="M220" t="n">
        <v>110.883242</v>
      </c>
      <c r="N220" t="n">
        <v>118.086052</v>
      </c>
      <c r="O220" t="n">
        <v>26.876504</v>
      </c>
      <c r="P220" t="n">
        <v>16.79886</v>
      </c>
      <c r="W220" t="n">
        <v>27.610867</v>
      </c>
      <c r="X220" t="n">
        <v>134.234083</v>
      </c>
      <c r="Y220" t="n">
        <v>8.001064</v>
      </c>
      <c r="Z220" t="n">
        <v>14.97557</v>
      </c>
    </row>
    <row r="221" ht="21" customHeight="1">
      <c r="A221" t="inlineStr">
        <is>
          <t>Lutjanus argentimaculatus</t>
        </is>
      </c>
      <c r="D221" s="11" t="inlineStr">
        <is>
          <t>Grouper/snapper | Juv. groupers</t>
        </is>
      </c>
      <c r="E221" t="n">
        <v>92.758633</v>
      </c>
      <c r="F221" t="n">
        <v>729.665396</v>
      </c>
      <c r="G221" t="n">
        <v>214.274848</v>
      </c>
      <c r="H221" t="n">
        <v>601.521613</v>
      </c>
      <c r="I221" t="n">
        <v>458.291515</v>
      </c>
      <c r="J221" t="n">
        <v>458.291515</v>
      </c>
      <c r="K221" t="n">
        <v>404.883308</v>
      </c>
      <c r="L221" t="n">
        <v>1297.204135</v>
      </c>
      <c r="M221" t="n">
        <v>1297.204135</v>
      </c>
      <c r="N221" t="n">
        <v>1373.024947</v>
      </c>
      <c r="O221" t="n">
        <v>262.162033</v>
      </c>
      <c r="P221" t="n">
        <v>111.742313</v>
      </c>
      <c r="W221" t="n">
        <v>273.908931</v>
      </c>
      <c r="X221" t="n">
        <v>1584.887607</v>
      </c>
      <c r="Y221" t="n">
        <v>70.98925199999999</v>
      </c>
      <c r="Z221" t="n">
        <v>131.686727</v>
      </c>
    </row>
    <row r="222" ht="21" customHeight="1">
      <c r="A222" t="inlineStr">
        <is>
          <t>Penaeus indicus</t>
        </is>
      </c>
      <c r="B222" t="n">
        <v>2.7</v>
      </c>
      <c r="C222" t="n">
        <v>50.118723</v>
      </c>
      <c r="D222" s="11" t="inlineStr">
        <is>
          <t>Shrimps</t>
        </is>
      </c>
      <c r="E222" t="n">
        <v>92.758633</v>
      </c>
      <c r="F222" t="n">
        <v>24.936879</v>
      </c>
      <c r="G222" t="n">
        <v>13.715732</v>
      </c>
      <c r="H222" t="n">
        <v>39.542201</v>
      </c>
      <c r="I222" t="n">
        <v>39.345557</v>
      </c>
      <c r="J222" t="n">
        <v>39.345557</v>
      </c>
      <c r="K222" t="n">
        <v>37.378279</v>
      </c>
      <c r="L222" t="n">
        <v>110.883242</v>
      </c>
      <c r="M222" t="n">
        <v>110.883242</v>
      </c>
      <c r="N222" t="n">
        <v>118.086052</v>
      </c>
      <c r="O222" t="n">
        <v>26.876504</v>
      </c>
      <c r="P222" t="n">
        <v>16.79886</v>
      </c>
      <c r="W222" t="n">
        <v>27.610867</v>
      </c>
      <c r="X222" t="n">
        <v>134.234083</v>
      </c>
      <c r="Y222" t="n">
        <v>8.001064</v>
      </c>
      <c r="Z222" t="n">
        <v>14.97557</v>
      </c>
    </row>
    <row r="223" ht="21" customHeight="1">
      <c r="A223" t="inlineStr">
        <is>
          <t>Nemipterus hexodon</t>
        </is>
      </c>
      <c r="B223" t="n">
        <v>3.93</v>
      </c>
      <c r="C223" t="n">
        <v>851.1380380000001</v>
      </c>
      <c r="D223" s="11" t="inlineStr">
        <is>
          <t>Sm.dem.benth.</t>
        </is>
      </c>
      <c r="E223" t="n">
        <v>92.758633</v>
      </c>
      <c r="F223" t="n">
        <v>135.946622</v>
      </c>
      <c r="G223" t="n">
        <v>54.557109</v>
      </c>
      <c r="H223" t="n">
        <v>104.458273</v>
      </c>
      <c r="I223" t="n">
        <v>106.771533</v>
      </c>
      <c r="J223" t="n">
        <v>106.771533</v>
      </c>
      <c r="K223" t="n">
        <v>89.978955</v>
      </c>
      <c r="L223" t="n">
        <v>308.045854</v>
      </c>
      <c r="M223" t="n">
        <v>308.045854</v>
      </c>
      <c r="N223" t="n">
        <v>325.959633</v>
      </c>
      <c r="O223" t="n">
        <v>56.685005</v>
      </c>
      <c r="P223" t="n">
        <v>30.438514</v>
      </c>
      <c r="W223" t="n">
        <v>58.087916</v>
      </c>
      <c r="X223" t="n">
        <v>369.109424</v>
      </c>
      <c r="Y223" t="n">
        <v>23.952956</v>
      </c>
      <c r="Z223" t="n">
        <v>34.558123</v>
      </c>
    </row>
    <row r="224" ht="21" customHeight="1">
      <c r="A224" t="inlineStr">
        <is>
          <t>Cephalopholis boenak</t>
        </is>
      </c>
      <c r="B224" t="n">
        <v>4.07</v>
      </c>
      <c r="C224" t="n">
        <v>1174.897555</v>
      </c>
      <c r="D224" s="11" t="inlineStr">
        <is>
          <t>Grouper/snapper | Juv. groupers</t>
        </is>
      </c>
      <c r="E224" t="n">
        <v>92.758633</v>
      </c>
      <c r="F224" t="n">
        <v>729.665396</v>
      </c>
      <c r="G224" t="n">
        <v>214.274848</v>
      </c>
      <c r="H224" t="n">
        <v>601.521613</v>
      </c>
      <c r="I224" t="n">
        <v>458.291515</v>
      </c>
      <c r="J224" t="n">
        <v>458.291515</v>
      </c>
      <c r="K224" t="n">
        <v>404.883308</v>
      </c>
      <c r="L224" t="n">
        <v>1297.204135</v>
      </c>
      <c r="M224" t="n">
        <v>1297.204135</v>
      </c>
      <c r="N224" t="n">
        <v>1373.024947</v>
      </c>
      <c r="O224" t="n">
        <v>262.162033</v>
      </c>
      <c r="P224" t="n">
        <v>111.742313</v>
      </c>
      <c r="W224" t="n">
        <v>273.908931</v>
      </c>
      <c r="X224" t="n">
        <v>1584.887607</v>
      </c>
      <c r="Y224" t="n">
        <v>70.98925199999999</v>
      </c>
      <c r="Z224" t="n">
        <v>131.686727</v>
      </c>
    </row>
    <row r="225" ht="21" customHeight="1">
      <c r="A225" t="inlineStr">
        <is>
          <t>Dussumieria acuta</t>
        </is>
      </c>
      <c r="B225" t="n">
        <v>3.4</v>
      </c>
      <c r="C225" t="n">
        <v>251.188643</v>
      </c>
      <c r="D225" s="11" t="inlineStr">
        <is>
          <t>Sm. pelagics</t>
        </is>
      </c>
      <c r="E225" t="n">
        <v>92.758633</v>
      </c>
      <c r="F225" t="n">
        <v>79.432823</v>
      </c>
      <c r="G225" t="n">
        <v>35.22555</v>
      </c>
      <c r="H225" t="n">
        <v>36.979496</v>
      </c>
      <c r="I225" t="n">
        <v>22.609246</v>
      </c>
      <c r="J225" t="n">
        <v>22.609246</v>
      </c>
      <c r="K225" t="n">
        <v>21.478784</v>
      </c>
      <c r="L225" t="n">
        <v>30.239099</v>
      </c>
      <c r="M225" t="n">
        <v>30.239099</v>
      </c>
      <c r="N225" t="n">
        <v>31.345103</v>
      </c>
      <c r="O225" t="n">
        <v>25.592867</v>
      </c>
      <c r="P225" t="n">
        <v>15.901406</v>
      </c>
      <c r="W225" t="n">
        <v>26.701358</v>
      </c>
      <c r="X225" t="n">
        <v>32.392065</v>
      </c>
      <c r="Y225" t="n">
        <v>16.922772</v>
      </c>
      <c r="Z225" t="n">
        <v>17.234838</v>
      </c>
    </row>
    <row r="226" ht="21" customHeight="1">
      <c r="A226" t="inlineStr">
        <is>
          <t>Sphyrna lewini</t>
        </is>
      </c>
      <c r="D226" s="11" t="inlineStr">
        <is>
          <t>Sharks | Juv. sharks</t>
        </is>
      </c>
      <c r="E226" t="n">
        <v>92.758633</v>
      </c>
      <c r="F226" t="n">
        <v>2211.896778</v>
      </c>
      <c r="G226" t="n">
        <v>528.557699</v>
      </c>
      <c r="H226" t="n">
        <v>1694.662427</v>
      </c>
      <c r="I226" t="n">
        <v>829.165832</v>
      </c>
      <c r="J226" t="n">
        <v>829.165832</v>
      </c>
      <c r="K226" t="n">
        <v>789.681785</v>
      </c>
      <c r="L226" t="n">
        <v>2016.586739</v>
      </c>
      <c r="M226" t="n">
        <v>2016.586739</v>
      </c>
      <c r="N226" t="n">
        <v>2128.697228</v>
      </c>
      <c r="O226" t="n">
        <v>561.286115</v>
      </c>
      <c r="P226" t="n">
        <v>207.956274</v>
      </c>
      <c r="W226" t="n">
        <v>606.9739060000001</v>
      </c>
      <c r="X226" t="n">
        <v>2393.658993</v>
      </c>
      <c r="Y226" t="n">
        <v>145.413381</v>
      </c>
      <c r="Z226" t="n">
        <v>289.661473</v>
      </c>
    </row>
    <row r="227" ht="21" customHeight="1">
      <c r="A227" t="inlineStr">
        <is>
          <t>Trichiuridae</t>
        </is>
      </c>
      <c r="B227" t="n">
        <v>4.15</v>
      </c>
      <c r="C227" t="n">
        <v>1412.537545</v>
      </c>
      <c r="D227" s="11" t="inlineStr">
        <is>
          <t>Juv.Lg.Pisciv. | Lg. piscivores</t>
        </is>
      </c>
      <c r="E227" t="n">
        <v>92.758633</v>
      </c>
      <c r="F227" t="n">
        <v>629.8141419999999</v>
      </c>
      <c r="G227" t="n">
        <v>190.080993</v>
      </c>
      <c r="H227" t="n">
        <v>480.632956</v>
      </c>
      <c r="I227" t="n">
        <v>315.097689</v>
      </c>
      <c r="J227" t="n">
        <v>315.097689</v>
      </c>
      <c r="K227" t="n">
        <v>292.632358</v>
      </c>
      <c r="L227" t="n">
        <v>806.383997</v>
      </c>
      <c r="M227" t="n">
        <v>806.383997</v>
      </c>
      <c r="N227" t="n">
        <v>851.766221</v>
      </c>
      <c r="O227" t="n">
        <v>204.799662</v>
      </c>
      <c r="P227" t="n">
        <v>89.620936</v>
      </c>
      <c r="W227" t="n">
        <v>213.690011</v>
      </c>
      <c r="X227" t="n">
        <v>962.931199</v>
      </c>
      <c r="Y227" t="n">
        <v>64.546074</v>
      </c>
      <c r="Z227" t="n">
        <v>110.616316</v>
      </c>
    </row>
    <row r="228" ht="21" customHeight="1">
      <c r="A228" t="inlineStr">
        <is>
          <t>Auxis rochei</t>
        </is>
      </c>
      <c r="D228" s="11" t="inlineStr">
        <is>
          <t>Tuna</t>
        </is>
      </c>
      <c r="E228" t="n">
        <v>92.758633</v>
      </c>
      <c r="F228" t="n">
        <v>1217.891849</v>
      </c>
      <c r="G228" t="n">
        <v>325.165267</v>
      </c>
      <c r="H228" t="n">
        <v>703.930824</v>
      </c>
      <c r="I228" t="n">
        <v>327.693492</v>
      </c>
      <c r="J228" t="n">
        <v>327.693492</v>
      </c>
      <c r="K228" t="n">
        <v>311.308817</v>
      </c>
      <c r="L228" t="n">
        <v>675.870038</v>
      </c>
      <c r="M228" t="n">
        <v>675.870038</v>
      </c>
      <c r="N228" t="n">
        <v>710.633419</v>
      </c>
      <c r="O228" t="n">
        <v>254.942405</v>
      </c>
      <c r="P228" t="n">
        <v>107.862693</v>
      </c>
      <c r="W228" t="n">
        <v>271.503704</v>
      </c>
      <c r="X228" t="n">
        <v>791.598393</v>
      </c>
      <c r="Y228" t="n">
        <v>98.86518</v>
      </c>
      <c r="Z228" t="n">
        <v>153.001145</v>
      </c>
    </row>
    <row r="229" ht="21" customHeight="1">
      <c r="A229" t="inlineStr">
        <is>
          <t>Hemiramphus</t>
        </is>
      </c>
      <c r="B229" t="n">
        <v>3.05</v>
      </c>
      <c r="C229" t="n">
        <v>112.201845</v>
      </c>
      <c r="D229" s="11" t="inlineStr">
        <is>
          <t>Sm. pelagics</t>
        </is>
      </c>
      <c r="E229" t="n">
        <v>92.758633</v>
      </c>
      <c r="F229" t="n">
        <v>79.432823</v>
      </c>
      <c r="G229" t="n">
        <v>35.22555</v>
      </c>
      <c r="H229" t="n">
        <v>36.979496</v>
      </c>
      <c r="I229" t="n">
        <v>22.609246</v>
      </c>
      <c r="J229" t="n">
        <v>22.609246</v>
      </c>
      <c r="K229" t="n">
        <v>21.478784</v>
      </c>
      <c r="L229" t="n">
        <v>30.239099</v>
      </c>
      <c r="M229" t="n">
        <v>30.239099</v>
      </c>
      <c r="N229" t="n">
        <v>31.345103</v>
      </c>
      <c r="O229" t="n">
        <v>25.592867</v>
      </c>
      <c r="P229" t="n">
        <v>15.901406</v>
      </c>
      <c r="W229" t="n">
        <v>26.701358</v>
      </c>
      <c r="X229" t="n">
        <v>32.392065</v>
      </c>
      <c r="Y229" t="n">
        <v>16.922772</v>
      </c>
      <c r="Z229" t="n">
        <v>17.234838</v>
      </c>
    </row>
    <row r="230" ht="21" customHeight="1">
      <c r="A230" t="inlineStr">
        <is>
          <t>Tetrapturus angustirostris</t>
        </is>
      </c>
      <c r="D230" s="11" t="inlineStr">
        <is>
          <t>Unresolved</t>
        </is>
      </c>
    </row>
    <row r="231" ht="21" customHeight="1">
      <c r="A231" t="inlineStr">
        <is>
          <t>Kajikia audax</t>
        </is>
      </c>
      <c r="D231" s="11" t="inlineStr">
        <is>
          <t>Unresolved</t>
        </is>
      </c>
    </row>
    <row r="232" ht="21" customHeight="1">
      <c r="A232" t="inlineStr">
        <is>
          <t>Prionace glauca</t>
        </is>
      </c>
      <c r="B232" t="n">
        <v>4.35</v>
      </c>
      <c r="C232" t="n">
        <v>2238.721139</v>
      </c>
      <c r="D232" s="11" t="inlineStr">
        <is>
          <t>Sharks | Juv. sharks</t>
        </is>
      </c>
      <c r="E232" t="n">
        <v>92.758633</v>
      </c>
      <c r="F232" t="n">
        <v>2211.896778</v>
      </c>
      <c r="G232" t="n">
        <v>528.557699</v>
      </c>
      <c r="H232" t="n">
        <v>1694.662427</v>
      </c>
      <c r="I232" t="n">
        <v>829.165832</v>
      </c>
      <c r="J232" t="n">
        <v>829.165832</v>
      </c>
      <c r="K232" t="n">
        <v>789.681785</v>
      </c>
      <c r="L232" t="n">
        <v>2016.586739</v>
      </c>
      <c r="M232" t="n">
        <v>2016.586739</v>
      </c>
      <c r="N232" t="n">
        <v>2128.697228</v>
      </c>
      <c r="O232" t="n">
        <v>561.286115</v>
      </c>
      <c r="P232" t="n">
        <v>207.956274</v>
      </c>
      <c r="W232" t="n">
        <v>606.9739060000001</v>
      </c>
      <c r="X232" t="n">
        <v>2393.658993</v>
      </c>
      <c r="Y232" t="n">
        <v>145.413381</v>
      </c>
      <c r="Z232" t="n">
        <v>289.661473</v>
      </c>
    </row>
    <row r="233" ht="21" customHeight="1">
      <c r="A233" t="inlineStr">
        <is>
          <t>Dasyatidae</t>
        </is>
      </c>
      <c r="B233" t="n">
        <v>3.38</v>
      </c>
      <c r="C233" t="n">
        <v>239.883292</v>
      </c>
      <c r="D233" s="11" t="inlineStr">
        <is>
          <t>Rays</t>
        </is>
      </c>
      <c r="E233" t="n">
        <v>92.758633</v>
      </c>
      <c r="F233" t="n">
        <v>212.350179</v>
      </c>
      <c r="G233" t="n">
        <v>78.43981700000001</v>
      </c>
      <c r="H233" t="n">
        <v>150.198585</v>
      </c>
      <c r="I233" t="n">
        <v>190.421399</v>
      </c>
      <c r="J233" t="n">
        <v>190.421399</v>
      </c>
      <c r="K233" t="n">
        <v>181.353722</v>
      </c>
      <c r="L233" t="n">
        <v>590.0073</v>
      </c>
      <c r="M233" t="n">
        <v>590.0073</v>
      </c>
      <c r="N233" t="n">
        <v>624.45599</v>
      </c>
      <c r="O233" t="n">
        <v>98.99208</v>
      </c>
      <c r="P233" t="n">
        <v>50.910468</v>
      </c>
      <c r="W233" t="n">
        <v>103.810463</v>
      </c>
      <c r="X233" t="n">
        <v>714.522996</v>
      </c>
      <c r="Y233" t="n">
        <v>31.958644</v>
      </c>
      <c r="Z233" t="n">
        <v>47.110524</v>
      </c>
    </row>
    <row r="234" ht="21" customHeight="1">
      <c r="A234" t="inlineStr">
        <is>
          <t>Cypselurus poecilopterus</t>
        </is>
      </c>
      <c r="B234" t="n">
        <v>3.4</v>
      </c>
      <c r="C234" t="n">
        <v>251.188643</v>
      </c>
      <c r="D234" s="11" t="inlineStr">
        <is>
          <t>Sm. pelagics</t>
        </is>
      </c>
      <c r="E234" t="n">
        <v>92.758633</v>
      </c>
      <c r="F234" t="n">
        <v>79.432823</v>
      </c>
      <c r="G234" t="n">
        <v>35.22555</v>
      </c>
      <c r="H234" t="n">
        <v>36.979496</v>
      </c>
      <c r="I234" t="n">
        <v>22.609246</v>
      </c>
      <c r="J234" t="n">
        <v>22.609246</v>
      </c>
      <c r="K234" t="n">
        <v>21.478784</v>
      </c>
      <c r="L234" t="n">
        <v>30.239099</v>
      </c>
      <c r="M234" t="n">
        <v>30.239099</v>
      </c>
      <c r="N234" t="n">
        <v>31.345103</v>
      </c>
      <c r="O234" t="n">
        <v>25.592867</v>
      </c>
      <c r="P234" t="n">
        <v>15.901406</v>
      </c>
      <c r="W234" t="n">
        <v>26.701358</v>
      </c>
      <c r="X234" t="n">
        <v>32.392065</v>
      </c>
      <c r="Y234" t="n">
        <v>16.922772</v>
      </c>
      <c r="Z234" t="n">
        <v>17.234838</v>
      </c>
    </row>
    <row r="235" ht="21" customHeight="1">
      <c r="A235" t="inlineStr">
        <is>
          <t>Carcharhinus longimanus</t>
        </is>
      </c>
      <c r="B235" t="n">
        <v>4.16</v>
      </c>
      <c r="C235" t="n">
        <v>1445.439771</v>
      </c>
      <c r="D235" s="11" t="inlineStr">
        <is>
          <t>Sharks | Juv. sharks</t>
        </is>
      </c>
      <c r="E235" t="n">
        <v>92.758633</v>
      </c>
      <c r="F235" t="n">
        <v>2211.896778</v>
      </c>
      <c r="G235" t="n">
        <v>528.557699</v>
      </c>
      <c r="H235" t="n">
        <v>1694.662427</v>
      </c>
      <c r="I235" t="n">
        <v>829.165832</v>
      </c>
      <c r="J235" t="n">
        <v>829.165832</v>
      </c>
      <c r="K235" t="n">
        <v>789.681785</v>
      </c>
      <c r="L235" t="n">
        <v>2016.586739</v>
      </c>
      <c r="M235" t="n">
        <v>2016.586739</v>
      </c>
      <c r="N235" t="n">
        <v>2128.697228</v>
      </c>
      <c r="O235" t="n">
        <v>561.286115</v>
      </c>
      <c r="P235" t="n">
        <v>207.956274</v>
      </c>
      <c r="W235" t="n">
        <v>606.9739060000001</v>
      </c>
      <c r="X235" t="n">
        <v>2393.658993</v>
      </c>
      <c r="Y235" t="n">
        <v>145.413381</v>
      </c>
      <c r="Z235" t="n">
        <v>289.661473</v>
      </c>
    </row>
    <row r="236" ht="21" customHeight="1">
      <c r="A236" t="inlineStr">
        <is>
          <t>Latidae</t>
        </is>
      </c>
      <c r="D236" s="11" t="inlineStr">
        <is>
          <t>Lg. piscivores | Juv.Lg.Pisciv.</t>
        </is>
      </c>
      <c r="E236" t="n">
        <v>92.758633</v>
      </c>
      <c r="F236" t="n">
        <v>629.8141419999999</v>
      </c>
      <c r="G236" t="n">
        <v>190.080993</v>
      </c>
      <c r="H236" t="n">
        <v>480.632956</v>
      </c>
      <c r="I236" t="n">
        <v>315.097689</v>
      </c>
      <c r="J236" t="n">
        <v>315.097689</v>
      </c>
      <c r="K236" t="n">
        <v>292.632358</v>
      </c>
      <c r="L236" t="n">
        <v>806.383997</v>
      </c>
      <c r="M236" t="n">
        <v>806.383997</v>
      </c>
      <c r="N236" t="n">
        <v>851.766221</v>
      </c>
      <c r="O236" t="n">
        <v>204.799662</v>
      </c>
      <c r="P236" t="n">
        <v>89.620936</v>
      </c>
      <c r="W236" t="n">
        <v>213.690011</v>
      </c>
      <c r="X236" t="n">
        <v>962.931199</v>
      </c>
      <c r="Y236" t="n">
        <v>64.546074</v>
      </c>
      <c r="Z236" t="n">
        <v>110.616316</v>
      </c>
    </row>
    <row r="237" ht="21" customHeight="1">
      <c r="A237" t="inlineStr">
        <is>
          <t>Pleuronectiformes</t>
        </is>
      </c>
      <c r="D237" s="11" t="inlineStr">
        <is>
          <t>Flatfish | Med.dem.pisc.</t>
        </is>
      </c>
      <c r="E237" t="n">
        <v>92.758633</v>
      </c>
      <c r="F237" t="n">
        <v>213.878243</v>
      </c>
      <c r="G237" t="n">
        <v>78.89889599999999</v>
      </c>
      <c r="H237" t="n">
        <v>192.731596</v>
      </c>
      <c r="I237" t="n">
        <v>157.987588</v>
      </c>
      <c r="J237" t="n">
        <v>157.987588</v>
      </c>
      <c r="K237" t="n">
        <v>155.8613</v>
      </c>
      <c r="L237" t="n">
        <v>445.090515</v>
      </c>
      <c r="M237" t="n">
        <v>445.090515</v>
      </c>
      <c r="N237" t="n">
        <v>471.372451</v>
      </c>
      <c r="O237" t="n">
        <v>104.441928</v>
      </c>
      <c r="P237" t="n">
        <v>51.525195</v>
      </c>
      <c r="W237" t="n">
        <v>108.328199</v>
      </c>
      <c r="X237" t="n">
        <v>534.839276</v>
      </c>
      <c r="Y237" t="n">
        <v>32.107053</v>
      </c>
      <c r="Z237" t="n">
        <v>52.431313</v>
      </c>
    </row>
    <row r="238" ht="21" customHeight="1">
      <c r="A238" t="inlineStr">
        <is>
          <t>Octopoda</t>
        </is>
      </c>
      <c r="D238" s="11" t="inlineStr">
        <is>
          <t>Cephalopods</t>
        </is>
      </c>
      <c r="E238" t="n">
        <v>92.758633</v>
      </c>
      <c r="F238" t="n">
        <v>207.108363</v>
      </c>
      <c r="G238" t="n">
        <v>76.859779</v>
      </c>
      <c r="H238" t="n">
        <v>153.276012</v>
      </c>
      <c r="I238" t="n">
        <v>121.77284</v>
      </c>
      <c r="J238" t="n">
        <v>121.77284</v>
      </c>
      <c r="K238" t="n">
        <v>118.23963</v>
      </c>
      <c r="L238" t="n">
        <v>349.557692</v>
      </c>
      <c r="M238" t="n">
        <v>349.557692</v>
      </c>
      <c r="N238" t="n">
        <v>370.254323</v>
      </c>
      <c r="O238" t="n">
        <v>98.097358</v>
      </c>
      <c r="P238" t="n">
        <v>49.643681</v>
      </c>
      <c r="W238" t="n">
        <v>100.957994</v>
      </c>
      <c r="X238" t="n">
        <v>407.059034</v>
      </c>
      <c r="Y238" t="n">
        <v>31.446324</v>
      </c>
      <c r="Z238" t="n">
        <v>45.753688</v>
      </c>
    </row>
    <row r="239" ht="21" customHeight="1">
      <c r="A239" t="inlineStr">
        <is>
          <t>Isurus oxyrinchus</t>
        </is>
      </c>
      <c r="B239" t="n">
        <v>4.5</v>
      </c>
      <c r="C239" t="n">
        <v>3162.27766</v>
      </c>
      <c r="D239" s="11" t="inlineStr">
        <is>
          <t>Sharks | Juv. sharks</t>
        </is>
      </c>
      <c r="E239" t="n">
        <v>92.758633</v>
      </c>
      <c r="F239" t="n">
        <v>2211.896778</v>
      </c>
      <c r="G239" t="n">
        <v>528.557699</v>
      </c>
      <c r="H239" t="n">
        <v>1694.662427</v>
      </c>
      <c r="I239" t="n">
        <v>829.165832</v>
      </c>
      <c r="J239" t="n">
        <v>829.165832</v>
      </c>
      <c r="K239" t="n">
        <v>789.681785</v>
      </c>
      <c r="L239" t="n">
        <v>2016.586739</v>
      </c>
      <c r="M239" t="n">
        <v>2016.586739</v>
      </c>
      <c r="N239" t="n">
        <v>2128.697228</v>
      </c>
      <c r="O239" t="n">
        <v>561.286115</v>
      </c>
      <c r="P239" t="n">
        <v>207.956274</v>
      </c>
      <c r="W239" t="n">
        <v>606.9739060000001</v>
      </c>
      <c r="X239" t="n">
        <v>2393.658993</v>
      </c>
      <c r="Y239" t="n">
        <v>145.413381</v>
      </c>
      <c r="Z239" t="n">
        <v>289.661473</v>
      </c>
    </row>
    <row r="240" ht="21" customHeight="1">
      <c r="A240" t="inlineStr">
        <is>
          <t>Exocoetidae</t>
        </is>
      </c>
      <c r="B240" t="n">
        <v>3.57</v>
      </c>
      <c r="C240" t="n">
        <v>371.535229</v>
      </c>
      <c r="D240" s="11" t="inlineStr">
        <is>
          <t>Sm. pelagics</t>
        </is>
      </c>
      <c r="E240" t="n">
        <v>92.758633</v>
      </c>
      <c r="F240" t="n">
        <v>79.432823</v>
      </c>
      <c r="G240" t="n">
        <v>35.22555</v>
      </c>
      <c r="H240" t="n">
        <v>36.979496</v>
      </c>
      <c r="I240" t="n">
        <v>22.609246</v>
      </c>
      <c r="J240" t="n">
        <v>22.609246</v>
      </c>
      <c r="K240" t="n">
        <v>21.478784</v>
      </c>
      <c r="L240" t="n">
        <v>30.239099</v>
      </c>
      <c r="M240" t="n">
        <v>30.239099</v>
      </c>
      <c r="N240" t="n">
        <v>31.345103</v>
      </c>
      <c r="O240" t="n">
        <v>25.592867</v>
      </c>
      <c r="P240" t="n">
        <v>15.901406</v>
      </c>
      <c r="W240" t="n">
        <v>26.701358</v>
      </c>
      <c r="X240" t="n">
        <v>32.392065</v>
      </c>
      <c r="Y240" t="n">
        <v>16.922772</v>
      </c>
      <c r="Z240" t="n">
        <v>17.234838</v>
      </c>
    </row>
    <row r="241" ht="21" customHeight="1">
      <c r="A241" t="inlineStr">
        <is>
          <t>Hemiramphidae</t>
        </is>
      </c>
      <c r="B241" t="n">
        <v>2.82</v>
      </c>
      <c r="C241" t="n">
        <v>66.069345</v>
      </c>
      <c r="D241" s="11" t="inlineStr">
        <is>
          <t>Sm. pelagics</t>
        </is>
      </c>
      <c r="E241" t="n">
        <v>92.758633</v>
      </c>
      <c r="F241" t="n">
        <v>79.432823</v>
      </c>
      <c r="G241" t="n">
        <v>35.22555</v>
      </c>
      <c r="H241" t="n">
        <v>36.979496</v>
      </c>
      <c r="I241" t="n">
        <v>22.609246</v>
      </c>
      <c r="J241" t="n">
        <v>22.609246</v>
      </c>
      <c r="K241" t="n">
        <v>21.478784</v>
      </c>
      <c r="L241" t="n">
        <v>30.239099</v>
      </c>
      <c r="M241" t="n">
        <v>30.239099</v>
      </c>
      <c r="N241" t="n">
        <v>31.345103</v>
      </c>
      <c r="O241" t="n">
        <v>25.592867</v>
      </c>
      <c r="P241" t="n">
        <v>15.901406</v>
      </c>
      <c r="W241" t="n">
        <v>26.701358</v>
      </c>
      <c r="X241" t="n">
        <v>32.392065</v>
      </c>
      <c r="Y241" t="n">
        <v>16.922772</v>
      </c>
      <c r="Z241" t="n">
        <v>17.234838</v>
      </c>
    </row>
    <row r="242" ht="21" customHeight="1">
      <c r="A242" t="inlineStr">
        <is>
          <t>Sphyraena barracuda</t>
        </is>
      </c>
      <c r="D242" s="11" t="inlineStr">
        <is>
          <t>Lg. piscivores | Juv.Lg.Pisciv.</t>
        </is>
      </c>
      <c r="E242" t="n">
        <v>92.758633</v>
      </c>
      <c r="F242" t="n">
        <v>629.8141419999999</v>
      </c>
      <c r="G242" t="n">
        <v>190.080993</v>
      </c>
      <c r="H242" t="n">
        <v>480.632956</v>
      </c>
      <c r="I242" t="n">
        <v>315.097689</v>
      </c>
      <c r="J242" t="n">
        <v>315.097689</v>
      </c>
      <c r="K242" t="n">
        <v>292.632358</v>
      </c>
      <c r="L242" t="n">
        <v>806.383997</v>
      </c>
      <c r="M242" t="n">
        <v>806.383997</v>
      </c>
      <c r="N242" t="n">
        <v>851.766221</v>
      </c>
      <c r="O242" t="n">
        <v>204.799662</v>
      </c>
      <c r="P242" t="n">
        <v>89.620936</v>
      </c>
      <c r="W242" t="n">
        <v>213.690011</v>
      </c>
      <c r="X242" t="n">
        <v>962.931199</v>
      </c>
      <c r="Y242" t="n">
        <v>64.546074</v>
      </c>
      <c r="Z242" t="n">
        <v>110.616316</v>
      </c>
    </row>
    <row r="243" ht="21" customHeight="1">
      <c r="A243" t="inlineStr">
        <is>
          <t>Tenualosa toli</t>
        </is>
      </c>
      <c r="D243" s="11" t="inlineStr">
        <is>
          <t>Sm. pelagics</t>
        </is>
      </c>
      <c r="E243" t="n">
        <v>92.758633</v>
      </c>
      <c r="F243" t="n">
        <v>79.432823</v>
      </c>
      <c r="G243" t="n">
        <v>35.22555</v>
      </c>
      <c r="H243" t="n">
        <v>36.979496</v>
      </c>
      <c r="I243" t="n">
        <v>22.609246</v>
      </c>
      <c r="J243" t="n">
        <v>22.609246</v>
      </c>
      <c r="K243" t="n">
        <v>21.478784</v>
      </c>
      <c r="L243" t="n">
        <v>30.239099</v>
      </c>
      <c r="M243" t="n">
        <v>30.239099</v>
      </c>
      <c r="N243" t="n">
        <v>31.345103</v>
      </c>
      <c r="O243" t="n">
        <v>25.592867</v>
      </c>
      <c r="P243" t="n">
        <v>15.901406</v>
      </c>
      <c r="W243" t="n">
        <v>26.701358</v>
      </c>
      <c r="X243" t="n">
        <v>32.392065</v>
      </c>
      <c r="Y243" t="n">
        <v>16.922772</v>
      </c>
      <c r="Z243" t="n">
        <v>17.234838</v>
      </c>
    </row>
    <row r="244" ht="21" customHeight="1">
      <c r="A244" t="inlineStr">
        <is>
          <t>Alopias</t>
        </is>
      </c>
      <c r="D244" s="11" t="inlineStr">
        <is>
          <t>Sharks | Juv. sharks</t>
        </is>
      </c>
      <c r="E244" t="n">
        <v>92.758633</v>
      </c>
      <c r="F244" t="n">
        <v>2211.896778</v>
      </c>
      <c r="G244" t="n">
        <v>528.557699</v>
      </c>
      <c r="H244" t="n">
        <v>1694.662427</v>
      </c>
      <c r="I244" t="n">
        <v>829.165832</v>
      </c>
      <c r="J244" t="n">
        <v>829.165832</v>
      </c>
      <c r="K244" t="n">
        <v>789.681785</v>
      </c>
      <c r="L244" t="n">
        <v>2016.586739</v>
      </c>
      <c r="M244" t="n">
        <v>2016.586739</v>
      </c>
      <c r="N244" t="n">
        <v>2128.697228</v>
      </c>
      <c r="O244" t="n">
        <v>561.286115</v>
      </c>
      <c r="P244" t="n">
        <v>207.956274</v>
      </c>
      <c r="W244" t="n">
        <v>606.9739060000001</v>
      </c>
      <c r="X244" t="n">
        <v>2393.658993</v>
      </c>
      <c r="Y244" t="n">
        <v>145.413381</v>
      </c>
      <c r="Z244" t="n">
        <v>289.661473</v>
      </c>
    </row>
    <row r="245" ht="21" customHeight="1">
      <c r="A245" t="inlineStr">
        <is>
          <t>Isurus</t>
        </is>
      </c>
      <c r="D245" s="11" t="inlineStr">
        <is>
          <t>Sharks | Juv. sharks</t>
        </is>
      </c>
      <c r="E245" t="n">
        <v>92.758633</v>
      </c>
      <c r="F245" t="n">
        <v>2211.896778</v>
      </c>
      <c r="G245" t="n">
        <v>528.557699</v>
      </c>
      <c r="H245" t="n">
        <v>1694.662427</v>
      </c>
      <c r="I245" t="n">
        <v>829.165832</v>
      </c>
      <c r="J245" t="n">
        <v>829.165832</v>
      </c>
      <c r="K245" t="n">
        <v>789.681785</v>
      </c>
      <c r="L245" t="n">
        <v>2016.586739</v>
      </c>
      <c r="M245" t="n">
        <v>2016.586739</v>
      </c>
      <c r="N245" t="n">
        <v>2128.697228</v>
      </c>
      <c r="O245" t="n">
        <v>561.286115</v>
      </c>
      <c r="P245" t="n">
        <v>207.956274</v>
      </c>
      <c r="W245" t="n">
        <v>606.9739060000001</v>
      </c>
      <c r="X245" t="n">
        <v>2393.658993</v>
      </c>
      <c r="Y245" t="n">
        <v>145.413381</v>
      </c>
      <c r="Z245" t="n">
        <v>289.661473</v>
      </c>
    </row>
    <row r="246" ht="21" customHeight="1">
      <c r="A246" t="inlineStr">
        <is>
          <t>Trochus niloticus</t>
        </is>
      </c>
      <c r="D246" s="11" t="inlineStr">
        <is>
          <t>Molluscs</t>
        </is>
      </c>
      <c r="E246" t="n">
        <v>92.758633</v>
      </c>
      <c r="F246" t="n">
        <v>15.848932</v>
      </c>
      <c r="G246" t="n">
        <v>9.483373</v>
      </c>
      <c r="H246" t="n">
        <v>13.28747</v>
      </c>
      <c r="I246" t="n">
        <v>8.760194</v>
      </c>
      <c r="J246" t="n">
        <v>8.760194</v>
      </c>
      <c r="K246" t="n">
        <v>7.884174</v>
      </c>
      <c r="L246" t="n">
        <v>10.549912</v>
      </c>
      <c r="M246" t="n">
        <v>10.549912</v>
      </c>
      <c r="N246" t="n">
        <v>10.809345</v>
      </c>
      <c r="O246" t="n">
        <v>8.798415</v>
      </c>
      <c r="P246" t="n">
        <v>6.022535</v>
      </c>
      <c r="W246" t="n">
        <v>8.947789999999999</v>
      </c>
      <c r="X246" t="n">
        <v>11.156289</v>
      </c>
      <c r="Y246" t="n">
        <v>5.968659</v>
      </c>
      <c r="Z246" t="n">
        <v>7.276791</v>
      </c>
    </row>
    <row r="247" ht="21" customHeight="1">
      <c r="A247" t="inlineStr">
        <is>
          <t>Congridae</t>
        </is>
      </c>
      <c r="D247" s="11" t="inlineStr">
        <is>
          <t>Lg. piscivores | Juv.Lg.Pisciv.</t>
        </is>
      </c>
      <c r="E247" t="n">
        <v>92.758633</v>
      </c>
      <c r="F247" t="n">
        <v>629.8141419999999</v>
      </c>
      <c r="G247" t="n">
        <v>190.080993</v>
      </c>
      <c r="H247" t="n">
        <v>480.632956</v>
      </c>
      <c r="I247" t="n">
        <v>315.097689</v>
      </c>
      <c r="J247" t="n">
        <v>315.097689</v>
      </c>
      <c r="K247" t="n">
        <v>292.632358</v>
      </c>
      <c r="L247" t="n">
        <v>806.383997</v>
      </c>
      <c r="M247" t="n">
        <v>806.383997</v>
      </c>
      <c r="N247" t="n">
        <v>851.766221</v>
      </c>
      <c r="O247" t="n">
        <v>204.799662</v>
      </c>
      <c r="P247" t="n">
        <v>89.620936</v>
      </c>
      <c r="W247" t="n">
        <v>213.690011</v>
      </c>
      <c r="X247" t="n">
        <v>962.931199</v>
      </c>
      <c r="Y247" t="n">
        <v>64.546074</v>
      </c>
      <c r="Z247" t="n">
        <v>110.616316</v>
      </c>
    </row>
    <row r="248" ht="21" customHeight="1">
      <c r="A248" t="inlineStr">
        <is>
          <t>Pomadasys argenteus</t>
        </is>
      </c>
      <c r="B248" t="n">
        <v>3.47</v>
      </c>
      <c r="C248" t="n">
        <v>295.120923</v>
      </c>
      <c r="D248" s="11" t="inlineStr">
        <is>
          <t>Med.dem.benth.</t>
        </is>
      </c>
      <c r="E248" t="n">
        <v>92.758633</v>
      </c>
      <c r="F248" t="n">
        <v>274.243815</v>
      </c>
      <c r="G248" t="n">
        <v>96.59934699999999</v>
      </c>
      <c r="H248" t="n">
        <v>166.63869</v>
      </c>
      <c r="I248" t="n">
        <v>215.944796</v>
      </c>
      <c r="J248" t="n">
        <v>215.944796</v>
      </c>
      <c r="K248" t="n">
        <v>193.300587</v>
      </c>
      <c r="L248" t="n">
        <v>664.022909</v>
      </c>
      <c r="M248" t="n">
        <v>664.022909</v>
      </c>
      <c r="N248" t="n">
        <v>702.550582</v>
      </c>
      <c r="O248" t="n">
        <v>105.870272</v>
      </c>
      <c r="P248" t="n">
        <v>53.740614</v>
      </c>
      <c r="W248" t="n">
        <v>108.869834</v>
      </c>
      <c r="X248" t="n">
        <v>799.677877</v>
      </c>
      <c r="Y248" t="n">
        <v>37.70608</v>
      </c>
      <c r="Z248" t="n">
        <v>51.4265</v>
      </c>
    </row>
    <row r="249" ht="21" customHeight="1">
      <c r="A249" t="inlineStr">
        <is>
          <t>Seriola</t>
        </is>
      </c>
      <c r="D249" s="11" t="inlineStr">
        <is>
          <t>Lg. piscivores | Juv.Lg.Pisciv.</t>
        </is>
      </c>
      <c r="E249" t="n">
        <v>92.758633</v>
      </c>
      <c r="F249" t="n">
        <v>629.8141419999999</v>
      </c>
      <c r="G249" t="n">
        <v>190.080993</v>
      </c>
      <c r="H249" t="n">
        <v>480.632956</v>
      </c>
      <c r="I249" t="n">
        <v>315.097689</v>
      </c>
      <c r="J249" t="n">
        <v>315.097689</v>
      </c>
      <c r="K249" t="n">
        <v>292.632358</v>
      </c>
      <c r="L249" t="n">
        <v>806.383997</v>
      </c>
      <c r="M249" t="n">
        <v>806.383997</v>
      </c>
      <c r="N249" t="n">
        <v>851.766221</v>
      </c>
      <c r="O249" t="n">
        <v>204.799662</v>
      </c>
      <c r="P249" t="n">
        <v>89.620936</v>
      </c>
      <c r="W249" t="n">
        <v>213.690011</v>
      </c>
      <c r="X249" t="n">
        <v>962.931199</v>
      </c>
      <c r="Y249" t="n">
        <v>64.546074</v>
      </c>
      <c r="Z249" t="n">
        <v>110.616316</v>
      </c>
    </row>
    <row r="250" ht="21" customHeight="1">
      <c r="A250" t="inlineStr">
        <is>
          <t>Sphyrnidae</t>
        </is>
      </c>
      <c r="D250" s="11" t="inlineStr">
        <is>
          <t>Sharks | Juv. sharks</t>
        </is>
      </c>
      <c r="E250" t="n">
        <v>92.758633</v>
      </c>
      <c r="F250" t="n">
        <v>2211.896778</v>
      </c>
      <c r="G250" t="n">
        <v>528.557699</v>
      </c>
      <c r="H250" t="n">
        <v>1694.662427</v>
      </c>
      <c r="I250" t="n">
        <v>829.165832</v>
      </c>
      <c r="J250" t="n">
        <v>829.165832</v>
      </c>
      <c r="K250" t="n">
        <v>789.681785</v>
      </c>
      <c r="L250" t="n">
        <v>2016.586739</v>
      </c>
      <c r="M250" t="n">
        <v>2016.586739</v>
      </c>
      <c r="N250" t="n">
        <v>2128.697228</v>
      </c>
      <c r="O250" t="n">
        <v>561.286115</v>
      </c>
      <c r="P250" t="n">
        <v>207.956274</v>
      </c>
      <c r="W250" t="n">
        <v>606.9739060000001</v>
      </c>
      <c r="X250" t="n">
        <v>2393.658993</v>
      </c>
      <c r="Y250" t="n">
        <v>145.413381</v>
      </c>
      <c r="Z250" t="n">
        <v>289.661473</v>
      </c>
    </row>
    <row r="251" ht="21" customHeight="1">
      <c r="A251" t="inlineStr">
        <is>
          <t>Sphyrna</t>
        </is>
      </c>
      <c r="D251" s="11" t="inlineStr">
        <is>
          <t>Sharks | Juv. sharks</t>
        </is>
      </c>
      <c r="E251" t="n">
        <v>92.758633</v>
      </c>
      <c r="F251" t="n">
        <v>2211.896778</v>
      </c>
      <c r="G251" t="n">
        <v>528.557699</v>
      </c>
      <c r="H251" t="n">
        <v>1694.662427</v>
      </c>
      <c r="I251" t="n">
        <v>829.165832</v>
      </c>
      <c r="J251" t="n">
        <v>829.165832</v>
      </c>
      <c r="K251" t="n">
        <v>789.681785</v>
      </c>
      <c r="L251" t="n">
        <v>2016.586739</v>
      </c>
      <c r="M251" t="n">
        <v>2016.586739</v>
      </c>
      <c r="N251" t="n">
        <v>2128.697228</v>
      </c>
      <c r="O251" t="n">
        <v>561.286115</v>
      </c>
      <c r="P251" t="n">
        <v>207.956274</v>
      </c>
      <c r="W251" t="n">
        <v>606.9739060000001</v>
      </c>
      <c r="X251" t="n">
        <v>2393.658993</v>
      </c>
      <c r="Y251" t="n">
        <v>145.413381</v>
      </c>
      <c r="Z251" t="n">
        <v>289.661473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165954321.04</v>
      </c>
      <c r="D6" t="n">
        <v>167645100.018</v>
      </c>
      <c r="E6" t="n">
        <v>167960831.719</v>
      </c>
      <c r="F6" t="n">
        <v>169493530.158</v>
      </c>
      <c r="G6" t="n">
        <v>203944965.644</v>
      </c>
      <c r="H6" t="n">
        <v>235215293.271</v>
      </c>
      <c r="I6" t="n">
        <v>245909484.801</v>
      </c>
      <c r="J6" t="n">
        <v>253903329.794</v>
      </c>
      <c r="K6" t="n">
        <v>289097340.399</v>
      </c>
      <c r="L6" t="n">
        <v>325515691.108</v>
      </c>
      <c r="M6" t="n">
        <v>377465790.078</v>
      </c>
      <c r="N6" t="n">
        <v>436969273.218</v>
      </c>
      <c r="O6" t="n">
        <v>501383497.859</v>
      </c>
      <c r="P6" t="n">
        <v>599535420.02</v>
      </c>
      <c r="Q6" t="n">
        <v>690444478.941</v>
      </c>
      <c r="R6" t="n">
        <v>862040384.2029999</v>
      </c>
      <c r="S6" t="n">
        <v>902676158.234</v>
      </c>
      <c r="T6" t="n">
        <v>986924298.641</v>
      </c>
      <c r="U6" t="n">
        <v>1050353465.903</v>
      </c>
      <c r="V6" t="n">
        <v>1139816860.642</v>
      </c>
      <c r="W6" t="n">
        <v>1235461314.81</v>
      </c>
      <c r="X6" t="n">
        <v>1329645454.764</v>
      </c>
      <c r="Y6" t="n">
        <v>1563252815.71</v>
      </c>
      <c r="Z6" t="n">
        <v>1552833034.517</v>
      </c>
      <c r="AA6" t="n">
        <v>1380314618.141</v>
      </c>
      <c r="AB6" t="n">
        <v>1322619052.817</v>
      </c>
      <c r="AC6" t="n">
        <v>1340186243.941</v>
      </c>
      <c r="AD6" t="n">
        <v>1604335052.701</v>
      </c>
      <c r="AE6" t="n">
        <v>1589097801.986</v>
      </c>
      <c r="AF6" t="n">
        <v>1415461628.892</v>
      </c>
      <c r="AG6" t="n">
        <v>1417802537.092</v>
      </c>
      <c r="AH6" t="n">
        <v>1515916865.108</v>
      </c>
      <c r="AI6" t="n">
        <v>1541404823.465</v>
      </c>
      <c r="AJ6" t="n">
        <v>1694291449.265</v>
      </c>
      <c r="AK6" t="n">
        <v>1512520657.945</v>
      </c>
      <c r="AL6" t="n">
        <v>1578542778.18</v>
      </c>
      <c r="AM6" t="n">
        <v>1741338192.618</v>
      </c>
      <c r="AN6" t="n">
        <v>1911548020.949</v>
      </c>
      <c r="AO6" t="n">
        <v>1851170956.064</v>
      </c>
      <c r="AP6" t="n">
        <v>1776522815.484</v>
      </c>
      <c r="AQ6" t="n">
        <v>1830996148.409</v>
      </c>
      <c r="AR6" t="n">
        <v>1718196231.15</v>
      </c>
      <c r="AS6" t="n">
        <v>1849865275.088</v>
      </c>
      <c r="AT6" t="n">
        <v>1851877923.138</v>
      </c>
      <c r="AU6" t="n">
        <v>1928071510.067</v>
      </c>
      <c r="AV6" t="n">
        <v>1907930359.995</v>
      </c>
      <c r="AW6" t="n">
        <v>1828625425.159</v>
      </c>
      <c r="AX6" t="n">
        <v>1821349869.602</v>
      </c>
      <c r="AY6" t="n">
        <v>1831886668.509</v>
      </c>
      <c r="AZ6" t="n">
        <v>2062090770.438</v>
      </c>
      <c r="BA6" t="n">
        <v>2122317183.341</v>
      </c>
      <c r="BB6" t="n">
        <v>2022028682.891</v>
      </c>
      <c r="BC6" t="n">
        <v>1994489756.468</v>
      </c>
      <c r="BD6" t="n">
        <v>2044029604.158</v>
      </c>
      <c r="BE6" t="n">
        <v>1964975856.005</v>
      </c>
      <c r="BF6" t="n">
        <v>1990709686.164</v>
      </c>
      <c r="BG6" t="n">
        <v>1980077226.809</v>
      </c>
      <c r="BH6" t="n">
        <v>1826725015.355</v>
      </c>
      <c r="BI6" t="n">
        <v>1656512113.753</v>
      </c>
      <c r="BJ6" t="n">
        <v>1651430616.159</v>
      </c>
      <c r="BK6" t="n">
        <v>1686680473.087</v>
      </c>
      <c r="BL6" t="n">
        <v>1789665735.26</v>
      </c>
      <c r="BM6" t="n">
        <v>1847926162.559</v>
      </c>
      <c r="BN6" t="n">
        <v>1940026702.526</v>
      </c>
      <c r="BO6" t="n">
        <v>1873430026.294</v>
      </c>
      <c r="BP6" t="n">
        <v>1865970939.505</v>
      </c>
      <c r="BQ6" t="n">
        <v>1877969099.692</v>
      </c>
      <c r="BR6" t="n">
        <v>1861400912.24</v>
      </c>
      <c r="BS6" t="n">
        <v>1947833779.69</v>
      </c>
      <c r="BT6" t="n">
        <v>1868893902.312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98871274.33499999</v>
      </c>
      <c r="D7" t="n">
        <v>100197726.971</v>
      </c>
      <c r="E7" t="n">
        <v>99660011.656</v>
      </c>
      <c r="F7" t="n">
        <v>100048488.117</v>
      </c>
      <c r="G7" t="n">
        <v>119024012.481</v>
      </c>
      <c r="H7" t="n">
        <v>137750037.635</v>
      </c>
      <c r="I7" t="n">
        <v>144136521.842</v>
      </c>
      <c r="J7" t="n">
        <v>149525565.397</v>
      </c>
      <c r="K7" t="n">
        <v>171346741.943</v>
      </c>
      <c r="L7" t="n">
        <v>197269134.52</v>
      </c>
      <c r="M7" t="n">
        <v>239550646.236</v>
      </c>
      <c r="N7" t="n">
        <v>304622307.575</v>
      </c>
      <c r="O7" t="n">
        <v>341182774.63</v>
      </c>
      <c r="P7" t="n">
        <v>442008753.58</v>
      </c>
      <c r="Q7" t="n">
        <v>489270614.316</v>
      </c>
      <c r="R7" t="n">
        <v>608541711.651</v>
      </c>
      <c r="S7" t="n">
        <v>627367382.377</v>
      </c>
      <c r="T7" t="n">
        <v>697177718.1289999</v>
      </c>
      <c r="U7" t="n">
        <v>735223453.15</v>
      </c>
      <c r="V7" t="n">
        <v>821672921.191</v>
      </c>
      <c r="W7" t="n">
        <v>921300636.228</v>
      </c>
      <c r="X7" t="n">
        <v>996963796.715</v>
      </c>
      <c r="Y7" t="n">
        <v>1211899645.491</v>
      </c>
      <c r="Z7" t="n">
        <v>1198965996.148</v>
      </c>
      <c r="AA7" t="n">
        <v>1063988639.992</v>
      </c>
      <c r="AB7" t="n">
        <v>1015573273.152</v>
      </c>
      <c r="AC7" t="n">
        <v>1026466795.435</v>
      </c>
      <c r="AD7" t="n">
        <v>1253362977.228</v>
      </c>
      <c r="AE7" t="n">
        <v>1225640410.878</v>
      </c>
      <c r="AF7" t="n">
        <v>1075618851.529</v>
      </c>
      <c r="AG7" t="n">
        <v>1080781825.713</v>
      </c>
      <c r="AH7" t="n">
        <v>1156338341.376</v>
      </c>
      <c r="AI7" t="n">
        <v>1185121888.154</v>
      </c>
      <c r="AJ7" t="n">
        <v>1313289072.861</v>
      </c>
      <c r="AK7" t="n">
        <v>1162702217.219</v>
      </c>
      <c r="AL7" t="n">
        <v>1198174727.879</v>
      </c>
      <c r="AM7" t="n">
        <v>1333601591.062</v>
      </c>
      <c r="AN7" t="n">
        <v>1448807232.307</v>
      </c>
      <c r="AO7" t="n">
        <v>1404343798.726</v>
      </c>
      <c r="AP7" t="n">
        <v>1344551301.454</v>
      </c>
      <c r="AQ7" t="n">
        <v>1425086053.168</v>
      </c>
      <c r="AR7" t="n">
        <v>1334822015.742</v>
      </c>
      <c r="AS7" t="n">
        <v>1425457551.628</v>
      </c>
      <c r="AT7" t="n">
        <v>1417305206.803</v>
      </c>
      <c r="AU7" t="n">
        <v>1476867154.496</v>
      </c>
      <c r="AV7" t="n">
        <v>1458355823.981</v>
      </c>
      <c r="AW7" t="n">
        <v>1409212844.187</v>
      </c>
      <c r="AX7" t="n">
        <v>1402422084.57</v>
      </c>
      <c r="AY7" t="n">
        <v>1417783219.69</v>
      </c>
      <c r="AZ7" t="n">
        <v>1597520108.583</v>
      </c>
      <c r="BA7" t="n">
        <v>1666936678.916</v>
      </c>
      <c r="BB7" t="n">
        <v>1581897217.443</v>
      </c>
      <c r="BC7" t="n">
        <v>1562061017.073</v>
      </c>
      <c r="BD7" t="n">
        <v>1607468920.335</v>
      </c>
      <c r="BE7" t="n">
        <v>1549458776.171</v>
      </c>
      <c r="BF7" t="n">
        <v>1564644389.343</v>
      </c>
      <c r="BG7" t="n">
        <v>1556702331.433</v>
      </c>
      <c r="BH7" t="n">
        <v>1430623833.036</v>
      </c>
      <c r="BI7" t="n">
        <v>1268191493.653</v>
      </c>
      <c r="BJ7" t="n">
        <v>1269961226.616</v>
      </c>
      <c r="BK7" t="n">
        <v>1297410632.449</v>
      </c>
      <c r="BL7" t="n">
        <v>1367128900.729</v>
      </c>
      <c r="BM7" t="n">
        <v>1412918071.428</v>
      </c>
      <c r="BN7" t="n">
        <v>1484584852.958</v>
      </c>
      <c r="BO7" t="n">
        <v>1426503901.322</v>
      </c>
      <c r="BP7" t="n">
        <v>1437911897.078</v>
      </c>
      <c r="BQ7" t="n">
        <v>1465580885.712</v>
      </c>
      <c r="BR7" t="n">
        <v>1462813117.804</v>
      </c>
      <c r="BS7" t="n">
        <v>1538016492.622</v>
      </c>
      <c r="BT7" t="n">
        <v>1470605576.408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85799478.082</v>
      </c>
      <c r="D8" t="n">
        <v>88297613.68700001</v>
      </c>
      <c r="E8" t="n">
        <v>87500240.44599999</v>
      </c>
      <c r="F8" t="n">
        <v>87866041.36399999</v>
      </c>
      <c r="G8" t="n">
        <v>105194001.731</v>
      </c>
      <c r="H8" t="n">
        <v>121907532.062</v>
      </c>
      <c r="I8" t="n">
        <v>127701562.172</v>
      </c>
      <c r="J8" t="n">
        <v>133878547.361</v>
      </c>
      <c r="K8" t="n">
        <v>149971124.43</v>
      </c>
      <c r="L8" t="n">
        <v>168662677.612</v>
      </c>
      <c r="M8" t="n">
        <v>202214702.206</v>
      </c>
      <c r="N8" t="n">
        <v>233789996.463</v>
      </c>
      <c r="O8" t="n">
        <v>274780743.894</v>
      </c>
      <c r="P8" t="n">
        <v>339261943.579</v>
      </c>
      <c r="Q8" t="n">
        <v>393136165.638</v>
      </c>
      <c r="R8" t="n">
        <v>500768712.794</v>
      </c>
      <c r="S8" t="n">
        <v>541060668.386</v>
      </c>
      <c r="T8" t="n">
        <v>614236404.381</v>
      </c>
      <c r="U8" t="n">
        <v>677483019.744</v>
      </c>
      <c r="V8" t="n">
        <v>770914579.784</v>
      </c>
      <c r="W8" t="n">
        <v>849564833.432</v>
      </c>
      <c r="X8" t="n">
        <v>909467824.013</v>
      </c>
      <c r="Y8" t="n">
        <v>1118739256.625</v>
      </c>
      <c r="Z8" t="n">
        <v>1101873002.095</v>
      </c>
      <c r="AA8" t="n">
        <v>981014762.023</v>
      </c>
      <c r="AB8" t="n">
        <v>939898082.385</v>
      </c>
      <c r="AC8" t="n">
        <v>943909181.164</v>
      </c>
      <c r="AD8" t="n">
        <v>1139751072.418</v>
      </c>
      <c r="AE8" t="n">
        <v>1117752265.298</v>
      </c>
      <c r="AF8" t="n">
        <v>980091862.501</v>
      </c>
      <c r="AG8" t="n">
        <v>1009565877.525</v>
      </c>
      <c r="AH8" t="n">
        <v>1074441852.702</v>
      </c>
      <c r="AI8" t="n">
        <v>1114502060.318</v>
      </c>
      <c r="AJ8" t="n">
        <v>1223231530.635</v>
      </c>
      <c r="AK8" t="n">
        <v>1102544612.151</v>
      </c>
      <c r="AL8" t="n">
        <v>1129560845.214</v>
      </c>
      <c r="AM8" t="n">
        <v>1253299592.741</v>
      </c>
      <c r="AN8" t="n">
        <v>1364854497.528</v>
      </c>
      <c r="AO8" t="n">
        <v>1319082619.27</v>
      </c>
      <c r="AP8" t="n">
        <v>1268465003.952</v>
      </c>
      <c r="AQ8" t="n">
        <v>1333068556.614</v>
      </c>
      <c r="AR8" t="n">
        <v>1247116974.145</v>
      </c>
      <c r="AS8" t="n">
        <v>1338174592.752</v>
      </c>
      <c r="AT8" t="n">
        <v>1332862615.919</v>
      </c>
      <c r="AU8" t="n">
        <v>1371601804.25</v>
      </c>
      <c r="AV8" t="n">
        <v>1364785797.316</v>
      </c>
      <c r="AW8" t="n">
        <v>1325571674.267</v>
      </c>
      <c r="AX8" t="n">
        <v>1317937690.674</v>
      </c>
      <c r="AY8" t="n">
        <v>1326007120.801</v>
      </c>
      <c r="AZ8" t="n">
        <v>1481563188.317</v>
      </c>
      <c r="BA8" t="n">
        <v>1539986499.632</v>
      </c>
      <c r="BB8" t="n">
        <v>1470789376.14</v>
      </c>
      <c r="BC8" t="n">
        <v>1456758394.715</v>
      </c>
      <c r="BD8" t="n">
        <v>1499362551.614</v>
      </c>
      <c r="BE8" t="n">
        <v>1447019372.344</v>
      </c>
      <c r="BF8" t="n">
        <v>1433951219.672</v>
      </c>
      <c r="BG8" t="n">
        <v>1434983808.458</v>
      </c>
      <c r="BH8" t="n">
        <v>1318922113.122</v>
      </c>
      <c r="BI8" t="n">
        <v>1171797745.686</v>
      </c>
      <c r="BJ8" t="n">
        <v>1179061294.715</v>
      </c>
      <c r="BK8" t="n">
        <v>1198823177.581</v>
      </c>
      <c r="BL8" t="n">
        <v>1266878726.52</v>
      </c>
      <c r="BM8" t="n">
        <v>1307418936.47</v>
      </c>
      <c r="BN8" t="n">
        <v>1374305231.528</v>
      </c>
      <c r="BO8" t="n">
        <v>1326336859.017</v>
      </c>
      <c r="BP8" t="n">
        <v>1321851427.83</v>
      </c>
      <c r="BQ8" t="n">
        <v>1330273707.432</v>
      </c>
      <c r="BR8" t="n">
        <v>1330274963.627</v>
      </c>
      <c r="BS8" t="n">
        <v>1384421486.029</v>
      </c>
      <c r="BT8" t="n">
        <v>1321291452.969</v>
      </c>
    </row>
    <row r="9">
      <c r="A9" t="inlineStr">
        <is>
          <t>SPPR_1986</t>
        </is>
      </c>
      <c r="B9" t="inlineStr">
        <is>
          <t>ok</t>
        </is>
      </c>
      <c r="C9" t="n">
        <v>44862431.235</v>
      </c>
      <c r="D9" t="n">
        <v>45489964.722</v>
      </c>
      <c r="E9" t="n">
        <v>46436761.458</v>
      </c>
      <c r="F9" t="n">
        <v>47082093.193</v>
      </c>
      <c r="G9" t="n">
        <v>50435851.601</v>
      </c>
      <c r="H9" t="n">
        <v>54062730.756</v>
      </c>
      <c r="I9" t="n">
        <v>55756882.313</v>
      </c>
      <c r="J9" t="n">
        <v>57335092.258</v>
      </c>
      <c r="K9" t="n">
        <v>60022212.923</v>
      </c>
      <c r="L9" t="n">
        <v>63013524.116</v>
      </c>
      <c r="M9" t="n">
        <v>67852120.70200001</v>
      </c>
      <c r="N9" t="n">
        <v>71349487.09900001</v>
      </c>
      <c r="O9" t="n">
        <v>78702973.832</v>
      </c>
      <c r="P9" t="n">
        <v>86907052.59</v>
      </c>
      <c r="Q9" t="n">
        <v>97764614.487</v>
      </c>
      <c r="R9" t="n">
        <v>122322233.553</v>
      </c>
      <c r="S9" t="n">
        <v>136761334.741</v>
      </c>
      <c r="T9" t="n">
        <v>148302286.035</v>
      </c>
      <c r="U9" t="n">
        <v>165628056.103</v>
      </c>
      <c r="V9" t="n">
        <v>176511537.916</v>
      </c>
      <c r="W9" t="n">
        <v>199361458.304</v>
      </c>
      <c r="X9" t="n">
        <v>215040559.681</v>
      </c>
      <c r="Y9" t="n">
        <v>226910915.339</v>
      </c>
      <c r="Z9" t="n">
        <v>231709493.717</v>
      </c>
      <c r="AA9" t="n">
        <v>206911176.666</v>
      </c>
      <c r="AB9" t="n">
        <v>201692649.717</v>
      </c>
      <c r="AC9" t="n">
        <v>205804549.571</v>
      </c>
      <c r="AD9" t="n">
        <v>254132697.122</v>
      </c>
      <c r="AE9" t="n">
        <v>247591791.692</v>
      </c>
      <c r="AF9" t="n">
        <v>225275617.65</v>
      </c>
      <c r="AG9" t="n">
        <v>214253398.604</v>
      </c>
      <c r="AH9" t="n">
        <v>231894698.572</v>
      </c>
      <c r="AI9" t="n">
        <v>242320000.509</v>
      </c>
      <c r="AJ9" t="n">
        <v>253509767.71</v>
      </c>
      <c r="AK9" t="n">
        <v>228969461.58</v>
      </c>
      <c r="AL9" t="n">
        <v>241606516.038</v>
      </c>
      <c r="AM9" t="n">
        <v>256513740.642</v>
      </c>
      <c r="AN9" t="n">
        <v>285972513.551</v>
      </c>
      <c r="AO9" t="n">
        <v>272070073.742</v>
      </c>
      <c r="AP9" t="n">
        <v>265251948.191</v>
      </c>
      <c r="AQ9" t="n">
        <v>262527609.237</v>
      </c>
      <c r="AR9" t="n">
        <v>252856999.794</v>
      </c>
      <c r="AS9" t="n">
        <v>277544324.555</v>
      </c>
      <c r="AT9" t="n">
        <v>266706591.671</v>
      </c>
      <c r="AU9" t="n">
        <v>281055929.866</v>
      </c>
      <c r="AV9" t="n">
        <v>277045834.188</v>
      </c>
      <c r="AW9" t="n">
        <v>269467529.007</v>
      </c>
      <c r="AX9" t="n">
        <v>262026070.822</v>
      </c>
      <c r="AY9" t="n">
        <v>273007852.669</v>
      </c>
      <c r="AZ9" t="n">
        <v>288905340.797</v>
      </c>
      <c r="BA9" t="n">
        <v>303107080.899</v>
      </c>
      <c r="BB9" t="n">
        <v>275392552.548</v>
      </c>
      <c r="BC9" t="n">
        <v>266607429.446</v>
      </c>
      <c r="BD9" t="n">
        <v>273552915.383</v>
      </c>
      <c r="BE9" t="n">
        <v>263315913.193</v>
      </c>
      <c r="BF9" t="n">
        <v>267361995.88</v>
      </c>
      <c r="BG9" t="n">
        <v>266043215.321</v>
      </c>
      <c r="BH9" t="n">
        <v>242220197.785</v>
      </c>
      <c r="BI9" t="n">
        <v>234941785.067</v>
      </c>
      <c r="BJ9" t="n">
        <v>225560296.399</v>
      </c>
      <c r="BK9" t="n">
        <v>227946731.792</v>
      </c>
      <c r="BL9" t="n">
        <v>236912152.262</v>
      </c>
      <c r="BM9" t="n">
        <v>240097765.056</v>
      </c>
      <c r="BN9" t="n">
        <v>251271792.787</v>
      </c>
      <c r="BO9" t="n">
        <v>246778861.061</v>
      </c>
      <c r="BP9" t="n">
        <v>231846725.384</v>
      </c>
      <c r="BQ9" t="n">
        <v>234886882.067</v>
      </c>
      <c r="BR9" t="n">
        <v>228792210.499</v>
      </c>
      <c r="BS9" t="n">
        <v>240055488.547</v>
      </c>
      <c r="BT9" t="n">
        <v>242594930.789</v>
      </c>
    </row>
    <row r="10">
      <c r="A10" t="inlineStr">
        <is>
          <t>SPPR_1995_TE0.1</t>
        </is>
      </c>
      <c r="B10" t="inlineStr">
        <is>
          <t>ok</t>
        </is>
      </c>
      <c r="C10" t="n">
        <v>66332719.099</v>
      </c>
      <c r="D10" t="n">
        <v>67251787.97400001</v>
      </c>
      <c r="E10" t="n">
        <v>67249381.017</v>
      </c>
      <c r="F10" t="n">
        <v>67880302.10699999</v>
      </c>
      <c r="G10" t="n">
        <v>77119635.723</v>
      </c>
      <c r="H10" t="n">
        <v>85486472.729</v>
      </c>
      <c r="I10" t="n">
        <v>88682975.626</v>
      </c>
      <c r="J10" t="n">
        <v>91074684.21600001</v>
      </c>
      <c r="K10" t="n">
        <v>103328343.576</v>
      </c>
      <c r="L10" t="n">
        <v>114752728.551</v>
      </c>
      <c r="M10" t="n">
        <v>128386921.147</v>
      </c>
      <c r="N10" t="n">
        <v>149245931.653</v>
      </c>
      <c r="O10" t="n">
        <v>167637397.462</v>
      </c>
      <c r="P10" t="n">
        <v>197991977.259</v>
      </c>
      <c r="Q10" t="n">
        <v>228025715.488</v>
      </c>
      <c r="R10" t="n">
        <v>282794671.78</v>
      </c>
      <c r="S10" t="n">
        <v>292301940.573</v>
      </c>
      <c r="T10" t="n">
        <v>312455016.396</v>
      </c>
      <c r="U10" t="n">
        <v>327596626.981</v>
      </c>
      <c r="V10" t="n">
        <v>344662579.631</v>
      </c>
      <c r="W10" t="n">
        <v>373217712.099</v>
      </c>
      <c r="X10" t="n">
        <v>404337676.115</v>
      </c>
      <c r="Y10" t="n">
        <v>466491585.903</v>
      </c>
      <c r="Z10" t="n">
        <v>464395600.279</v>
      </c>
      <c r="AA10" t="n">
        <v>419101027.069</v>
      </c>
      <c r="AB10" t="n">
        <v>401740330.302</v>
      </c>
      <c r="AC10" t="n">
        <v>421968852.307</v>
      </c>
      <c r="AD10" t="n">
        <v>514676073.458</v>
      </c>
      <c r="AE10" t="n">
        <v>506900093.019</v>
      </c>
      <c r="AF10" t="n">
        <v>444375811.854</v>
      </c>
      <c r="AG10" t="n">
        <v>453690002.417</v>
      </c>
      <c r="AH10" t="n">
        <v>494197249.525</v>
      </c>
      <c r="AI10" t="n">
        <v>499889035.703</v>
      </c>
      <c r="AJ10" t="n">
        <v>542839951.099</v>
      </c>
      <c r="AK10" t="n">
        <v>484558097.183</v>
      </c>
      <c r="AL10" t="n">
        <v>500141259.65</v>
      </c>
      <c r="AM10" t="n">
        <v>537958679.627</v>
      </c>
      <c r="AN10" t="n">
        <v>593061344.1849999</v>
      </c>
      <c r="AO10" t="n">
        <v>575570985.428</v>
      </c>
      <c r="AP10" t="n">
        <v>553495106.13</v>
      </c>
      <c r="AQ10" t="n">
        <v>580142512.4299999</v>
      </c>
      <c r="AR10" t="n">
        <v>545451321.6</v>
      </c>
      <c r="AS10" t="n">
        <v>591261836.155</v>
      </c>
      <c r="AT10" t="n">
        <v>579084356.752</v>
      </c>
      <c r="AU10" t="n">
        <v>602857660.905</v>
      </c>
      <c r="AV10" t="n">
        <v>584562545.687</v>
      </c>
      <c r="AW10" t="n">
        <v>561764035.8</v>
      </c>
      <c r="AX10" t="n">
        <v>550359166.53</v>
      </c>
      <c r="AY10" t="n">
        <v>573142699.262</v>
      </c>
      <c r="AZ10" t="n">
        <v>627780376.135</v>
      </c>
      <c r="BA10" t="n">
        <v>663608131.615</v>
      </c>
      <c r="BB10" t="n">
        <v>617493758.164</v>
      </c>
      <c r="BC10" t="n">
        <v>606642616.363</v>
      </c>
      <c r="BD10" t="n">
        <v>624673280.355</v>
      </c>
      <c r="BE10" t="n">
        <v>613041322.599</v>
      </c>
      <c r="BF10" t="n">
        <v>603975393.901</v>
      </c>
      <c r="BG10" t="n">
        <v>602715781.579</v>
      </c>
      <c r="BH10" t="n">
        <v>548906504.1</v>
      </c>
      <c r="BI10" t="n">
        <v>481524484.394</v>
      </c>
      <c r="BJ10" t="n">
        <v>484564657.998</v>
      </c>
      <c r="BK10" t="n">
        <v>494742068.125</v>
      </c>
      <c r="BL10" t="n">
        <v>516708637.984</v>
      </c>
      <c r="BM10" t="n">
        <v>537090654.502</v>
      </c>
      <c r="BN10" t="n">
        <v>566711454.824</v>
      </c>
      <c r="BO10" t="n">
        <v>546411786.346</v>
      </c>
      <c r="BP10" t="n">
        <v>534308128.402</v>
      </c>
      <c r="BQ10" t="n">
        <v>538382730.143</v>
      </c>
      <c r="BR10" t="n">
        <v>535737927.634</v>
      </c>
      <c r="BS10" t="n">
        <v>552077903.774</v>
      </c>
      <c r="BT10" t="n">
        <v>539176920.527</v>
      </c>
    </row>
    <row r="11">
      <c r="A11" t="inlineStr">
        <is>
          <t>SPPR_1995_TEmean</t>
        </is>
      </c>
      <c r="B11" t="inlineStr">
        <is>
          <t>ok</t>
        </is>
      </c>
      <c r="C11" t="n">
        <v>23389209.345</v>
      </c>
      <c r="D11" t="n">
        <v>23909491.226</v>
      </c>
      <c r="E11" t="n">
        <v>23911656.775</v>
      </c>
      <c r="F11" t="n">
        <v>24136103.967</v>
      </c>
      <c r="G11" t="n">
        <v>27235484.624</v>
      </c>
      <c r="H11" t="n">
        <v>30044409.402</v>
      </c>
      <c r="I11" t="n">
        <v>31155618.42</v>
      </c>
      <c r="J11" t="n">
        <v>32131946.034</v>
      </c>
      <c r="K11" t="n">
        <v>35896896.952</v>
      </c>
      <c r="L11" t="n">
        <v>39412747.978</v>
      </c>
      <c r="M11" t="n">
        <v>43902284.624</v>
      </c>
      <c r="N11" t="n">
        <v>50247273.218</v>
      </c>
      <c r="O11" t="n">
        <v>56787583.145</v>
      </c>
      <c r="P11" t="n">
        <v>66891833.861</v>
      </c>
      <c r="Q11" t="n">
        <v>77372253.478</v>
      </c>
      <c r="R11" t="n">
        <v>96779628.947</v>
      </c>
      <c r="S11" t="n">
        <v>101549564.933</v>
      </c>
      <c r="T11" t="n">
        <v>109554348.02</v>
      </c>
      <c r="U11" t="n">
        <v>116847950.288</v>
      </c>
      <c r="V11" t="n">
        <v>124412248.503</v>
      </c>
      <c r="W11" t="n">
        <v>135918276.105</v>
      </c>
      <c r="X11" t="n">
        <v>146950713.674</v>
      </c>
      <c r="Y11" t="n">
        <v>169055559.243</v>
      </c>
      <c r="Z11" t="n">
        <v>168893107.335</v>
      </c>
      <c r="AA11" t="n">
        <v>151770007.452</v>
      </c>
      <c r="AB11" t="n">
        <v>145363531.732</v>
      </c>
      <c r="AC11" t="n">
        <v>152179967.472</v>
      </c>
      <c r="AD11" t="n">
        <v>186606465.162</v>
      </c>
      <c r="AE11" t="n">
        <v>183265646.679</v>
      </c>
      <c r="AF11" t="n">
        <v>161083321.143</v>
      </c>
      <c r="AG11" t="n">
        <v>162358364.1</v>
      </c>
      <c r="AH11" t="n">
        <v>175688317.454</v>
      </c>
      <c r="AI11" t="n">
        <v>178147377.242</v>
      </c>
      <c r="AJ11" t="n">
        <v>192109178.544</v>
      </c>
      <c r="AK11" t="n">
        <v>171518252.808</v>
      </c>
      <c r="AL11" t="n">
        <v>177434321.109</v>
      </c>
      <c r="AM11" t="n">
        <v>191244464.734</v>
      </c>
      <c r="AN11" t="n">
        <v>211516614.368</v>
      </c>
      <c r="AO11" t="n">
        <v>203868380.19</v>
      </c>
      <c r="AP11" t="n">
        <v>196745252.576</v>
      </c>
      <c r="AQ11" t="n">
        <v>204093778.953</v>
      </c>
      <c r="AR11" t="n">
        <v>193099881.216</v>
      </c>
      <c r="AS11" t="n">
        <v>209923204.095</v>
      </c>
      <c r="AT11" t="n">
        <v>205767973.962</v>
      </c>
      <c r="AU11" t="n">
        <v>214850293.249</v>
      </c>
      <c r="AV11" t="n">
        <v>209161651.152</v>
      </c>
      <c r="AW11" t="n">
        <v>201472790.542</v>
      </c>
      <c r="AX11" t="n">
        <v>197137900.407</v>
      </c>
      <c r="AY11" t="n">
        <v>204915156.924</v>
      </c>
      <c r="AZ11" t="n">
        <v>223173637.345</v>
      </c>
      <c r="BA11" t="n">
        <v>235142214.895</v>
      </c>
      <c r="BB11" t="n">
        <v>218648781.708</v>
      </c>
      <c r="BC11" t="n">
        <v>214334126.726</v>
      </c>
      <c r="BD11" t="n">
        <v>220271975.051</v>
      </c>
      <c r="BE11" t="n">
        <v>215232610.663</v>
      </c>
      <c r="BF11" t="n">
        <v>212828874.572</v>
      </c>
      <c r="BG11" t="n">
        <v>211792970.409</v>
      </c>
      <c r="BH11" t="n">
        <v>193213186.115</v>
      </c>
      <c r="BI11" t="n">
        <v>172943503.297</v>
      </c>
      <c r="BJ11" t="n">
        <v>172833223.43</v>
      </c>
      <c r="BK11" t="n">
        <v>176209809.732</v>
      </c>
      <c r="BL11" t="n">
        <v>183858481.78</v>
      </c>
      <c r="BM11" t="n">
        <v>190141752.245</v>
      </c>
      <c r="BN11" t="n">
        <v>200429536.718</v>
      </c>
      <c r="BO11" t="n">
        <v>193844640.88</v>
      </c>
      <c r="BP11" t="n">
        <v>188226479.734</v>
      </c>
      <c r="BQ11" t="n">
        <v>189514072.851</v>
      </c>
      <c r="BR11" t="n">
        <v>188199522.488</v>
      </c>
      <c r="BS11" t="n">
        <v>194449980.158</v>
      </c>
      <c r="BT11" t="n">
        <v>190621772.362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41724131.007</v>
      </c>
      <c r="D12" t="n">
        <v>41724058.655</v>
      </c>
      <c r="E12" t="n">
        <v>41876312.687</v>
      </c>
      <c r="F12" t="n">
        <v>42403524.508</v>
      </c>
      <c r="G12" t="n">
        <v>48129026.603</v>
      </c>
      <c r="H12" t="n">
        <v>53441544.972</v>
      </c>
      <c r="I12" t="n">
        <v>55474726.493</v>
      </c>
      <c r="J12" t="n">
        <v>56828714.541</v>
      </c>
      <c r="K12" t="n">
        <v>64770079.347</v>
      </c>
      <c r="L12" t="n">
        <v>72283535.307</v>
      </c>
      <c r="M12" t="n">
        <v>81889546.90700001</v>
      </c>
      <c r="N12" t="n">
        <v>96558420.20999999</v>
      </c>
      <c r="O12" t="n">
        <v>109130167.108</v>
      </c>
      <c r="P12" t="n">
        <v>131557073.227</v>
      </c>
      <c r="Q12" t="n">
        <v>152281404.049</v>
      </c>
      <c r="R12" t="n">
        <v>191833572.895</v>
      </c>
      <c r="S12" t="n">
        <v>201851855.948</v>
      </c>
      <c r="T12" t="n">
        <v>220080692.625</v>
      </c>
      <c r="U12" t="n">
        <v>235290655.422</v>
      </c>
      <c r="V12" t="n">
        <v>253534312.509</v>
      </c>
      <c r="W12" t="n">
        <v>278273884.919</v>
      </c>
      <c r="X12" t="n">
        <v>301741163.502</v>
      </c>
      <c r="Y12" t="n">
        <v>353583407.252</v>
      </c>
      <c r="Z12" t="n">
        <v>347972657.726</v>
      </c>
      <c r="AA12" t="n">
        <v>314335035.341</v>
      </c>
      <c r="AB12" t="n">
        <v>300528461.289</v>
      </c>
      <c r="AC12" t="n">
        <v>309739581.101</v>
      </c>
      <c r="AD12" t="n">
        <v>370895212.008</v>
      </c>
      <c r="AE12" t="n">
        <v>370191420.716</v>
      </c>
      <c r="AF12" t="n">
        <v>327050102.154</v>
      </c>
      <c r="AG12" t="n">
        <v>329874516.862</v>
      </c>
      <c r="AH12" t="n">
        <v>354013871.554</v>
      </c>
      <c r="AI12" t="n">
        <v>359454353.964</v>
      </c>
      <c r="AJ12" t="n">
        <v>380586238.493</v>
      </c>
      <c r="AK12" t="n">
        <v>343570600.611</v>
      </c>
      <c r="AL12" t="n">
        <v>355919893.933</v>
      </c>
      <c r="AM12" t="n">
        <v>387038661.337</v>
      </c>
      <c r="AN12" t="n">
        <v>429475407.211</v>
      </c>
      <c r="AO12" t="n">
        <v>412844982.68</v>
      </c>
      <c r="AP12" t="n">
        <v>395340941.521</v>
      </c>
      <c r="AQ12" t="n">
        <v>414082764.439</v>
      </c>
      <c r="AR12" t="n">
        <v>387844787.373</v>
      </c>
      <c r="AS12" t="n">
        <v>416964094.194</v>
      </c>
      <c r="AT12" t="n">
        <v>415204734.504</v>
      </c>
      <c r="AU12" t="n">
        <v>432545116.631</v>
      </c>
      <c r="AV12" t="n">
        <v>422262333.954</v>
      </c>
      <c r="AW12" t="n">
        <v>404368191.921</v>
      </c>
      <c r="AX12" t="n">
        <v>396532587.174</v>
      </c>
      <c r="AY12" t="n">
        <v>408453364.72</v>
      </c>
      <c r="AZ12" t="n">
        <v>446071729.921</v>
      </c>
      <c r="BA12" t="n">
        <v>466888841.862</v>
      </c>
      <c r="BB12" t="n">
        <v>439511877.811</v>
      </c>
      <c r="BC12" t="n">
        <v>431959479.807</v>
      </c>
      <c r="BD12" t="n">
        <v>444172098.818</v>
      </c>
      <c r="BE12" t="n">
        <v>434128880.848</v>
      </c>
      <c r="BF12" t="n">
        <v>430586028.699</v>
      </c>
      <c r="BG12" t="n">
        <v>427761263.754</v>
      </c>
      <c r="BH12" t="n">
        <v>390365255.164</v>
      </c>
      <c r="BI12" t="n">
        <v>346071953.291</v>
      </c>
      <c r="BJ12" t="n">
        <v>350467120.097</v>
      </c>
      <c r="BK12" t="n">
        <v>355898504.602</v>
      </c>
      <c r="BL12" t="n">
        <v>369417717.535</v>
      </c>
      <c r="BM12" t="n">
        <v>385674922.644</v>
      </c>
      <c r="BN12" t="n">
        <v>406365185.212</v>
      </c>
      <c r="BO12" t="n">
        <v>391375143.859</v>
      </c>
      <c r="BP12" t="n">
        <v>382996361.076</v>
      </c>
      <c r="BQ12" t="n">
        <v>384984889.582</v>
      </c>
      <c r="BR12" t="n">
        <v>383289504.866</v>
      </c>
      <c r="BS12" t="n">
        <v>395200833.188</v>
      </c>
      <c r="BT12" t="n">
        <v>387686114.157</v>
      </c>
    </row>
    <row r="13">
      <c r="A13" t="inlineStr">
        <is>
          <t>Ulanowicz_TE</t>
        </is>
      </c>
      <c r="B13" t="inlineStr">
        <is>
          <t>ok</t>
        </is>
      </c>
      <c r="C13" t="n">
        <v>26571671.753</v>
      </c>
      <c r="D13" t="n">
        <v>26510664.594</v>
      </c>
      <c r="E13" t="n">
        <v>26648838.127</v>
      </c>
      <c r="F13" t="n">
        <v>27032935.547</v>
      </c>
      <c r="G13" t="n">
        <v>30489241.86</v>
      </c>
      <c r="H13" t="n">
        <v>33752741.472</v>
      </c>
      <c r="I13" t="n">
        <v>35064135.186</v>
      </c>
      <c r="J13" t="n">
        <v>36263724.915</v>
      </c>
      <c r="K13" t="n">
        <v>41037259.271</v>
      </c>
      <c r="L13" t="n">
        <v>45603292.212</v>
      </c>
      <c r="M13" t="n">
        <v>52532987.408</v>
      </c>
      <c r="N13" t="n">
        <v>62261863.52</v>
      </c>
      <c r="O13" t="n">
        <v>72014796.039</v>
      </c>
      <c r="P13" t="n">
        <v>89659573.79000001</v>
      </c>
      <c r="Q13" t="n">
        <v>105821982.729</v>
      </c>
      <c r="R13" t="n">
        <v>138592933.334</v>
      </c>
      <c r="S13" t="n">
        <v>151093951.41</v>
      </c>
      <c r="T13" t="n">
        <v>170248507.484</v>
      </c>
      <c r="U13" t="n">
        <v>189113022.54</v>
      </c>
      <c r="V13" t="n">
        <v>212257366.452</v>
      </c>
      <c r="W13" t="n">
        <v>238323574.91</v>
      </c>
      <c r="X13" t="n">
        <v>257772414.072</v>
      </c>
      <c r="Y13" t="n">
        <v>306862961.442</v>
      </c>
      <c r="Z13" t="n">
        <v>297411821.29</v>
      </c>
      <c r="AA13" t="n">
        <v>267994841.207</v>
      </c>
      <c r="AB13" t="n">
        <v>254571813.896</v>
      </c>
      <c r="AC13" t="n">
        <v>255790019.004</v>
      </c>
      <c r="AD13" t="n">
        <v>300780737.523</v>
      </c>
      <c r="AE13" t="n">
        <v>302862561.242</v>
      </c>
      <c r="AF13" t="n">
        <v>269748457.894</v>
      </c>
      <c r="AG13" t="n">
        <v>267964502.993</v>
      </c>
      <c r="AH13" t="n">
        <v>281131183.003</v>
      </c>
      <c r="AI13" t="n">
        <v>288283934.396</v>
      </c>
      <c r="AJ13" t="n">
        <v>293440466.669</v>
      </c>
      <c r="AK13" t="n">
        <v>270156283.062</v>
      </c>
      <c r="AL13" t="n">
        <v>281026047.886</v>
      </c>
      <c r="AM13" t="n">
        <v>310205257.201</v>
      </c>
      <c r="AN13" t="n">
        <v>347272443.281</v>
      </c>
      <c r="AO13" t="n">
        <v>328392117.187</v>
      </c>
      <c r="AP13" t="n">
        <v>313930637.594</v>
      </c>
      <c r="AQ13" t="n">
        <v>326640686.402</v>
      </c>
      <c r="AR13" t="n">
        <v>304832012.305</v>
      </c>
      <c r="AS13" t="n">
        <v>325343735.257</v>
      </c>
      <c r="AT13" t="n">
        <v>330842925.812</v>
      </c>
      <c r="AU13" t="n">
        <v>343563212.924</v>
      </c>
      <c r="AV13" t="n">
        <v>339233680.634</v>
      </c>
      <c r="AW13" t="n">
        <v>324071633.709</v>
      </c>
      <c r="AX13" t="n">
        <v>317285596.914</v>
      </c>
      <c r="AY13" t="n">
        <v>322520511.01</v>
      </c>
      <c r="AZ13" t="n">
        <v>350102752.43</v>
      </c>
      <c r="BA13" t="n">
        <v>361575580.67</v>
      </c>
      <c r="BB13" t="n">
        <v>345283348.58</v>
      </c>
      <c r="BC13" t="n">
        <v>339353007.555</v>
      </c>
      <c r="BD13" t="n">
        <v>348316642.466</v>
      </c>
      <c r="BE13" t="n">
        <v>337162466.205</v>
      </c>
      <c r="BF13" t="n">
        <v>337345225.165</v>
      </c>
      <c r="BG13" t="n">
        <v>332941202.835</v>
      </c>
      <c r="BH13" t="n">
        <v>304833313.306</v>
      </c>
      <c r="BI13" t="n">
        <v>274342147.83</v>
      </c>
      <c r="BJ13" t="n">
        <v>277667361.536</v>
      </c>
      <c r="BK13" t="n">
        <v>279346743.549</v>
      </c>
      <c r="BL13" t="n">
        <v>288571925.932</v>
      </c>
      <c r="BM13" t="n">
        <v>301849061.133</v>
      </c>
      <c r="BN13" t="n">
        <v>318270144.106</v>
      </c>
      <c r="BO13" t="n">
        <v>306543784.857</v>
      </c>
      <c r="BP13" t="n">
        <v>297762485.634</v>
      </c>
      <c r="BQ13" t="n">
        <v>296936449.046</v>
      </c>
      <c r="BR13" t="n">
        <v>296109936.301</v>
      </c>
      <c r="BS13" t="n">
        <v>306022039.238</v>
      </c>
      <c r="BT13" t="n">
        <v>302560083.262</v>
      </c>
    </row>
    <row r="14">
      <c r="A14" t="inlineStr">
        <is>
          <t>EwE_TE_noEE</t>
        </is>
      </c>
      <c r="B14" t="inlineStr">
        <is>
          <t>ok</t>
        </is>
      </c>
      <c r="C14" t="n">
        <v>26571671.753</v>
      </c>
      <c r="D14" t="n">
        <v>26510664.594</v>
      </c>
      <c r="E14" t="n">
        <v>26648838.127</v>
      </c>
      <c r="F14" t="n">
        <v>27032935.547</v>
      </c>
      <c r="G14" t="n">
        <v>30489241.86</v>
      </c>
      <c r="H14" t="n">
        <v>33752741.472</v>
      </c>
      <c r="I14" t="n">
        <v>35064135.186</v>
      </c>
      <c r="J14" t="n">
        <v>36263724.915</v>
      </c>
      <c r="K14" t="n">
        <v>41037259.271</v>
      </c>
      <c r="L14" t="n">
        <v>45603292.212</v>
      </c>
      <c r="M14" t="n">
        <v>52532987.408</v>
      </c>
      <c r="N14" t="n">
        <v>62261863.52</v>
      </c>
      <c r="O14" t="n">
        <v>72014796.039</v>
      </c>
      <c r="P14" t="n">
        <v>89659573.79000001</v>
      </c>
      <c r="Q14" t="n">
        <v>105821982.729</v>
      </c>
      <c r="R14" t="n">
        <v>138592933.334</v>
      </c>
      <c r="S14" t="n">
        <v>151093951.41</v>
      </c>
      <c r="T14" t="n">
        <v>170248507.484</v>
      </c>
      <c r="U14" t="n">
        <v>189113022.54</v>
      </c>
      <c r="V14" t="n">
        <v>212257366.452</v>
      </c>
      <c r="W14" t="n">
        <v>238340568.591</v>
      </c>
      <c r="X14" t="n">
        <v>257789345.407</v>
      </c>
      <c r="Y14" t="n">
        <v>306881177.119</v>
      </c>
      <c r="Z14" t="n">
        <v>297861416.523</v>
      </c>
      <c r="AA14" t="n">
        <v>268010905.407</v>
      </c>
      <c r="AB14" t="n">
        <v>254600937.112</v>
      </c>
      <c r="AC14" t="n">
        <v>255940946.347</v>
      </c>
      <c r="AD14" t="n">
        <v>301325559.451</v>
      </c>
      <c r="AE14" t="n">
        <v>303255381.453</v>
      </c>
      <c r="AF14" t="n">
        <v>270084093.551</v>
      </c>
      <c r="AG14" t="n">
        <v>267977903.069</v>
      </c>
      <c r="AH14" t="n">
        <v>281206551.569</v>
      </c>
      <c r="AI14" t="n">
        <v>288472631.526</v>
      </c>
      <c r="AJ14" t="n">
        <v>294388011.299</v>
      </c>
      <c r="AK14" t="n">
        <v>270193942.746</v>
      </c>
      <c r="AL14" t="n">
        <v>281067135.772</v>
      </c>
      <c r="AM14" t="n">
        <v>310313301.695</v>
      </c>
      <c r="AN14" t="n">
        <v>347360081.326</v>
      </c>
      <c r="AO14" t="n">
        <v>328506831.131</v>
      </c>
      <c r="AP14" t="n">
        <v>314029781.91</v>
      </c>
      <c r="AQ14" t="n">
        <v>326727127.776</v>
      </c>
      <c r="AR14" t="n">
        <v>305172134.231</v>
      </c>
      <c r="AS14" t="n">
        <v>325967007.82</v>
      </c>
      <c r="AT14" t="n">
        <v>330902663.878</v>
      </c>
      <c r="AU14" t="n">
        <v>344034664.275</v>
      </c>
      <c r="AV14" t="n">
        <v>339333355.725</v>
      </c>
      <c r="AW14" t="n">
        <v>324178274.402</v>
      </c>
      <c r="AX14" t="n">
        <v>317417836.304</v>
      </c>
      <c r="AY14" t="n">
        <v>322894019.043</v>
      </c>
      <c r="AZ14" t="n">
        <v>350624678.529</v>
      </c>
      <c r="BA14" t="n">
        <v>362455316.447</v>
      </c>
      <c r="BB14" t="n">
        <v>345561383.285</v>
      </c>
      <c r="BC14" t="n">
        <v>339518860.967</v>
      </c>
      <c r="BD14" t="n">
        <v>348369100.078</v>
      </c>
      <c r="BE14" t="n">
        <v>337171426.954</v>
      </c>
      <c r="BF14" t="n">
        <v>337366623.855</v>
      </c>
      <c r="BG14" t="n">
        <v>332965284.779</v>
      </c>
      <c r="BH14" t="n">
        <v>304878223.782</v>
      </c>
      <c r="BI14" t="n">
        <v>274360234.042</v>
      </c>
      <c r="BJ14" t="n">
        <v>277691781.648</v>
      </c>
      <c r="BK14" t="n">
        <v>279379930.363</v>
      </c>
      <c r="BL14" t="n">
        <v>288606408.862</v>
      </c>
      <c r="BM14" t="n">
        <v>301862655.04</v>
      </c>
      <c r="BN14" t="n">
        <v>318287716.611</v>
      </c>
      <c r="BO14" t="n">
        <v>306606876.922</v>
      </c>
      <c r="BP14" t="n">
        <v>297827354.441</v>
      </c>
      <c r="BQ14" t="n">
        <v>297021468.451</v>
      </c>
      <c r="BR14" t="n">
        <v>296128063.33</v>
      </c>
      <c r="BS14" t="n">
        <v>306077711.131</v>
      </c>
      <c r="BT14" t="n">
        <v>302608520.869</v>
      </c>
    </row>
    <row r="15">
      <c r="A15" t="inlineStr">
        <is>
          <t>EwE_TE_EE</t>
        </is>
      </c>
      <c r="B15" t="inlineStr">
        <is>
          <t>ok</t>
        </is>
      </c>
      <c r="C15" t="n">
        <v>25038864.658</v>
      </c>
      <c r="D15" t="n">
        <v>24993878.199</v>
      </c>
      <c r="E15" t="n">
        <v>25123744.698</v>
      </c>
      <c r="F15" t="n">
        <v>25501159.664</v>
      </c>
      <c r="G15" t="n">
        <v>28777965.054</v>
      </c>
      <c r="H15" t="n">
        <v>31852730.535</v>
      </c>
      <c r="I15" t="n">
        <v>33092601.376</v>
      </c>
      <c r="J15" t="n">
        <v>34224404.255</v>
      </c>
      <c r="K15" t="n">
        <v>38747836.516</v>
      </c>
      <c r="L15" t="n">
        <v>43069823.715</v>
      </c>
      <c r="M15" t="n">
        <v>49631815.828</v>
      </c>
      <c r="N15" t="n">
        <v>58867430.055</v>
      </c>
      <c r="O15" t="n">
        <v>68069225.94599999</v>
      </c>
      <c r="P15" t="n">
        <v>84598668.11</v>
      </c>
      <c r="Q15" t="n">
        <v>99898104.432</v>
      </c>
      <c r="R15" t="n">
        <v>130857105.132</v>
      </c>
      <c r="S15" t="n">
        <v>142514210.451</v>
      </c>
      <c r="T15" t="n">
        <v>160515985.394</v>
      </c>
      <c r="U15" t="n">
        <v>178122469.14</v>
      </c>
      <c r="V15" t="n">
        <v>199966507.066</v>
      </c>
      <c r="W15" t="n">
        <v>223796566.769</v>
      </c>
      <c r="X15" t="n">
        <v>242080765.179</v>
      </c>
      <c r="Y15" t="n">
        <v>288728250.492</v>
      </c>
      <c r="Z15" t="n">
        <v>280000080.334</v>
      </c>
      <c r="AA15" t="n">
        <v>252151457.461</v>
      </c>
      <c r="AB15" t="n">
        <v>239571765.005</v>
      </c>
      <c r="AC15" t="n">
        <v>240598618.655</v>
      </c>
      <c r="AD15" t="n">
        <v>283372447.813</v>
      </c>
      <c r="AE15" t="n">
        <v>284999895.194</v>
      </c>
      <c r="AF15" t="n">
        <v>253875766.292</v>
      </c>
      <c r="AG15" t="n">
        <v>252410466.777</v>
      </c>
      <c r="AH15" t="n">
        <v>264702145.95</v>
      </c>
      <c r="AI15" t="n">
        <v>271590669.899</v>
      </c>
      <c r="AJ15" t="n">
        <v>276732279.104</v>
      </c>
      <c r="AK15" t="n">
        <v>254790100.862</v>
      </c>
      <c r="AL15" t="n">
        <v>264942470.48</v>
      </c>
      <c r="AM15" t="n">
        <v>292582607.31</v>
      </c>
      <c r="AN15" t="n">
        <v>327443423.19</v>
      </c>
      <c r="AO15" t="n">
        <v>309708553.973</v>
      </c>
      <c r="AP15" t="n">
        <v>296169205.799</v>
      </c>
      <c r="AQ15" t="n">
        <v>307938980.137</v>
      </c>
      <c r="AR15" t="n">
        <v>287402634.777</v>
      </c>
      <c r="AS15" t="n">
        <v>306628090.604</v>
      </c>
      <c r="AT15" t="n">
        <v>311619412.564</v>
      </c>
      <c r="AU15" t="n">
        <v>323478693.484</v>
      </c>
      <c r="AV15" t="n">
        <v>319549336.652</v>
      </c>
      <c r="AW15" t="n">
        <v>305447908.434</v>
      </c>
      <c r="AX15" t="n">
        <v>299153476.279</v>
      </c>
      <c r="AY15" t="n">
        <v>303899641.245</v>
      </c>
      <c r="AZ15" t="n">
        <v>330212629.197</v>
      </c>
      <c r="BA15" t="n">
        <v>341023754.778</v>
      </c>
      <c r="BB15" t="n">
        <v>325831700.399</v>
      </c>
      <c r="BC15" t="n">
        <v>320316343.338</v>
      </c>
      <c r="BD15" t="n">
        <v>328769517.06</v>
      </c>
      <c r="BE15" t="n">
        <v>318354151.679</v>
      </c>
      <c r="BF15" t="n">
        <v>318552619.848</v>
      </c>
      <c r="BG15" t="n">
        <v>314482367.005</v>
      </c>
      <c r="BH15" t="n">
        <v>288014062.779</v>
      </c>
      <c r="BI15" t="n">
        <v>259416302.036</v>
      </c>
      <c r="BJ15" t="n">
        <v>262443344.775</v>
      </c>
      <c r="BK15" t="n">
        <v>264061642.862</v>
      </c>
      <c r="BL15" t="n">
        <v>272659666.457</v>
      </c>
      <c r="BM15" t="n">
        <v>284947930.259</v>
      </c>
      <c r="BN15" t="n">
        <v>300437362.97</v>
      </c>
      <c r="BO15" t="n">
        <v>289512426.354</v>
      </c>
      <c r="BP15" t="n">
        <v>281131351.31</v>
      </c>
      <c r="BQ15" t="n">
        <v>280215013.481</v>
      </c>
      <c r="BR15" t="n">
        <v>279376323.418</v>
      </c>
      <c r="BS15" t="n">
        <v>288907298.913</v>
      </c>
      <c r="BT15" t="n">
        <v>285349634.025</v>
      </c>
    </row>
    <row r="16">
      <c r="A16" t="inlineStr">
        <is>
          <t>SPPR_2015</t>
        </is>
      </c>
      <c r="B16" t="inlineStr">
        <is>
          <t>ok</t>
        </is>
      </c>
      <c r="C16" t="n">
        <v>59252830.283</v>
      </c>
      <c r="D16" t="n">
        <v>58481334.828</v>
      </c>
      <c r="E16" t="n">
        <v>58861524.12</v>
      </c>
      <c r="F16" t="n">
        <v>59826197.949</v>
      </c>
      <c r="G16" t="n">
        <v>67681880.461</v>
      </c>
      <c r="H16" t="n">
        <v>75230479.214</v>
      </c>
      <c r="I16" t="n">
        <v>78274137.16599999</v>
      </c>
      <c r="J16" t="n">
        <v>81311010.48800001</v>
      </c>
      <c r="K16" t="n">
        <v>92702734.47499999</v>
      </c>
      <c r="L16" t="n">
        <v>103715793.654</v>
      </c>
      <c r="M16" t="n">
        <v>121918394.135</v>
      </c>
      <c r="N16" t="n">
        <v>147157075.751</v>
      </c>
      <c r="O16" t="n">
        <v>172885396.928</v>
      </c>
      <c r="P16" t="n">
        <v>221368049.353</v>
      </c>
      <c r="Q16" t="n">
        <v>264369228.394</v>
      </c>
      <c r="R16" t="n">
        <v>353858771.039</v>
      </c>
      <c r="S16" t="n">
        <v>392013095.362</v>
      </c>
      <c r="T16" t="n">
        <v>449741832.275</v>
      </c>
      <c r="U16" t="n">
        <v>507590719.869</v>
      </c>
      <c r="V16" t="n">
        <v>581319922.78</v>
      </c>
      <c r="W16" t="n">
        <v>660329455.219</v>
      </c>
      <c r="X16" t="n">
        <v>713809605.368</v>
      </c>
      <c r="Y16" t="n">
        <v>860979618.069</v>
      </c>
      <c r="Z16" t="n">
        <v>830889615.513</v>
      </c>
      <c r="AA16" t="n">
        <v>745305534.447</v>
      </c>
      <c r="AB16" t="n">
        <v>705679084.799</v>
      </c>
      <c r="AC16" t="n">
        <v>702569614.073</v>
      </c>
      <c r="AD16" t="n">
        <v>820340097.207</v>
      </c>
      <c r="AE16" t="n">
        <v>829798266.161</v>
      </c>
      <c r="AF16" t="n">
        <v>739786223.425</v>
      </c>
      <c r="AG16" t="n">
        <v>729615133.355</v>
      </c>
      <c r="AH16" t="n">
        <v>757664684.257</v>
      </c>
      <c r="AI16" t="n">
        <v>781451411.2819999</v>
      </c>
      <c r="AJ16" t="n">
        <v>788128077.5779999</v>
      </c>
      <c r="AK16" t="n">
        <v>724272473.517</v>
      </c>
      <c r="AL16" t="n">
        <v>754248809.303</v>
      </c>
      <c r="AM16" t="n">
        <v>840703127.795</v>
      </c>
      <c r="AN16" t="n">
        <v>944563000.123</v>
      </c>
      <c r="AO16" t="n">
        <v>887250203.3200001</v>
      </c>
      <c r="AP16" t="n">
        <v>846233035.216</v>
      </c>
      <c r="AQ16" t="n">
        <v>881371529.146</v>
      </c>
      <c r="AR16" t="n">
        <v>822479521.126</v>
      </c>
      <c r="AS16" t="n">
        <v>875436179.863</v>
      </c>
      <c r="AT16" t="n">
        <v>896081892.011</v>
      </c>
      <c r="AU16" t="n">
        <v>932574461.579</v>
      </c>
      <c r="AV16" t="n">
        <v>921680844.499</v>
      </c>
      <c r="AW16" t="n">
        <v>879447326.097</v>
      </c>
      <c r="AX16" t="n">
        <v>861235268.1670001</v>
      </c>
      <c r="AY16" t="n">
        <v>872296938.536</v>
      </c>
      <c r="AZ16" t="n">
        <v>946273208.261</v>
      </c>
      <c r="BA16" t="n">
        <v>974608799.164</v>
      </c>
      <c r="BB16" t="n">
        <v>933773865.382</v>
      </c>
      <c r="BC16" t="n">
        <v>917648068.972</v>
      </c>
      <c r="BD16" t="n">
        <v>940099382.2589999</v>
      </c>
      <c r="BE16" t="n">
        <v>906889485.036</v>
      </c>
      <c r="BF16" t="n">
        <v>909432551.806</v>
      </c>
      <c r="BG16" t="n">
        <v>894672087.101</v>
      </c>
      <c r="BH16" t="n">
        <v>820749973.85</v>
      </c>
      <c r="BI16" t="n">
        <v>738883519.946</v>
      </c>
      <c r="BJ16" t="n">
        <v>751701546.914</v>
      </c>
      <c r="BK16" t="n">
        <v>753485293.59</v>
      </c>
      <c r="BL16" t="n">
        <v>775836376.852</v>
      </c>
      <c r="BM16" t="n">
        <v>813692068.4299999</v>
      </c>
      <c r="BN16" t="n">
        <v>858316669.656</v>
      </c>
      <c r="BO16" t="n">
        <v>825925139.097</v>
      </c>
      <c r="BP16" t="n">
        <v>802169568.8559999</v>
      </c>
      <c r="BQ16" t="n">
        <v>797289618.915</v>
      </c>
      <c r="BR16" t="n">
        <v>795868443.216</v>
      </c>
      <c r="BS16" t="n">
        <v>822624068.739</v>
      </c>
      <c r="BT16" t="n">
        <v>815001343.756</v>
      </c>
    </row>
    <row r="17">
      <c r="A17" t="inlineStr">
        <is>
          <t>new_TE_noEEfix</t>
        </is>
      </c>
      <c r="B17" t="inlineStr">
        <is>
          <t>ok</t>
        </is>
      </c>
      <c r="C17" t="n">
        <v>59252830.283</v>
      </c>
      <c r="D17" t="n">
        <v>58481334.828</v>
      </c>
      <c r="E17" t="n">
        <v>58861524.12</v>
      </c>
      <c r="F17" t="n">
        <v>59826197.949</v>
      </c>
      <c r="G17" t="n">
        <v>67681880.461</v>
      </c>
      <c r="H17" t="n">
        <v>75230479.214</v>
      </c>
      <c r="I17" t="n">
        <v>78274137.16599999</v>
      </c>
      <c r="J17" t="n">
        <v>81311010.48800001</v>
      </c>
      <c r="K17" t="n">
        <v>92702734.47499999</v>
      </c>
      <c r="L17" t="n">
        <v>103715793.654</v>
      </c>
      <c r="M17" t="n">
        <v>121918394.135</v>
      </c>
      <c r="N17" t="n">
        <v>147157075.751</v>
      </c>
      <c r="O17" t="n">
        <v>172885396.928</v>
      </c>
      <c r="P17" t="n">
        <v>221368049.353</v>
      </c>
      <c r="Q17" t="n">
        <v>264369228.394</v>
      </c>
      <c r="R17" t="n">
        <v>353858771.039</v>
      </c>
      <c r="S17" t="n">
        <v>392013095.362</v>
      </c>
      <c r="T17" t="n">
        <v>449741832.275</v>
      </c>
      <c r="U17" t="n">
        <v>507590719.869</v>
      </c>
      <c r="V17" t="n">
        <v>581319922.78</v>
      </c>
      <c r="W17" t="n">
        <v>660329455.219</v>
      </c>
      <c r="X17" t="n">
        <v>713809605.368</v>
      </c>
      <c r="Y17" t="n">
        <v>860979618.069</v>
      </c>
      <c r="Z17" t="n">
        <v>830889615.513</v>
      </c>
      <c r="AA17" t="n">
        <v>745305534.447</v>
      </c>
      <c r="AB17" t="n">
        <v>705679084.799</v>
      </c>
      <c r="AC17" t="n">
        <v>702569614.073</v>
      </c>
      <c r="AD17" t="n">
        <v>820340097.207</v>
      </c>
      <c r="AE17" t="n">
        <v>829798266.161</v>
      </c>
      <c r="AF17" t="n">
        <v>739786223.425</v>
      </c>
      <c r="AG17" t="n">
        <v>729615133.355</v>
      </c>
      <c r="AH17" t="n">
        <v>757664684.257</v>
      </c>
      <c r="AI17" t="n">
        <v>781451411.2819999</v>
      </c>
      <c r="AJ17" t="n">
        <v>788128077.5779999</v>
      </c>
      <c r="AK17" t="n">
        <v>724272473.517</v>
      </c>
      <c r="AL17" t="n">
        <v>754248809.303</v>
      </c>
      <c r="AM17" t="n">
        <v>840703127.795</v>
      </c>
      <c r="AN17" t="n">
        <v>944563000.123</v>
      </c>
      <c r="AO17" t="n">
        <v>887250203.3200001</v>
      </c>
      <c r="AP17" t="n">
        <v>846233035.216</v>
      </c>
      <c r="AQ17" t="n">
        <v>881371529.146</v>
      </c>
      <c r="AR17" t="n">
        <v>822479521.126</v>
      </c>
      <c r="AS17" t="n">
        <v>875436179.863</v>
      </c>
      <c r="AT17" t="n">
        <v>896081892.011</v>
      </c>
      <c r="AU17" t="n">
        <v>932574461.579</v>
      </c>
      <c r="AV17" t="n">
        <v>921680844.499</v>
      </c>
      <c r="AW17" t="n">
        <v>879447326.097</v>
      </c>
      <c r="AX17" t="n">
        <v>861235268.1670001</v>
      </c>
      <c r="AY17" t="n">
        <v>872296938.536</v>
      </c>
      <c r="AZ17" t="n">
        <v>946273208.261</v>
      </c>
      <c r="BA17" t="n">
        <v>974608799.164</v>
      </c>
      <c r="BB17" t="n">
        <v>933773865.382</v>
      </c>
      <c r="BC17" t="n">
        <v>917648068.972</v>
      </c>
      <c r="BD17" t="n">
        <v>940099382.2589999</v>
      </c>
      <c r="BE17" t="n">
        <v>906889485.036</v>
      </c>
      <c r="BF17" t="n">
        <v>909432551.806</v>
      </c>
      <c r="BG17" t="n">
        <v>894672087.101</v>
      </c>
      <c r="BH17" t="n">
        <v>820749973.85</v>
      </c>
      <c r="BI17" t="n">
        <v>738883519.946</v>
      </c>
      <c r="BJ17" t="n">
        <v>751701546.914</v>
      </c>
      <c r="BK17" t="n">
        <v>753485293.59</v>
      </c>
      <c r="BL17" t="n">
        <v>775836376.852</v>
      </c>
      <c r="BM17" t="n">
        <v>813692068.4299999</v>
      </c>
      <c r="BN17" t="n">
        <v>858316669.656</v>
      </c>
      <c r="BO17" t="n">
        <v>825925139.097</v>
      </c>
      <c r="BP17" t="n">
        <v>802169568.8559999</v>
      </c>
      <c r="BQ17" t="n">
        <v>797289618.915</v>
      </c>
      <c r="BR17" t="n">
        <v>795868443.216</v>
      </c>
      <c r="BS17" t="n">
        <v>822624068.739</v>
      </c>
      <c r="BT17" t="n">
        <v>815001343.756</v>
      </c>
    </row>
    <row r="18">
      <c r="A18" t="inlineStr">
        <is>
          <t>new_TE_EEfix</t>
        </is>
      </c>
      <c r="B18" t="inlineStr">
        <is>
          <t>ok</t>
        </is>
      </c>
      <c r="C18" t="n">
        <v>62435868.558</v>
      </c>
      <c r="D18" t="n">
        <v>61605283.236</v>
      </c>
      <c r="E18" t="n">
        <v>62002432.937</v>
      </c>
      <c r="F18" t="n">
        <v>63026703.223</v>
      </c>
      <c r="G18" t="n">
        <v>71312025.41599999</v>
      </c>
      <c r="H18" t="n">
        <v>79271295.873</v>
      </c>
      <c r="I18" t="n">
        <v>82481105.742</v>
      </c>
      <c r="J18" t="n">
        <v>85684328.433</v>
      </c>
      <c r="K18" t="n">
        <v>97707234.266</v>
      </c>
      <c r="L18" t="n">
        <v>109328853.799</v>
      </c>
      <c r="M18" t="n">
        <v>128581823.036</v>
      </c>
      <c r="N18" t="n">
        <v>155251494.495</v>
      </c>
      <c r="O18" t="n">
        <v>182446700.987</v>
      </c>
      <c r="P18" t="n">
        <v>233734620.949</v>
      </c>
      <c r="Q18" t="n">
        <v>279189483.817</v>
      </c>
      <c r="R18" t="n">
        <v>373823482.546</v>
      </c>
      <c r="S18" t="n">
        <v>414238982.818</v>
      </c>
      <c r="T18" t="n">
        <v>475389389.828</v>
      </c>
      <c r="U18" t="n">
        <v>536665433.635</v>
      </c>
      <c r="V18" t="n">
        <v>614794355.9349999</v>
      </c>
      <c r="W18" t="n">
        <v>698470958.914</v>
      </c>
      <c r="X18" t="n">
        <v>755039172.485</v>
      </c>
      <c r="Y18" t="n">
        <v>910939650.492</v>
      </c>
      <c r="Z18" t="n">
        <v>879096174.099</v>
      </c>
      <c r="AA18" t="n">
        <v>788507032.059</v>
      </c>
      <c r="AB18" t="n">
        <v>746559379.999</v>
      </c>
      <c r="AC18" t="n">
        <v>743132592.298</v>
      </c>
      <c r="AD18" t="n">
        <v>867615004.336</v>
      </c>
      <c r="AE18" t="n">
        <v>877693054.3940001</v>
      </c>
      <c r="AF18" t="n">
        <v>782491940.628</v>
      </c>
      <c r="AG18" t="n">
        <v>771609373.633</v>
      </c>
      <c r="AH18" t="n">
        <v>801129784.3789999</v>
      </c>
      <c r="AI18" t="n">
        <v>826376308.499</v>
      </c>
      <c r="AJ18" t="n">
        <v>833302935.794</v>
      </c>
      <c r="AK18" t="n">
        <v>765742029.6569999</v>
      </c>
      <c r="AL18" t="n">
        <v>797448680.919</v>
      </c>
      <c r="AM18" t="n">
        <v>888986644.091</v>
      </c>
      <c r="AN18" t="n">
        <v>998856651.182</v>
      </c>
      <c r="AO18" t="n">
        <v>938150543.869</v>
      </c>
      <c r="AP18" t="n">
        <v>894758398.723</v>
      </c>
      <c r="AQ18" t="n">
        <v>931911962.3380001</v>
      </c>
      <c r="AR18" t="n">
        <v>869674686.3660001</v>
      </c>
      <c r="AS18" t="n">
        <v>925614015.0779999</v>
      </c>
      <c r="AT18" t="n">
        <v>947566211.351</v>
      </c>
      <c r="AU18" t="n">
        <v>986202122.601</v>
      </c>
      <c r="AV18" t="n">
        <v>974712353.624</v>
      </c>
      <c r="AW18" t="n">
        <v>930041882.013</v>
      </c>
      <c r="AX18" t="n">
        <v>910795768.1160001</v>
      </c>
      <c r="AY18" t="n">
        <v>922422782.6900001</v>
      </c>
      <c r="AZ18" t="n">
        <v>1000615494.097</v>
      </c>
      <c r="BA18" t="n">
        <v>1030519835.671</v>
      </c>
      <c r="BB18" t="n">
        <v>987410414.539</v>
      </c>
      <c r="BC18" t="n">
        <v>970361693.702</v>
      </c>
      <c r="BD18" t="n">
        <v>994061307.803</v>
      </c>
      <c r="BE18" t="n">
        <v>958915829.9349999</v>
      </c>
      <c r="BF18" t="n">
        <v>961640152.497</v>
      </c>
      <c r="BG18" t="n">
        <v>945980529.349</v>
      </c>
      <c r="BH18" t="n">
        <v>867848215.505</v>
      </c>
      <c r="BI18" t="n">
        <v>781298574.442</v>
      </c>
      <c r="BJ18" t="n">
        <v>794934518.193</v>
      </c>
      <c r="BK18" t="n">
        <v>796777069.5549999</v>
      </c>
      <c r="BL18" t="n">
        <v>820342761.836</v>
      </c>
      <c r="BM18" t="n">
        <v>860404279.118</v>
      </c>
      <c r="BN18" t="n">
        <v>907587474.506</v>
      </c>
      <c r="BO18" t="n">
        <v>873326776.845</v>
      </c>
      <c r="BP18" t="n">
        <v>848213048.776</v>
      </c>
      <c r="BQ18" t="n">
        <v>843022695.5930001</v>
      </c>
      <c r="BR18" t="n">
        <v>841529905.456</v>
      </c>
      <c r="BS18" t="n">
        <v>869819234.073</v>
      </c>
      <c r="BT18" t="n">
        <v>861740335.919</v>
      </c>
    </row>
    <row r="19">
      <c r="A19" t="inlineStr">
        <is>
          <t>new_GE</t>
        </is>
      </c>
      <c r="B19" t="inlineStr">
        <is>
          <t>ok</t>
        </is>
      </c>
      <c r="C19" t="n">
        <v>21321829.838</v>
      </c>
      <c r="D19" t="n">
        <v>21522596.702</v>
      </c>
      <c r="E19" t="n">
        <v>21579248.735</v>
      </c>
      <c r="F19" t="n">
        <v>21883859.062</v>
      </c>
      <c r="G19" t="n">
        <v>24621023.857</v>
      </c>
      <c r="H19" t="n">
        <v>27129382.891</v>
      </c>
      <c r="I19" t="n">
        <v>28143241.385</v>
      </c>
      <c r="J19" t="n">
        <v>28995021.823</v>
      </c>
      <c r="K19" t="n">
        <v>32571539.325</v>
      </c>
      <c r="L19" t="n">
        <v>35921686.608</v>
      </c>
      <c r="M19" t="n">
        <v>40617182.982</v>
      </c>
      <c r="N19" t="n">
        <v>47277327.629</v>
      </c>
      <c r="O19" t="n">
        <v>53879059.654</v>
      </c>
      <c r="P19" t="n">
        <v>65091996.16</v>
      </c>
      <c r="Q19" t="n">
        <v>75960533.376</v>
      </c>
      <c r="R19" t="n">
        <v>97188494.47400001</v>
      </c>
      <c r="S19" t="n">
        <v>103954445.182</v>
      </c>
      <c r="T19" t="n">
        <v>114641937.45</v>
      </c>
      <c r="U19" t="n">
        <v>124795573.114</v>
      </c>
      <c r="V19" t="n">
        <v>136414943.813</v>
      </c>
      <c r="W19" t="n">
        <v>151468255.276</v>
      </c>
      <c r="X19" t="n">
        <v>163952002.773</v>
      </c>
      <c r="Y19" t="n">
        <v>192687883.355</v>
      </c>
      <c r="Z19" t="n">
        <v>189949048.776</v>
      </c>
      <c r="AA19" t="n">
        <v>170572613.694</v>
      </c>
      <c r="AB19" t="n">
        <v>162855307.133</v>
      </c>
      <c r="AC19" t="n">
        <v>165923485.305</v>
      </c>
      <c r="AD19" t="n">
        <v>199401642.677</v>
      </c>
      <c r="AE19" t="n">
        <v>198617737.908</v>
      </c>
      <c r="AF19" t="n">
        <v>176515155.43</v>
      </c>
      <c r="AG19" t="n">
        <v>174991890.06</v>
      </c>
      <c r="AH19" t="n">
        <v>186019422.968</v>
      </c>
      <c r="AI19" t="n">
        <v>190757714.795</v>
      </c>
      <c r="AJ19" t="n">
        <v>200137108.581</v>
      </c>
      <c r="AK19" t="n">
        <v>180876120.367</v>
      </c>
      <c r="AL19" t="n">
        <v>187541983.406</v>
      </c>
      <c r="AM19" t="n">
        <v>204880985.583</v>
      </c>
      <c r="AN19" t="n">
        <v>227697189.27</v>
      </c>
      <c r="AO19" t="n">
        <v>217055515.389</v>
      </c>
      <c r="AP19" t="n">
        <v>208888337.345</v>
      </c>
      <c r="AQ19" t="n">
        <v>216284113.184</v>
      </c>
      <c r="AR19" t="n">
        <v>203757363.396</v>
      </c>
      <c r="AS19" t="n">
        <v>219107401.361</v>
      </c>
      <c r="AT19" t="n">
        <v>218390549.289</v>
      </c>
      <c r="AU19" t="n">
        <v>228385194.195</v>
      </c>
      <c r="AV19" t="n">
        <v>224204745.488</v>
      </c>
      <c r="AW19" t="n">
        <v>214855211.361</v>
      </c>
      <c r="AX19" t="n">
        <v>210579893.626</v>
      </c>
      <c r="AY19" t="n">
        <v>216440946.21</v>
      </c>
      <c r="AZ19" t="n">
        <v>234936269.412</v>
      </c>
      <c r="BA19" t="n">
        <v>245248191.386</v>
      </c>
      <c r="BB19" t="n">
        <v>230916565.637</v>
      </c>
      <c r="BC19" t="n">
        <v>226708840.641</v>
      </c>
      <c r="BD19" t="n">
        <v>232572230.441</v>
      </c>
      <c r="BE19" t="n">
        <v>225617548.184</v>
      </c>
      <c r="BF19" t="n">
        <v>225517601.992</v>
      </c>
      <c r="BG19" t="n">
        <v>223386998.841</v>
      </c>
      <c r="BH19" t="n">
        <v>204193748.639</v>
      </c>
      <c r="BI19" t="n">
        <v>185309015.177</v>
      </c>
      <c r="BJ19" t="n">
        <v>186161586.096</v>
      </c>
      <c r="BK19" t="n">
        <v>188494085.516</v>
      </c>
      <c r="BL19" t="n">
        <v>195602892.38</v>
      </c>
      <c r="BM19" t="n">
        <v>203079157.586</v>
      </c>
      <c r="BN19" t="n">
        <v>213833068.877</v>
      </c>
      <c r="BO19" t="n">
        <v>206480814.734</v>
      </c>
      <c r="BP19" t="n">
        <v>200278859.19</v>
      </c>
      <c r="BQ19" t="n">
        <v>200932013.832</v>
      </c>
      <c r="BR19" t="n">
        <v>199718362.953</v>
      </c>
      <c r="BS19" t="n">
        <v>206300846.423</v>
      </c>
      <c r="BT19" t="n">
        <v>203152174.9</v>
      </c>
    </row>
    <row r="20">
      <c r="A20" t="inlineStr">
        <is>
          <t>new_WithEgestion</t>
        </is>
      </c>
      <c r="B20" t="inlineStr">
        <is>
          <t>ok</t>
        </is>
      </c>
      <c r="C20" t="n">
        <v>11135543.217</v>
      </c>
      <c r="D20" t="n">
        <v>11303293.418</v>
      </c>
      <c r="E20" t="n">
        <v>11324947.108</v>
      </c>
      <c r="F20" t="n">
        <v>11495029.655</v>
      </c>
      <c r="G20" t="n">
        <v>12867959.408</v>
      </c>
      <c r="H20" t="n">
        <v>14114909.271</v>
      </c>
      <c r="I20" t="n">
        <v>14633886.967</v>
      </c>
      <c r="J20" t="n">
        <v>15109357.577</v>
      </c>
      <c r="K20" t="n">
        <v>16777924.377</v>
      </c>
      <c r="L20" t="n">
        <v>18333843.493</v>
      </c>
      <c r="M20" t="n">
        <v>20649145.506</v>
      </c>
      <c r="N20" t="n">
        <v>23676145.645</v>
      </c>
      <c r="O20" t="n">
        <v>27023755.232</v>
      </c>
      <c r="P20" t="n">
        <v>32463956.795</v>
      </c>
      <c r="Q20" t="n">
        <v>37889350.925</v>
      </c>
      <c r="R20" t="n">
        <v>48582617.414</v>
      </c>
      <c r="S20" t="n">
        <v>52329613</v>
      </c>
      <c r="T20" t="n">
        <v>57811657.828</v>
      </c>
      <c r="U20" t="n">
        <v>63346247.754</v>
      </c>
      <c r="V20" t="n">
        <v>69299403.266</v>
      </c>
      <c r="W20" t="n">
        <v>77103797.362</v>
      </c>
      <c r="X20" t="n">
        <v>83374090.94400001</v>
      </c>
      <c r="Y20" t="n">
        <v>97394828.242</v>
      </c>
      <c r="Z20" t="n">
        <v>96516673.788</v>
      </c>
      <c r="AA20" t="n">
        <v>86550162.486</v>
      </c>
      <c r="AB20" t="n">
        <v>82702108.009</v>
      </c>
      <c r="AC20" t="n">
        <v>84156013.227</v>
      </c>
      <c r="AD20" t="n">
        <v>101692581.874</v>
      </c>
      <c r="AE20" t="n">
        <v>100932251.526</v>
      </c>
      <c r="AF20" t="n">
        <v>89808824.811</v>
      </c>
      <c r="AG20" t="n">
        <v>88509289.83400001</v>
      </c>
      <c r="AH20" t="n">
        <v>94004906.193</v>
      </c>
      <c r="AI20" t="n">
        <v>96661986.264</v>
      </c>
      <c r="AJ20" t="n">
        <v>101351621.096</v>
      </c>
      <c r="AK20" t="n">
        <v>91459099.26199999</v>
      </c>
      <c r="AL20" t="n">
        <v>94976541.55500001</v>
      </c>
      <c r="AM20" t="n">
        <v>103596970.071</v>
      </c>
      <c r="AN20" t="n">
        <v>115195323.384</v>
      </c>
      <c r="AO20" t="n">
        <v>109598134.87</v>
      </c>
      <c r="AP20" t="n">
        <v>105769558.101</v>
      </c>
      <c r="AQ20" t="n">
        <v>108815987.078</v>
      </c>
      <c r="AR20" t="n">
        <v>102966465.388</v>
      </c>
      <c r="AS20" t="n">
        <v>110977532.021</v>
      </c>
      <c r="AT20" t="n">
        <v>110277459.638</v>
      </c>
      <c r="AU20" t="n">
        <v>115452538.778</v>
      </c>
      <c r="AV20" t="n">
        <v>113494757.747</v>
      </c>
      <c r="AW20" t="n">
        <v>109010700.929</v>
      </c>
      <c r="AX20" t="n">
        <v>106744946.483</v>
      </c>
      <c r="AY20" t="n">
        <v>109786537.6</v>
      </c>
      <c r="AZ20" t="n">
        <v>118745885.96</v>
      </c>
      <c r="BA20" t="n">
        <v>123961649.852</v>
      </c>
      <c r="BB20" t="n">
        <v>116374883.565</v>
      </c>
      <c r="BC20" t="n">
        <v>114048983.602</v>
      </c>
      <c r="BD20" t="n">
        <v>116909185.033</v>
      </c>
      <c r="BE20" t="n">
        <v>113242577.056</v>
      </c>
      <c r="BF20" t="n">
        <v>113382164.919</v>
      </c>
      <c r="BG20" t="n">
        <v>112295363.991</v>
      </c>
      <c r="BH20" t="n">
        <v>102667677.128</v>
      </c>
      <c r="BI20" t="n">
        <v>94063139.02500001</v>
      </c>
      <c r="BJ20" t="n">
        <v>93957427.20299999</v>
      </c>
      <c r="BK20" t="n">
        <v>95086073.71600001</v>
      </c>
      <c r="BL20" t="n">
        <v>98641213.41</v>
      </c>
      <c r="BM20" t="n">
        <v>102047262.379</v>
      </c>
      <c r="BN20" t="n">
        <v>107374577.108</v>
      </c>
      <c r="BO20" t="n">
        <v>103926244.038</v>
      </c>
      <c r="BP20" t="n">
        <v>100339909.378</v>
      </c>
      <c r="BQ20" t="n">
        <v>100717916.327</v>
      </c>
      <c r="BR20" t="n">
        <v>99906066.24600001</v>
      </c>
      <c r="BS20" t="n">
        <v>103406016.195</v>
      </c>
      <c r="BT20" t="n">
        <v>102033834.774</v>
      </c>
    </row>
    <row r="21">
      <c r="A21" s="18" t="inlineStr">
        <is>
          <t>sym_TE_asPP</t>
        </is>
      </c>
      <c r="B21" s="9" t="inlineStr">
        <is>
          <t>did not resolve for any mapped group</t>
        </is>
      </c>
    </row>
    <row r="22">
      <c r="A22" s="18" t="inlineStr">
        <is>
          <t>sym_TE_asDC</t>
        </is>
      </c>
      <c r="B22" s="9" t="inlineStr">
        <is>
          <t>did not resolve for any mapped group</t>
        </is>
      </c>
    </row>
    <row r="23">
      <c r="A23" s="18" t="inlineStr">
        <is>
          <t>sym_GE_asPP</t>
        </is>
      </c>
      <c r="B23" s="9" t="inlineStr">
        <is>
          <t>did not resolve for any mapped group</t>
        </is>
      </c>
    </row>
    <row r="24">
      <c r="A24" s="18" t="inlineStr">
        <is>
          <t>sym_GE_asDC</t>
        </is>
      </c>
      <c r="B24" s="9" t="inlineStr">
        <is>
          <t>did not resolve for any mapped group</t>
        </is>
      </c>
    </row>
    <row r="25">
      <c r="A25" s="18" t="inlineStr">
        <is>
          <t>sym_WithEgestion_asPP</t>
        </is>
      </c>
      <c r="B25" s="9" t="inlineStr">
        <is>
          <t>did not resolve for any mapped group</t>
        </is>
      </c>
    </row>
    <row r="26">
      <c r="A26" s="18" t="inlineStr">
        <is>
          <t>sym_WithEgestion_asDC</t>
        </is>
      </c>
      <c r="B26" s="9" t="inlineStr">
        <is>
          <t>did not resolve for any mapped group</t>
        </is>
      </c>
    </row>
    <row r="27">
      <c r="A27" t="inlineStr">
        <is>
          <t>MC_new_GE</t>
        </is>
      </c>
      <c r="B27" t="inlineStr">
        <is>
          <t>ok</t>
        </is>
      </c>
      <c r="C27" t="n">
        <v>22258336.361</v>
      </c>
      <c r="D27" t="n">
        <v>22470691.594</v>
      </c>
      <c r="E27" t="n">
        <v>22525254.705</v>
      </c>
      <c r="F27" t="n">
        <v>22842502.975</v>
      </c>
      <c r="G27" t="n">
        <v>25704874.412</v>
      </c>
      <c r="H27" t="n">
        <v>28323229.51</v>
      </c>
      <c r="I27" t="n">
        <v>29381028.054</v>
      </c>
      <c r="J27" t="n">
        <v>30269527.133</v>
      </c>
      <c r="K27" t="n">
        <v>34019096.728</v>
      </c>
      <c r="L27" t="n">
        <v>37526864.128</v>
      </c>
      <c r="M27" t="n">
        <v>42423687.866</v>
      </c>
      <c r="N27" t="n">
        <v>49374948.933</v>
      </c>
      <c r="O27" t="n">
        <v>56238391.74</v>
      </c>
      <c r="P27" t="n">
        <v>67891537.42</v>
      </c>
      <c r="Q27" t="n">
        <v>79194005.873</v>
      </c>
      <c r="R27" t="n">
        <v>101237435.799</v>
      </c>
      <c r="S27" t="n">
        <v>108157495.396</v>
      </c>
      <c r="T27" t="n">
        <v>119151188.205</v>
      </c>
      <c r="U27" t="n">
        <v>129551798.974</v>
      </c>
      <c r="V27" t="n">
        <v>141451053.726</v>
      </c>
      <c r="W27" t="n">
        <v>156879409.698</v>
      </c>
      <c r="X27" t="n">
        <v>169819315.118</v>
      </c>
      <c r="Y27" t="n">
        <v>199508553.901</v>
      </c>
      <c r="Z27" t="n">
        <v>196697650.161</v>
      </c>
      <c r="AA27" t="n">
        <v>176691043.388</v>
      </c>
      <c r="AB27" t="n">
        <v>168717200.449</v>
      </c>
      <c r="AC27" t="n">
        <v>171950856.303</v>
      </c>
      <c r="AD27" t="n">
        <v>206668272.135</v>
      </c>
      <c r="AE27" t="n">
        <v>205842170.273</v>
      </c>
      <c r="AF27" t="n">
        <v>182946726.377</v>
      </c>
      <c r="AG27" t="n">
        <v>181485711.983</v>
      </c>
      <c r="AH27" t="n">
        <v>193036570.734</v>
      </c>
      <c r="AI27" t="n">
        <v>197867131.868</v>
      </c>
      <c r="AJ27" t="n">
        <v>207725281.541</v>
      </c>
      <c r="AK27" t="n">
        <v>187770066.93</v>
      </c>
      <c r="AL27" t="n">
        <v>194673104.451</v>
      </c>
      <c r="AM27" t="n">
        <v>212569598.648</v>
      </c>
      <c r="AN27" t="n">
        <v>236173918.906</v>
      </c>
      <c r="AO27" t="n">
        <v>225258476.641</v>
      </c>
      <c r="AP27" t="n">
        <v>216776929.568</v>
      </c>
      <c r="AQ27" t="n">
        <v>224525365.362</v>
      </c>
      <c r="AR27" t="n">
        <v>211455531.402</v>
      </c>
      <c r="AS27" t="n">
        <v>227387590.448</v>
      </c>
      <c r="AT27" t="n">
        <v>226586381.412</v>
      </c>
      <c r="AU27" t="n">
        <v>236895598.921</v>
      </c>
      <c r="AV27" t="n">
        <v>232531321.951</v>
      </c>
      <c r="AW27" t="n">
        <v>222822707.879</v>
      </c>
      <c r="AX27" t="n">
        <v>218404309.029</v>
      </c>
      <c r="AY27" t="n">
        <v>224496052.12</v>
      </c>
      <c r="AZ27" t="n">
        <v>243774898.829</v>
      </c>
      <c r="BA27" t="n">
        <v>254496515.264</v>
      </c>
      <c r="BB27" t="n">
        <v>239615280.795</v>
      </c>
      <c r="BC27" t="n">
        <v>235273533.453</v>
      </c>
      <c r="BD27" t="n">
        <v>241399700.064</v>
      </c>
      <c r="BE27" t="n">
        <v>234257926.024</v>
      </c>
      <c r="BF27" t="n">
        <v>234093513.214</v>
      </c>
      <c r="BG27" t="n">
        <v>231941706.2</v>
      </c>
      <c r="BH27" t="n">
        <v>211983029.677</v>
      </c>
      <c r="BI27" t="n">
        <v>192233546.393</v>
      </c>
      <c r="BJ27" t="n">
        <v>193124212.016</v>
      </c>
      <c r="BK27" t="n">
        <v>195559785.449</v>
      </c>
      <c r="BL27" t="n">
        <v>202950199.385</v>
      </c>
      <c r="BM27" t="n">
        <v>210739494.953</v>
      </c>
      <c r="BN27" t="n">
        <v>221904153.575</v>
      </c>
      <c r="BO27" t="n">
        <v>214265536.377</v>
      </c>
      <c r="BP27" t="n">
        <v>207877103.597</v>
      </c>
      <c r="BQ27" t="n">
        <v>208564171.692</v>
      </c>
      <c r="BR27" t="n">
        <v>207317465.801</v>
      </c>
      <c r="BS27" t="n">
        <v>214134191.306</v>
      </c>
      <c r="BT27" t="n">
        <v>210821206.302</v>
      </c>
    </row>
    <row r="28">
      <c r="A28" t="inlineStr">
        <is>
          <t>MC_new_TE_EEfix</t>
        </is>
      </c>
      <c r="B28" t="inlineStr">
        <is>
          <t>ok</t>
        </is>
      </c>
      <c r="C28" t="n">
        <v>69646231.79000001</v>
      </c>
      <c r="D28" t="n">
        <v>68628043.66500001</v>
      </c>
      <c r="E28" t="n">
        <v>69080141.98100001</v>
      </c>
      <c r="F28" t="n">
        <v>70236327.564</v>
      </c>
      <c r="G28" t="n">
        <v>79475789.65000001</v>
      </c>
      <c r="H28" t="n">
        <v>88362088.999</v>
      </c>
      <c r="I28" t="n">
        <v>91950356.361</v>
      </c>
      <c r="J28" t="n">
        <v>95545762.66500001</v>
      </c>
      <c r="K28" t="n">
        <v>109065567.639</v>
      </c>
      <c r="L28" t="n">
        <v>122139536.375</v>
      </c>
      <c r="M28" t="n">
        <v>143902754.11</v>
      </c>
      <c r="N28" t="n">
        <v>174053806.7</v>
      </c>
      <c r="O28" t="n">
        <v>204731742.006</v>
      </c>
      <c r="P28" t="n">
        <v>262774286.362</v>
      </c>
      <c r="Q28" t="n">
        <v>314120808.47</v>
      </c>
      <c r="R28" t="n">
        <v>421185447.388</v>
      </c>
      <c r="S28" t="n">
        <v>467138042.788</v>
      </c>
      <c r="T28" t="n">
        <v>536680489.857</v>
      </c>
      <c r="U28" t="n">
        <v>606347751.303</v>
      </c>
      <c r="V28" t="n">
        <v>695489495.624</v>
      </c>
      <c r="W28" t="n">
        <v>790107181.1390001</v>
      </c>
      <c r="X28" t="n">
        <v>854076946.944</v>
      </c>
      <c r="Y28" t="n">
        <v>1031050887.884</v>
      </c>
      <c r="Z28" t="n">
        <v>994764428.876</v>
      </c>
      <c r="AA28" t="n">
        <v>891779872.118</v>
      </c>
      <c r="AB28" t="n">
        <v>844166420.021</v>
      </c>
      <c r="AC28" t="n">
        <v>839866214.306</v>
      </c>
      <c r="AD28" t="n">
        <v>979664797.992</v>
      </c>
      <c r="AE28" t="n">
        <v>991544597.503</v>
      </c>
      <c r="AF28" t="n">
        <v>884334216.253</v>
      </c>
      <c r="AG28" t="n">
        <v>871503513.729</v>
      </c>
      <c r="AH28" t="n">
        <v>904178413.054</v>
      </c>
      <c r="AI28" t="n">
        <v>932485404.193</v>
      </c>
      <c r="AJ28" t="n">
        <v>939587723.383</v>
      </c>
      <c r="AK28" t="n">
        <v>863259941.156</v>
      </c>
      <c r="AL28" t="n">
        <v>899218965.526</v>
      </c>
      <c r="AM28" t="n">
        <v>1003193699.432</v>
      </c>
      <c r="AN28" t="n">
        <v>1127659762.536</v>
      </c>
      <c r="AO28" t="n">
        <v>1058741466.779</v>
      </c>
      <c r="AP28" t="n">
        <v>1009211206.865</v>
      </c>
      <c r="AQ28" t="n">
        <v>1051470452.844</v>
      </c>
      <c r="AR28" t="n">
        <v>980956775.159</v>
      </c>
      <c r="AS28" t="n">
        <v>1044166496.553</v>
      </c>
      <c r="AT28" t="n">
        <v>1069709813.308</v>
      </c>
      <c r="AU28" t="n">
        <v>1113407028.128</v>
      </c>
      <c r="AV28" t="n">
        <v>1100315607.716</v>
      </c>
      <c r="AW28" t="n">
        <v>1049761880.138</v>
      </c>
      <c r="AX28" t="n">
        <v>1028020556.843</v>
      </c>
      <c r="AY28" t="n">
        <v>1040583864.176</v>
      </c>
      <c r="AZ28" t="n">
        <v>1129170136.488</v>
      </c>
      <c r="BA28" t="n">
        <v>1162226062.2</v>
      </c>
      <c r="BB28" t="n">
        <v>1113835717.133</v>
      </c>
      <c r="BC28" t="n">
        <v>1094600359.833</v>
      </c>
      <c r="BD28" t="n">
        <v>1121174289.905</v>
      </c>
      <c r="BE28" t="n">
        <v>1081852948.77</v>
      </c>
      <c r="BF28" t="n">
        <v>1084959075.336</v>
      </c>
      <c r="BG28" t="n">
        <v>1066913763.715</v>
      </c>
      <c r="BH28" t="n">
        <v>978982038.1059999</v>
      </c>
      <c r="BI28" t="n">
        <v>880329742.018</v>
      </c>
      <c r="BJ28" t="n">
        <v>896337372.949</v>
      </c>
      <c r="BK28" t="n">
        <v>897947339.133</v>
      </c>
      <c r="BL28" t="n">
        <v>924048074.331</v>
      </c>
      <c r="BM28" t="n">
        <v>969770500.102</v>
      </c>
      <c r="BN28" t="n">
        <v>1023060164.737</v>
      </c>
      <c r="BO28" t="n">
        <v>984368399.271</v>
      </c>
      <c r="BP28" t="n">
        <v>956260353.615</v>
      </c>
      <c r="BQ28" t="n">
        <v>949799294.1289999</v>
      </c>
      <c r="BR28" t="n">
        <v>948374401.3789999</v>
      </c>
      <c r="BS28" t="n">
        <v>980404748.127</v>
      </c>
      <c r="BT28" t="n">
        <v>971401972.9069999</v>
      </c>
    </row>
    <row r="29">
      <c r="A29" t="inlineStr">
        <is>
          <t>SPPR_1995_TEmean_catch</t>
        </is>
      </c>
      <c r="B29" t="inlineStr">
        <is>
          <t>ok</t>
        </is>
      </c>
      <c r="C29" t="n">
        <v>9582694.765000001</v>
      </c>
      <c r="D29" t="n">
        <v>9850141.66</v>
      </c>
      <c r="E29" t="n">
        <v>9861640.227</v>
      </c>
      <c r="F29" t="n">
        <v>9957584.187999999</v>
      </c>
      <c r="G29" t="n">
        <v>11144472.711</v>
      </c>
      <c r="H29" t="n">
        <v>12226628.964</v>
      </c>
      <c r="I29" t="n">
        <v>12670265.041</v>
      </c>
      <c r="J29" t="n">
        <v>13103567.527</v>
      </c>
      <c r="K29" t="n">
        <v>14422404.657</v>
      </c>
      <c r="L29" t="n">
        <v>15659166.831</v>
      </c>
      <c r="M29" t="n">
        <v>17346454.883</v>
      </c>
      <c r="N29" t="n">
        <v>19521860.55</v>
      </c>
      <c r="O29" t="n">
        <v>22132421.62</v>
      </c>
      <c r="P29" t="n">
        <v>25922788.833</v>
      </c>
      <c r="Q29" t="n">
        <v>30035170.607</v>
      </c>
      <c r="R29" t="n">
        <v>37785492.938</v>
      </c>
      <c r="S29" t="n">
        <v>40183071.696</v>
      </c>
      <c r="T29" t="n">
        <v>43615940.976</v>
      </c>
      <c r="U29" t="n">
        <v>47158346.789</v>
      </c>
      <c r="V29" t="n">
        <v>50560587.486</v>
      </c>
      <c r="W29" t="n">
        <v>55626512.375</v>
      </c>
      <c r="X29" t="n">
        <v>60055384.5</v>
      </c>
      <c r="Y29" t="n">
        <v>68623164.53</v>
      </c>
      <c r="Z29" t="n">
        <v>68827421.914</v>
      </c>
      <c r="AA29" t="n">
        <v>61665581.323</v>
      </c>
      <c r="AB29" t="n">
        <v>59096651.055</v>
      </c>
      <c r="AC29" t="n">
        <v>61622150.757</v>
      </c>
      <c r="AD29" t="n">
        <v>75879019.221</v>
      </c>
      <c r="AE29" t="n">
        <v>74351063.711</v>
      </c>
      <c r="AF29" t="n">
        <v>65636705.101</v>
      </c>
      <c r="AG29" t="n">
        <v>65380547.085</v>
      </c>
      <c r="AH29" t="n">
        <v>70470739.277</v>
      </c>
      <c r="AI29" t="n">
        <v>71701451.146</v>
      </c>
      <c r="AJ29" t="n">
        <v>76925692.63600001</v>
      </c>
      <c r="AK29" t="n">
        <v>68716459.54000001</v>
      </c>
      <c r="AL29" t="n">
        <v>71266606.23899999</v>
      </c>
      <c r="AM29" t="n">
        <v>76824218.41</v>
      </c>
      <c r="AN29" t="n">
        <v>85154737.995</v>
      </c>
      <c r="AO29" t="n">
        <v>81683927.314</v>
      </c>
      <c r="AP29" t="n">
        <v>79084594.449</v>
      </c>
      <c r="AQ29" t="n">
        <v>81268078.082</v>
      </c>
      <c r="AR29" t="n">
        <v>77284879.436</v>
      </c>
      <c r="AS29" t="n">
        <v>84226969.377</v>
      </c>
      <c r="AT29" t="n">
        <v>82455558.064</v>
      </c>
      <c r="AU29" t="n">
        <v>86305174.976</v>
      </c>
      <c r="AV29" t="n">
        <v>84290976.88600001</v>
      </c>
      <c r="AW29" t="n">
        <v>81350476.7</v>
      </c>
      <c r="AX29" t="n">
        <v>79513796.314</v>
      </c>
      <c r="AY29" t="n">
        <v>82581941.649</v>
      </c>
      <c r="AZ29" t="n">
        <v>89479800.66</v>
      </c>
      <c r="BA29" t="n">
        <v>94076416.491</v>
      </c>
      <c r="BB29" t="n">
        <v>87289822.487</v>
      </c>
      <c r="BC29" t="n">
        <v>85379263.95900001</v>
      </c>
      <c r="BD29" t="n">
        <v>87622792.141</v>
      </c>
      <c r="BE29" t="n">
        <v>85324852.443</v>
      </c>
      <c r="BF29" t="n">
        <v>84739067.32700001</v>
      </c>
      <c r="BG29" t="n">
        <v>84198808.197</v>
      </c>
      <c r="BH29" t="n">
        <v>76878599.059</v>
      </c>
      <c r="BI29" t="n">
        <v>70025754.61</v>
      </c>
      <c r="BJ29" t="n">
        <v>69479979.817</v>
      </c>
      <c r="BK29" t="n">
        <v>70727598.27500001</v>
      </c>
      <c r="BL29" t="n">
        <v>73747966.28399999</v>
      </c>
      <c r="BM29" t="n">
        <v>75934919.484</v>
      </c>
      <c r="BN29" t="n">
        <v>79952155.62899999</v>
      </c>
      <c r="BO29" t="n">
        <v>77553702.234</v>
      </c>
      <c r="BP29" t="n">
        <v>74813236.874</v>
      </c>
      <c r="BQ29" t="n">
        <v>75311010.80400001</v>
      </c>
      <c r="BR29" t="n">
        <v>74604495.34</v>
      </c>
      <c r="BS29" t="n">
        <v>77269653.316</v>
      </c>
      <c r="BT29" t="n">
        <v>76080688.925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12913033.758</v>
      </c>
      <c r="D30" t="n">
        <v>13070622.804</v>
      </c>
      <c r="E30" t="n">
        <v>13117283.04</v>
      </c>
      <c r="F30" t="n">
        <v>13284500.483</v>
      </c>
      <c r="G30" t="n">
        <v>14934667.485</v>
      </c>
      <c r="H30" t="n">
        <v>16456336.826</v>
      </c>
      <c r="I30" t="n">
        <v>17065977.754</v>
      </c>
      <c r="J30" t="n">
        <v>17567097.725</v>
      </c>
      <c r="K30" t="n">
        <v>19606112.759</v>
      </c>
      <c r="L30" t="n">
        <v>21536646.255</v>
      </c>
      <c r="M30" t="n">
        <v>24176390.182</v>
      </c>
      <c r="N30" t="n">
        <v>27798828.912</v>
      </c>
      <c r="O30" t="n">
        <v>31502063.323</v>
      </c>
      <c r="P30" t="n">
        <v>37580944.556</v>
      </c>
      <c r="Q30" t="n">
        <v>43527790.936</v>
      </c>
      <c r="R30" t="n">
        <v>55047902.432</v>
      </c>
      <c r="S30" t="n">
        <v>58598837.469</v>
      </c>
      <c r="T30" t="n">
        <v>64040831.534</v>
      </c>
      <c r="U30" t="n">
        <v>69285390.854</v>
      </c>
      <c r="V30" t="n">
        <v>74827142.691</v>
      </c>
      <c r="W30" t="n">
        <v>82435459.458</v>
      </c>
      <c r="X30" t="n">
        <v>89177819.698</v>
      </c>
      <c r="Y30" t="n">
        <v>103282728.776</v>
      </c>
      <c r="Z30" t="n">
        <v>102522106.269</v>
      </c>
      <c r="AA30" t="n">
        <v>92307543.969</v>
      </c>
      <c r="AB30" t="n">
        <v>88312258.052</v>
      </c>
      <c r="AC30" t="n">
        <v>91224334.56200001</v>
      </c>
      <c r="AD30" t="n">
        <v>110527690.145</v>
      </c>
      <c r="AE30" t="n">
        <v>109422785.192</v>
      </c>
      <c r="AF30" t="n">
        <v>96613742.23800001</v>
      </c>
      <c r="AG30" t="n">
        <v>96588527.78399999</v>
      </c>
      <c r="AH30" t="n">
        <v>103492676.797</v>
      </c>
      <c r="AI30" t="n">
        <v>105403453.853</v>
      </c>
      <c r="AJ30" t="n">
        <v>111460698.729</v>
      </c>
      <c r="AK30" t="n">
        <v>100354924.859</v>
      </c>
      <c r="AL30" t="n">
        <v>104189914.712</v>
      </c>
      <c r="AM30" t="n">
        <v>113069618.879</v>
      </c>
      <c r="AN30" t="n">
        <v>125665735.771</v>
      </c>
      <c r="AO30" t="n">
        <v>120249824.976</v>
      </c>
      <c r="AP30" t="n">
        <v>115752239.737</v>
      </c>
      <c r="AQ30" t="n">
        <v>119823851.226</v>
      </c>
      <c r="AR30" t="n">
        <v>113194495.189</v>
      </c>
      <c r="AS30" t="n">
        <v>122342148.525</v>
      </c>
      <c r="AT30" t="n">
        <v>121222378.32</v>
      </c>
      <c r="AU30" t="n">
        <v>126569348.581</v>
      </c>
      <c r="AV30" t="n">
        <v>123831421.337</v>
      </c>
      <c r="AW30" t="n">
        <v>119150939.573</v>
      </c>
      <c r="AX30" t="n">
        <v>116593487.255</v>
      </c>
      <c r="AY30" t="n">
        <v>120343042.572</v>
      </c>
      <c r="AZ30" t="n">
        <v>130502914.765</v>
      </c>
      <c r="BA30" t="n">
        <v>136624189.116</v>
      </c>
      <c r="BB30" t="n">
        <v>127944211.062</v>
      </c>
      <c r="BC30" t="n">
        <v>125321322.783</v>
      </c>
      <c r="BD30" t="n">
        <v>128695530.502</v>
      </c>
      <c r="BE30" t="n">
        <v>125336381.076</v>
      </c>
      <c r="BF30" t="n">
        <v>124427584.395</v>
      </c>
      <c r="BG30" t="n">
        <v>123480810.933</v>
      </c>
      <c r="BH30" t="n">
        <v>112772362.304</v>
      </c>
      <c r="BI30" t="n">
        <v>101901741.95</v>
      </c>
      <c r="BJ30" t="n">
        <v>102137277.279</v>
      </c>
      <c r="BK30" t="n">
        <v>103729320.935</v>
      </c>
      <c r="BL30" t="n">
        <v>107701031.008</v>
      </c>
      <c r="BM30" t="n">
        <v>111603403.769</v>
      </c>
      <c r="BN30" t="n">
        <v>117459820.469</v>
      </c>
      <c r="BO30" t="n">
        <v>113600400.356</v>
      </c>
      <c r="BP30" t="n">
        <v>110248889.835</v>
      </c>
      <c r="BQ30" t="n">
        <v>110922396.774</v>
      </c>
      <c r="BR30" t="n">
        <v>110058989.644</v>
      </c>
      <c r="BS30" t="n">
        <v>113929731.543</v>
      </c>
      <c r="BT30" t="n">
        <v>112267558.108</v>
      </c>
    </row>
    <row r="32">
      <c r="A32" t="inlineStr">
        <is>
          <t>Catch tonnage on a named group: 151,940,826 of 151,964,195 (100.0 %). Unresolved taxa contribute nothing to the model rows and everything to the simple row, so the two are not directly comparable until coverage is 100 %.</t>
        </is>
      </c>
    </row>
    <row r="33">
      <c r="A33" s="18" t="inlineStr">
        <is>
          <t>6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99.98999999999999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99.95</v>
      </c>
      <c r="AH35" t="n">
        <v>99.93000000000001</v>
      </c>
      <c r="AI35" t="n">
        <v>99.95999999999999</v>
      </c>
      <c r="AJ35" t="n">
        <v>99.95</v>
      </c>
      <c r="AK35" t="n">
        <v>99.95</v>
      </c>
      <c r="AL35" t="n">
        <v>99.98999999999999</v>
      </c>
      <c r="AM35" t="n">
        <v>99.98999999999999</v>
      </c>
      <c r="AN35" t="n">
        <v>99.98999999999999</v>
      </c>
      <c r="AO35" t="n">
        <v>99.98999999999999</v>
      </c>
      <c r="AP35" t="n">
        <v>99.98999999999999</v>
      </c>
      <c r="AQ35" t="n">
        <v>99.98999999999999</v>
      </c>
      <c r="AR35" t="n">
        <v>99.98999999999999</v>
      </c>
      <c r="AS35" t="n">
        <v>99.98999999999999</v>
      </c>
      <c r="AT35" t="n">
        <v>99.98999999999999</v>
      </c>
      <c r="AU35" t="n">
        <v>99.98999999999999</v>
      </c>
      <c r="AV35" t="n">
        <v>99.98</v>
      </c>
      <c r="AW35" t="n">
        <v>99.98</v>
      </c>
      <c r="AX35" t="n">
        <v>99.97</v>
      </c>
      <c r="AY35" t="n">
        <v>99.98</v>
      </c>
      <c r="AZ35" t="n">
        <v>99.98</v>
      </c>
      <c r="BA35" t="n">
        <v>99.98999999999999</v>
      </c>
      <c r="BB35" t="n">
        <v>99.98999999999999</v>
      </c>
      <c r="BC35" t="n">
        <v>99.98999999999999</v>
      </c>
      <c r="BD35" t="n">
        <v>99.98999999999999</v>
      </c>
      <c r="BE35" t="n">
        <v>99.98999999999999</v>
      </c>
      <c r="BF35" t="n">
        <v>99.98</v>
      </c>
      <c r="BG35" t="n">
        <v>99.98</v>
      </c>
      <c r="BH35" t="n">
        <v>99.98</v>
      </c>
      <c r="BI35" t="n">
        <v>99.98</v>
      </c>
      <c r="BJ35" t="n">
        <v>99.98</v>
      </c>
      <c r="BK35" t="n">
        <v>99.98</v>
      </c>
      <c r="BL35" t="n">
        <v>99.98</v>
      </c>
      <c r="BM35" t="n">
        <v>99.97</v>
      </c>
      <c r="BN35" t="n">
        <v>99.97</v>
      </c>
      <c r="BO35" t="n">
        <v>99.97</v>
      </c>
      <c r="BP35" t="n">
        <v>99.97</v>
      </c>
      <c r="BQ35" t="n">
        <v>99.97</v>
      </c>
      <c r="BR35" t="n">
        <v>99.98</v>
      </c>
      <c r="BS35" t="n">
        <v>99.98</v>
      </c>
      <c r="BT35" t="n">
        <v>99.98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LME_035, model 35_412_Gulf_of_Thailande_(1963)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21" customHeight="1">
      <c r="A5" t="inlineStr">
        <is>
          <t>Nemipteridae</t>
        </is>
      </c>
      <c r="B5" t="n">
        <v>3.51</v>
      </c>
      <c r="C5" t="n">
        <v>323.593657</v>
      </c>
      <c r="D5" s="11" t="inlineStr">
        <is>
          <t>Med.dem.benth. | Sm.dem.benth.</t>
        </is>
      </c>
      <c r="E5" t="n">
        <v>92.758633</v>
      </c>
      <c r="F5" t="n">
        <v>217.529093</v>
      </c>
      <c r="G5" t="n">
        <v>79.358116</v>
      </c>
      <c r="H5" t="n">
        <v>141.138931</v>
      </c>
      <c r="I5" t="n">
        <v>171.173597</v>
      </c>
      <c r="J5" t="n">
        <v>171.173597</v>
      </c>
      <c r="K5" t="n">
        <v>150.929101</v>
      </c>
      <c r="L5" t="n">
        <v>518.039182</v>
      </c>
      <c r="M5" t="n">
        <v>518.039182</v>
      </c>
      <c r="N5" t="n">
        <v>548.11324</v>
      </c>
      <c r="O5" t="n">
        <v>85.69973400000001</v>
      </c>
      <c r="P5" t="n">
        <v>44.184584</v>
      </c>
      <c r="W5" t="n">
        <v>88.044521</v>
      </c>
      <c r="X5" t="n">
        <v>623.104735</v>
      </c>
      <c r="Y5" t="n">
        <v>32.066019</v>
      </c>
      <c r="Z5" t="n">
        <v>44.508896</v>
      </c>
    </row>
    <row r="6" ht="21" customHeight="1">
      <c r="A6" t="inlineStr">
        <is>
          <t>Synodontidae</t>
        </is>
      </c>
      <c r="B6" t="n">
        <v>4.3</v>
      </c>
      <c r="C6" t="n">
        <v>1995.262315</v>
      </c>
      <c r="D6" s="11" t="inlineStr">
        <is>
          <t>Med.dem.pisc.</t>
        </is>
      </c>
      <c r="E6" t="n">
        <v>92.758633</v>
      </c>
      <c r="F6" t="n">
        <v>213.954708</v>
      </c>
      <c r="G6" t="n">
        <v>78.922014</v>
      </c>
      <c r="H6" t="n">
        <v>192.983472</v>
      </c>
      <c r="I6" t="n">
        <v>158.091504</v>
      </c>
      <c r="J6" t="n">
        <v>158.091504</v>
      </c>
      <c r="K6" t="n">
        <v>155.980707</v>
      </c>
      <c r="L6" t="n">
        <v>445.224589</v>
      </c>
      <c r="M6" t="n">
        <v>445.224589</v>
      </c>
      <c r="N6" t="n">
        <v>471.516338</v>
      </c>
      <c r="O6" t="n">
        <v>104.595857</v>
      </c>
      <c r="P6" t="n">
        <v>51.592439</v>
      </c>
      <c r="W6" t="n">
        <v>108.487387</v>
      </c>
      <c r="X6" t="n">
        <v>535.009173</v>
      </c>
      <c r="Y6" t="n">
        <v>32.114569</v>
      </c>
      <c r="Z6" t="n">
        <v>52.467555</v>
      </c>
    </row>
    <row r="7" ht="21" customHeight="1">
      <c r="A7" t="inlineStr">
        <is>
          <t>Leiognathidae</t>
        </is>
      </c>
      <c r="B7" t="n">
        <v>3.24</v>
      </c>
      <c r="C7" t="n">
        <v>173.780083</v>
      </c>
      <c r="D7" s="11" t="inlineStr">
        <is>
          <t>Ponyfishes</t>
        </is>
      </c>
      <c r="E7" t="n">
        <v>92.758633</v>
      </c>
      <c r="F7" t="n">
        <v>55.624121</v>
      </c>
      <c r="G7" t="n">
        <v>26.356091</v>
      </c>
      <c r="H7" t="n">
        <v>61.131005</v>
      </c>
      <c r="I7" t="n">
        <v>58.637366</v>
      </c>
      <c r="J7" t="n">
        <v>58.637366</v>
      </c>
      <c r="K7" t="n">
        <v>56.980549</v>
      </c>
      <c r="L7" t="n">
        <v>167.671166</v>
      </c>
      <c r="M7" t="n">
        <v>167.671166</v>
      </c>
      <c r="N7" t="n">
        <v>176.99785</v>
      </c>
      <c r="O7" t="n">
        <v>35.276744</v>
      </c>
      <c r="P7" t="n">
        <v>19.385003</v>
      </c>
      <c r="W7" t="n">
        <v>36.372559</v>
      </c>
      <c r="X7" t="n">
        <v>200.137074</v>
      </c>
      <c r="Y7" t="n">
        <v>13.440773</v>
      </c>
      <c r="Z7" t="n">
        <v>22.381404</v>
      </c>
    </row>
    <row r="8" ht="21" customHeight="1">
      <c r="A8" t="inlineStr">
        <is>
          <t>Rastrelliger kanagurta</t>
        </is>
      </c>
      <c r="B8" t="n">
        <v>3.19</v>
      </c>
      <c r="C8" t="n">
        <v>154.881662</v>
      </c>
      <c r="D8" s="11" t="inlineStr">
        <is>
          <t>Mackerel</t>
        </is>
      </c>
      <c r="E8" t="n">
        <v>92.758633</v>
      </c>
      <c r="F8" t="n">
        <v>79.432823</v>
      </c>
      <c r="G8" t="n">
        <v>35.22555</v>
      </c>
      <c r="H8" t="n">
        <v>36.979496</v>
      </c>
      <c r="I8" t="n">
        <v>22.609246</v>
      </c>
      <c r="J8" t="n">
        <v>22.609246</v>
      </c>
      <c r="K8" t="n">
        <v>21.478784</v>
      </c>
      <c r="L8" t="n">
        <v>30.239099</v>
      </c>
      <c r="M8" t="n">
        <v>30.239099</v>
      </c>
      <c r="N8" t="n">
        <v>31.345103</v>
      </c>
      <c r="O8" t="n">
        <v>25.592867</v>
      </c>
      <c r="P8" t="n">
        <v>15.901406</v>
      </c>
      <c r="W8" t="n">
        <v>26.679379</v>
      </c>
      <c r="X8" t="n">
        <v>32.242101</v>
      </c>
      <c r="Y8" t="n">
        <v>16.922772</v>
      </c>
      <c r="Z8" t="n">
        <v>17.234838</v>
      </c>
    </row>
    <row r="9" ht="36" customHeight="1">
      <c r="A9" t="inlineStr">
        <is>
          <t>Carangidae</t>
        </is>
      </c>
      <c r="B9" t="n">
        <v>4.05</v>
      </c>
      <c r="C9" t="n">
        <v>1122.018454</v>
      </c>
      <c r="D9" s="11" t="inlineStr">
        <is>
          <t>Juv.Lg.Pisciv. | Lg. piscivores | Scad</t>
        </is>
      </c>
      <c r="E9" t="n">
        <v>92.758633</v>
      </c>
      <c r="F9" t="n">
        <v>350.309573</v>
      </c>
      <c r="G9" t="n">
        <v>117.090504</v>
      </c>
      <c r="H9" t="n">
        <v>215.188153</v>
      </c>
      <c r="I9" t="n">
        <v>123.849901</v>
      </c>
      <c r="J9" t="n">
        <v>123.849901</v>
      </c>
      <c r="K9" t="n">
        <v>116.658219</v>
      </c>
      <c r="L9" t="n">
        <v>282.742219</v>
      </c>
      <c r="M9" t="n">
        <v>282.742219</v>
      </c>
      <c r="N9" t="n">
        <v>298.048101</v>
      </c>
      <c r="O9" t="n">
        <v>95.392443</v>
      </c>
      <c r="P9" t="n">
        <v>46.540662</v>
      </c>
      <c r="W9" t="n">
        <v>99.549161</v>
      </c>
      <c r="X9" t="n">
        <v>330.921181</v>
      </c>
      <c r="Y9" t="n">
        <v>43.723506</v>
      </c>
      <c r="Z9" t="n">
        <v>61.594727</v>
      </c>
    </row>
    <row r="10" ht="51" customHeight="1">
      <c r="A10" t="inlineStr">
        <is>
          <t>Marine fishes not identified</t>
        </is>
      </c>
      <c r="B10" t="n">
        <v>3.28</v>
      </c>
      <c r="C10" t="n">
        <v>190.546072</v>
      </c>
      <c r="D10" s="11" t="inlineStr">
        <is>
          <t>Med.dem.benth. | Med.dem.pisc. | Sm.dem.benth. | Sm.dem.pisc. | O.fish</t>
        </is>
      </c>
      <c r="E10" t="n">
        <v>92.758633</v>
      </c>
      <c r="F10" t="n">
        <v>206.950774</v>
      </c>
      <c r="G10" t="n">
        <v>76.47147699999999</v>
      </c>
      <c r="H10" t="n">
        <v>174.988745</v>
      </c>
      <c r="I10" t="n">
        <v>152.73063</v>
      </c>
      <c r="J10" t="n">
        <v>152.73063</v>
      </c>
      <c r="K10" t="n">
        <v>147.353313</v>
      </c>
      <c r="L10" t="n">
        <v>437.074857</v>
      </c>
      <c r="M10" t="n">
        <v>437.074857</v>
      </c>
      <c r="N10" t="n">
        <v>462.80939</v>
      </c>
      <c r="O10" t="n">
        <v>95.728662</v>
      </c>
      <c r="P10" t="n">
        <v>47.813164</v>
      </c>
      <c r="W10" t="n">
        <v>99.091415</v>
      </c>
      <c r="X10" t="n">
        <v>526.032469</v>
      </c>
      <c r="Y10" t="n">
        <v>31.208611</v>
      </c>
      <c r="Z10" t="n">
        <v>49.217684</v>
      </c>
    </row>
    <row r="11" ht="21" customHeight="1">
      <c r="A11" t="inlineStr">
        <is>
          <t>Engraulidae</t>
        </is>
      </c>
      <c r="B11" t="n">
        <v>3.2</v>
      </c>
      <c r="C11" t="n">
        <v>158.489319</v>
      </c>
      <c r="D11" s="11" t="inlineStr">
        <is>
          <t>Sm. pelagics</t>
        </is>
      </c>
      <c r="E11" t="n">
        <v>92.758633</v>
      </c>
      <c r="F11" t="n">
        <v>79.432823</v>
      </c>
      <c r="G11" t="n">
        <v>35.22555</v>
      </c>
      <c r="H11" t="n">
        <v>36.979496</v>
      </c>
      <c r="I11" t="n">
        <v>22.609246</v>
      </c>
      <c r="J11" t="n">
        <v>22.609246</v>
      </c>
      <c r="K11" t="n">
        <v>21.478784</v>
      </c>
      <c r="L11" t="n">
        <v>30.239099</v>
      </c>
      <c r="M11" t="n">
        <v>30.239099</v>
      </c>
      <c r="N11" t="n">
        <v>31.345103</v>
      </c>
      <c r="O11" t="n">
        <v>25.592867</v>
      </c>
      <c r="P11" t="n">
        <v>15.901406</v>
      </c>
      <c r="W11" t="n">
        <v>26.701358</v>
      </c>
      <c r="X11" t="n">
        <v>32.392065</v>
      </c>
      <c r="Y11" t="n">
        <v>16.922772</v>
      </c>
      <c r="Z11" t="n">
        <v>17.234838</v>
      </c>
    </row>
    <row r="12" ht="21" customHeight="1">
      <c r="A12" t="inlineStr">
        <is>
          <t>Sciaenidae</t>
        </is>
      </c>
      <c r="B12" t="n">
        <v>3.76</v>
      </c>
      <c r="C12" t="n">
        <v>575.439937</v>
      </c>
      <c r="D12" s="11" t="inlineStr">
        <is>
          <t>Med.dem.pisc.</t>
        </is>
      </c>
      <c r="E12" t="n">
        <v>92.758633</v>
      </c>
      <c r="F12" t="n">
        <v>213.954708</v>
      </c>
      <c r="G12" t="n">
        <v>78.922014</v>
      </c>
      <c r="H12" t="n">
        <v>192.983472</v>
      </c>
      <c r="I12" t="n">
        <v>158.091504</v>
      </c>
      <c r="J12" t="n">
        <v>158.091504</v>
      </c>
      <c r="K12" t="n">
        <v>155.980707</v>
      </c>
      <c r="L12" t="n">
        <v>445.224589</v>
      </c>
      <c r="M12" t="n">
        <v>445.224589</v>
      </c>
      <c r="N12" t="n">
        <v>471.516338</v>
      </c>
      <c r="O12" t="n">
        <v>104.595857</v>
      </c>
      <c r="P12" t="n">
        <v>51.592439</v>
      </c>
      <c r="W12" t="n">
        <v>108.487387</v>
      </c>
      <c r="X12" t="n">
        <v>535.009173</v>
      </c>
      <c r="Y12" t="n">
        <v>32.114569</v>
      </c>
      <c r="Z12" t="n">
        <v>52.467555</v>
      </c>
    </row>
    <row r="13" ht="21" customHeight="1">
      <c r="A13" t="inlineStr">
        <is>
          <t>Sardinella</t>
        </is>
      </c>
      <c r="B13" t="n">
        <v>2.77</v>
      </c>
      <c r="C13" t="n">
        <v>58.884366</v>
      </c>
      <c r="D13" s="11" t="inlineStr">
        <is>
          <t>Sm. pelagics</t>
        </is>
      </c>
      <c r="E13" t="n">
        <v>92.758633</v>
      </c>
      <c r="F13" t="n">
        <v>79.432823</v>
      </c>
      <c r="G13" t="n">
        <v>35.22555</v>
      </c>
      <c r="H13" t="n">
        <v>36.979496</v>
      </c>
      <c r="I13" t="n">
        <v>22.609246</v>
      </c>
      <c r="J13" t="n">
        <v>22.609246</v>
      </c>
      <c r="K13" t="n">
        <v>21.478784</v>
      </c>
      <c r="L13" t="n">
        <v>30.239099</v>
      </c>
      <c r="M13" t="n">
        <v>30.239099</v>
      </c>
      <c r="N13" t="n">
        <v>31.345103</v>
      </c>
      <c r="O13" t="n">
        <v>25.592867</v>
      </c>
      <c r="P13" t="n">
        <v>15.901406</v>
      </c>
      <c r="W13" t="n">
        <v>26.701358</v>
      </c>
      <c r="X13" t="n">
        <v>32.392065</v>
      </c>
      <c r="Y13" t="n">
        <v>16.922772</v>
      </c>
      <c r="Z13" t="n">
        <v>17.234838</v>
      </c>
    </row>
    <row r="14" ht="21" customHeight="1">
      <c r="A14" t="inlineStr">
        <is>
          <t>Platycephalidae</t>
        </is>
      </c>
      <c r="B14" t="n">
        <v>3.9</v>
      </c>
      <c r="C14" t="n">
        <v>794.3282349999999</v>
      </c>
      <c r="D14" s="11" t="inlineStr">
        <is>
          <t>Med.dem.pisc.</t>
        </is>
      </c>
      <c r="E14" t="n">
        <v>92.758633</v>
      </c>
      <c r="F14" t="n">
        <v>213.954708</v>
      </c>
      <c r="G14" t="n">
        <v>78.922014</v>
      </c>
      <c r="H14" t="n">
        <v>192.983472</v>
      </c>
      <c r="I14" t="n">
        <v>158.091504</v>
      </c>
      <c r="J14" t="n">
        <v>158.091504</v>
      </c>
      <c r="K14" t="n">
        <v>155.980707</v>
      </c>
      <c r="L14" t="n">
        <v>445.224589</v>
      </c>
      <c r="M14" t="n">
        <v>445.224589</v>
      </c>
      <c r="N14" t="n">
        <v>471.516338</v>
      </c>
      <c r="O14" t="n">
        <v>104.595857</v>
      </c>
      <c r="P14" t="n">
        <v>51.592439</v>
      </c>
      <c r="W14" t="n">
        <v>108.487387</v>
      </c>
      <c r="X14" t="n">
        <v>535.009173</v>
      </c>
      <c r="Y14" t="n">
        <v>32.114569</v>
      </c>
      <c r="Z14" t="n">
        <v>52.467555</v>
      </c>
    </row>
    <row r="15" ht="21" customHeight="1">
      <c r="A15" t="inlineStr">
        <is>
          <t>Loliginidae</t>
        </is>
      </c>
      <c r="B15" t="n">
        <v>3.9</v>
      </c>
      <c r="C15" t="n">
        <v>794.3282349999999</v>
      </c>
      <c r="D15" s="11" t="inlineStr">
        <is>
          <t>Cephalopods</t>
        </is>
      </c>
      <c r="E15" t="n">
        <v>92.758633</v>
      </c>
      <c r="F15" t="n">
        <v>207.108363</v>
      </c>
      <c r="G15" t="n">
        <v>76.859779</v>
      </c>
      <c r="H15" t="n">
        <v>153.276012</v>
      </c>
      <c r="I15" t="n">
        <v>121.77284</v>
      </c>
      <c r="J15" t="n">
        <v>121.77284</v>
      </c>
      <c r="K15" t="n">
        <v>118.23963</v>
      </c>
      <c r="L15" t="n">
        <v>349.557692</v>
      </c>
      <c r="M15" t="n">
        <v>349.557692</v>
      </c>
      <c r="N15" t="n">
        <v>370.254323</v>
      </c>
      <c r="O15" t="n">
        <v>98.097358</v>
      </c>
      <c r="P15" t="n">
        <v>49.643681</v>
      </c>
      <c r="W15" t="n">
        <v>100.957994</v>
      </c>
      <c r="X15" t="n">
        <v>407.059034</v>
      </c>
      <c r="Y15" t="n">
        <v>31.446324</v>
      </c>
      <c r="Z15" t="n">
        <v>45.753688</v>
      </c>
    </row>
    <row r="16" ht="21" customHeight="1">
      <c r="A16" t="inlineStr">
        <is>
          <t>Perna viridis</t>
        </is>
      </c>
      <c r="D16" s="11" t="inlineStr">
        <is>
          <t>Molluscs</t>
        </is>
      </c>
      <c r="E16" t="n">
        <v>92.758633</v>
      </c>
      <c r="F16" t="n">
        <v>15.848932</v>
      </c>
      <c r="G16" t="n">
        <v>9.483373</v>
      </c>
      <c r="H16" t="n">
        <v>13.28747</v>
      </c>
      <c r="I16" t="n">
        <v>8.760194</v>
      </c>
      <c r="J16" t="n">
        <v>8.760194</v>
      </c>
      <c r="K16" t="n">
        <v>7.884174</v>
      </c>
      <c r="L16" t="n">
        <v>10.549912</v>
      </c>
      <c r="M16" t="n">
        <v>10.549912</v>
      </c>
      <c r="N16" t="n">
        <v>10.809345</v>
      </c>
      <c r="O16" t="n">
        <v>8.798415</v>
      </c>
      <c r="P16" t="n">
        <v>6.022535</v>
      </c>
      <c r="W16" t="n">
        <v>8.947789999999999</v>
      </c>
      <c r="X16" t="n">
        <v>11.156289</v>
      </c>
      <c r="Y16" t="n">
        <v>5.968659</v>
      </c>
      <c r="Z16" t="n">
        <v>7.276791</v>
      </c>
    </row>
    <row r="17" ht="21" customHeight="1">
      <c r="A17" t="inlineStr">
        <is>
          <t>Penaeus</t>
        </is>
      </c>
      <c r="B17" t="n">
        <v>2.7</v>
      </c>
      <c r="C17" t="n">
        <v>50.118723</v>
      </c>
      <c r="D17" s="11" t="inlineStr">
        <is>
          <t>Shrimps</t>
        </is>
      </c>
      <c r="E17" t="n">
        <v>92.758633</v>
      </c>
      <c r="F17" t="n">
        <v>24.936879</v>
      </c>
      <c r="G17" t="n">
        <v>13.715732</v>
      </c>
      <c r="H17" t="n">
        <v>39.542201</v>
      </c>
      <c r="I17" t="n">
        <v>39.345557</v>
      </c>
      <c r="J17" t="n">
        <v>39.345557</v>
      </c>
      <c r="K17" t="n">
        <v>37.378279</v>
      </c>
      <c r="L17" t="n">
        <v>110.883242</v>
      </c>
      <c r="M17" t="n">
        <v>110.883242</v>
      </c>
      <c r="N17" t="n">
        <v>118.086052</v>
      </c>
      <c r="O17" t="n">
        <v>26.876504</v>
      </c>
      <c r="P17" t="n">
        <v>16.79886</v>
      </c>
      <c r="W17" t="n">
        <v>27.610867</v>
      </c>
      <c r="X17" t="n">
        <v>134.234083</v>
      </c>
      <c r="Y17" t="n">
        <v>8.001064</v>
      </c>
      <c r="Z17" t="n">
        <v>14.97557</v>
      </c>
    </row>
    <row r="18" ht="21" customHeight="1">
      <c r="A18" t="inlineStr">
        <is>
          <t>Scombridae</t>
        </is>
      </c>
      <c r="B18" t="n">
        <v>4.26</v>
      </c>
      <c r="C18" t="n">
        <v>1819.700859</v>
      </c>
      <c r="D18" s="11" t="inlineStr">
        <is>
          <t>Mackerel | Scomberomorus | Tuna</t>
        </is>
      </c>
      <c r="E18" t="n">
        <v>92.758633</v>
      </c>
      <c r="F18" t="n">
        <v>304.036225</v>
      </c>
      <c r="G18" t="n">
        <v>94.465615</v>
      </c>
      <c r="H18" t="n">
        <v>172.577473</v>
      </c>
      <c r="I18" t="n">
        <v>88.461506</v>
      </c>
      <c r="J18" t="n">
        <v>88.461506</v>
      </c>
      <c r="K18" t="n">
        <v>84.038431</v>
      </c>
      <c r="L18" t="n">
        <v>174.520296</v>
      </c>
      <c r="M18" t="n">
        <v>174.520296</v>
      </c>
      <c r="N18" t="n">
        <v>183.33498</v>
      </c>
      <c r="O18" t="n">
        <v>76.095264</v>
      </c>
      <c r="P18" t="n">
        <v>36.680952</v>
      </c>
      <c r="W18" t="n">
        <v>80.273251</v>
      </c>
      <c r="X18" t="n">
        <v>202.543616</v>
      </c>
      <c r="Y18" t="n">
        <v>34.190175</v>
      </c>
      <c r="Z18" t="n">
        <v>46.117203</v>
      </c>
    </row>
    <row r="19" ht="21" customHeight="1">
      <c r="A19" t="inlineStr">
        <is>
          <t>Sepiidae</t>
        </is>
      </c>
      <c r="B19" t="n">
        <v>3.6</v>
      </c>
      <c r="C19" t="n">
        <v>398.107171</v>
      </c>
      <c r="D19" s="11" t="inlineStr">
        <is>
          <t>Cephalopods</t>
        </is>
      </c>
      <c r="E19" t="n">
        <v>92.758633</v>
      </c>
      <c r="F19" t="n">
        <v>207.108363</v>
      </c>
      <c r="G19" t="n">
        <v>76.859779</v>
      </c>
      <c r="H19" t="n">
        <v>153.276012</v>
      </c>
      <c r="I19" t="n">
        <v>121.77284</v>
      </c>
      <c r="J19" t="n">
        <v>121.77284</v>
      </c>
      <c r="K19" t="n">
        <v>118.23963</v>
      </c>
      <c r="L19" t="n">
        <v>349.557692</v>
      </c>
      <c r="M19" t="n">
        <v>349.557692</v>
      </c>
      <c r="N19" t="n">
        <v>370.254323</v>
      </c>
      <c r="O19" t="n">
        <v>98.097358</v>
      </c>
      <c r="P19" t="n">
        <v>49.643681</v>
      </c>
      <c r="W19" t="n">
        <v>100.957994</v>
      </c>
      <c r="X19" t="n">
        <v>407.059034</v>
      </c>
      <c r="Y19" t="n">
        <v>31.446324</v>
      </c>
      <c r="Z19" t="n">
        <v>45.753688</v>
      </c>
    </row>
    <row r="20" ht="21" customHeight="1">
      <c r="A20" t="inlineStr">
        <is>
          <t>Priacanthus</t>
        </is>
      </c>
      <c r="B20" t="n">
        <v>3.81</v>
      </c>
      <c r="C20" t="n">
        <v>645.654229</v>
      </c>
      <c r="D20" s="11" t="inlineStr">
        <is>
          <t>Sm.dem.pisc.</t>
        </is>
      </c>
      <c r="E20" t="n">
        <v>92.758633</v>
      </c>
      <c r="F20" t="n">
        <v>197.409669</v>
      </c>
      <c r="G20" t="n">
        <v>73.916488</v>
      </c>
      <c r="H20" t="n">
        <v>154.823545</v>
      </c>
      <c r="I20" t="n">
        <v>115.690597</v>
      </c>
      <c r="J20" t="n">
        <v>115.690597</v>
      </c>
      <c r="K20" t="n">
        <v>113.409335</v>
      </c>
      <c r="L20" t="n">
        <v>329.659655</v>
      </c>
      <c r="M20" t="n">
        <v>329.659655</v>
      </c>
      <c r="N20" t="n">
        <v>349.391819</v>
      </c>
      <c r="O20" t="n">
        <v>73.656982</v>
      </c>
      <c r="P20" t="n">
        <v>38.008692</v>
      </c>
      <c r="W20" t="n">
        <v>76.063031</v>
      </c>
      <c r="X20" t="n">
        <v>403.967718</v>
      </c>
      <c r="Y20" t="n">
        <v>30.486142</v>
      </c>
      <c r="Z20" t="n">
        <v>45.747918</v>
      </c>
    </row>
    <row r="21" ht="21" customHeight="1">
      <c r="A21" t="inlineStr">
        <is>
          <t>Penaeidae</t>
        </is>
      </c>
      <c r="B21" t="n">
        <v>3.31</v>
      </c>
      <c r="C21" t="n">
        <v>204.173794</v>
      </c>
      <c r="D21" s="11" t="inlineStr">
        <is>
          <t>Shrimps</t>
        </is>
      </c>
      <c r="E21" t="n">
        <v>92.758633</v>
      </c>
      <c r="F21" t="n">
        <v>24.936879</v>
      </c>
      <c r="G21" t="n">
        <v>13.715732</v>
      </c>
      <c r="H21" t="n">
        <v>39.542201</v>
      </c>
      <c r="I21" t="n">
        <v>39.345557</v>
      </c>
      <c r="J21" t="n">
        <v>39.345557</v>
      </c>
      <c r="K21" t="n">
        <v>37.378279</v>
      </c>
      <c r="L21" t="n">
        <v>110.883242</v>
      </c>
      <c r="M21" t="n">
        <v>110.883242</v>
      </c>
      <c r="N21" t="n">
        <v>118.086052</v>
      </c>
      <c r="O21" t="n">
        <v>26.876504</v>
      </c>
      <c r="P21" t="n">
        <v>16.79886</v>
      </c>
      <c r="W21" t="n">
        <v>27.610867</v>
      </c>
      <c r="X21" t="n">
        <v>134.234083</v>
      </c>
      <c r="Y21" t="n">
        <v>8.001064</v>
      </c>
      <c r="Z21" t="n">
        <v>14.97557</v>
      </c>
    </row>
    <row r="22" ht="21" customHeight="1">
      <c r="A22" t="inlineStr">
        <is>
          <t>Rastrelliger</t>
        </is>
      </c>
      <c r="B22" t="n">
        <v>3.1</v>
      </c>
      <c r="C22" t="n">
        <v>125.892541</v>
      </c>
      <c r="D22" s="11" t="inlineStr">
        <is>
          <t>Mackerel</t>
        </is>
      </c>
      <c r="E22" t="n">
        <v>92.758633</v>
      </c>
      <c r="F22" t="n">
        <v>79.432823</v>
      </c>
      <c r="G22" t="n">
        <v>35.22555</v>
      </c>
      <c r="H22" t="n">
        <v>36.979496</v>
      </c>
      <c r="I22" t="n">
        <v>22.609246</v>
      </c>
      <c r="J22" t="n">
        <v>22.609246</v>
      </c>
      <c r="K22" t="n">
        <v>21.478784</v>
      </c>
      <c r="L22" t="n">
        <v>30.239099</v>
      </c>
      <c r="M22" t="n">
        <v>30.239099</v>
      </c>
      <c r="N22" t="n">
        <v>31.345103</v>
      </c>
      <c r="O22" t="n">
        <v>25.592867</v>
      </c>
      <c r="P22" t="n">
        <v>15.901406</v>
      </c>
      <c r="W22" t="n">
        <v>26.679379</v>
      </c>
      <c r="X22" t="n">
        <v>32.242101</v>
      </c>
      <c r="Y22" t="n">
        <v>16.922772</v>
      </c>
      <c r="Z22" t="n">
        <v>17.234838</v>
      </c>
    </row>
    <row r="23" ht="21" customHeight="1">
      <c r="A23" t="inlineStr">
        <is>
          <t>Decapterus russelli</t>
        </is>
      </c>
      <c r="B23" t="n">
        <v>3.68</v>
      </c>
      <c r="C23" t="n">
        <v>478.630092</v>
      </c>
      <c r="D23" s="11" t="inlineStr">
        <is>
          <t>Scad</t>
        </is>
      </c>
      <c r="E23" t="n">
        <v>92.758633</v>
      </c>
      <c r="F23" t="n">
        <v>301.410165</v>
      </c>
      <c r="G23" t="n">
        <v>104.320796</v>
      </c>
      <c r="H23" t="n">
        <v>168.748505</v>
      </c>
      <c r="I23" t="n">
        <v>90.39104399999999</v>
      </c>
      <c r="J23" t="n">
        <v>90.39104399999999</v>
      </c>
      <c r="K23" t="n">
        <v>85.87149100000001</v>
      </c>
      <c r="L23" t="n">
        <v>191.130934</v>
      </c>
      <c r="M23" t="n">
        <v>191.130934</v>
      </c>
      <c r="N23" t="n">
        <v>201.174951</v>
      </c>
      <c r="O23" t="n">
        <v>76.25161799999999</v>
      </c>
      <c r="P23" t="n">
        <v>39.003755</v>
      </c>
      <c r="W23" t="n">
        <v>79.580185</v>
      </c>
      <c r="X23" t="n">
        <v>220.35084</v>
      </c>
      <c r="Y23" t="n">
        <v>40.080591</v>
      </c>
      <c r="Z23" t="n">
        <v>53.018386</v>
      </c>
    </row>
    <row r="24" ht="21" customHeight="1">
      <c r="A24" t="inlineStr">
        <is>
          <t>Nemipterus</t>
        </is>
      </c>
      <c r="B24" t="n">
        <v>3.72</v>
      </c>
      <c r="C24" t="n">
        <v>524.80746</v>
      </c>
      <c r="D24" s="11" t="inlineStr">
        <is>
          <t>Sm.dem.benth.</t>
        </is>
      </c>
      <c r="E24" t="n">
        <v>92.758633</v>
      </c>
      <c r="F24" t="n">
        <v>135.946622</v>
      </c>
      <c r="G24" t="n">
        <v>54.557109</v>
      </c>
      <c r="H24" t="n">
        <v>104.458273</v>
      </c>
      <c r="I24" t="n">
        <v>106.771533</v>
      </c>
      <c r="J24" t="n">
        <v>106.771533</v>
      </c>
      <c r="K24" t="n">
        <v>89.978955</v>
      </c>
      <c r="L24" t="n">
        <v>308.045854</v>
      </c>
      <c r="M24" t="n">
        <v>308.045854</v>
      </c>
      <c r="N24" t="n">
        <v>325.959633</v>
      </c>
      <c r="O24" t="n">
        <v>56.685005</v>
      </c>
      <c r="P24" t="n">
        <v>30.438514</v>
      </c>
      <c r="W24" t="n">
        <v>58.087916</v>
      </c>
      <c r="X24" t="n">
        <v>369.109424</v>
      </c>
      <c r="Y24" t="n">
        <v>23.952956</v>
      </c>
      <c r="Z24" t="n">
        <v>34.558123</v>
      </c>
    </row>
    <row r="25" ht="21" customHeight="1">
      <c r="A25" t="inlineStr">
        <is>
          <t>Portunus pelagicus</t>
        </is>
      </c>
      <c r="B25" t="n">
        <v>2.48</v>
      </c>
      <c r="C25" t="n">
        <v>30.199517</v>
      </c>
      <c r="D25" s="11" t="inlineStr">
        <is>
          <t>Crab, lobster</t>
        </is>
      </c>
      <c r="E25" t="n">
        <v>92.758633</v>
      </c>
      <c r="F25" t="n">
        <v>55.221127</v>
      </c>
      <c r="G25" t="n">
        <v>26.200528</v>
      </c>
      <c r="H25" t="n">
        <v>80.616586</v>
      </c>
      <c r="I25" t="n">
        <v>96.283275</v>
      </c>
      <c r="J25" t="n">
        <v>96.283275</v>
      </c>
      <c r="K25" t="n">
        <v>82.59048</v>
      </c>
      <c r="L25" t="n">
        <v>295.897518</v>
      </c>
      <c r="M25" t="n">
        <v>295.897518</v>
      </c>
      <c r="N25" t="n">
        <v>313.590452</v>
      </c>
      <c r="O25" t="n">
        <v>47.292261</v>
      </c>
      <c r="P25" t="n">
        <v>26.133043</v>
      </c>
      <c r="W25" t="n">
        <v>48.215972</v>
      </c>
      <c r="X25" t="n">
        <v>354.467589</v>
      </c>
      <c r="Y25" t="n">
        <v>13.377731</v>
      </c>
      <c r="Z25" t="n">
        <v>27.235027</v>
      </c>
    </row>
    <row r="26" ht="21" customHeight="1">
      <c r="A26" t="inlineStr">
        <is>
          <t>Veneridae</t>
        </is>
      </c>
      <c r="B26" t="n">
        <v>2</v>
      </c>
      <c r="C26" t="n">
        <v>10</v>
      </c>
      <c r="D26" s="11" t="inlineStr">
        <is>
          <t>Molluscs</t>
        </is>
      </c>
      <c r="E26" t="n">
        <v>92.758633</v>
      </c>
      <c r="F26" t="n">
        <v>15.848932</v>
      </c>
      <c r="G26" t="n">
        <v>9.483373</v>
      </c>
      <c r="H26" t="n">
        <v>13.28747</v>
      </c>
      <c r="I26" t="n">
        <v>8.760194</v>
      </c>
      <c r="J26" t="n">
        <v>8.760194</v>
      </c>
      <c r="K26" t="n">
        <v>7.884174</v>
      </c>
      <c r="L26" t="n">
        <v>10.549912</v>
      </c>
      <c r="M26" t="n">
        <v>10.549912</v>
      </c>
      <c r="N26" t="n">
        <v>10.809345</v>
      </c>
      <c r="O26" t="n">
        <v>8.798415</v>
      </c>
      <c r="P26" t="n">
        <v>6.022535</v>
      </c>
      <c r="W26" t="n">
        <v>8.947789999999999</v>
      </c>
      <c r="X26" t="n">
        <v>11.156289</v>
      </c>
      <c r="Y26" t="n">
        <v>5.968659</v>
      </c>
      <c r="Z26" t="n">
        <v>7.276791</v>
      </c>
    </row>
    <row r="27" ht="21" customHeight="1">
      <c r="A27" t="inlineStr">
        <is>
          <t>Saurida</t>
        </is>
      </c>
      <c r="B27" t="n">
        <v>4.35</v>
      </c>
      <c r="C27" t="n">
        <v>2238.721139</v>
      </c>
      <c r="D27" s="11" t="inlineStr">
        <is>
          <t>Med.dem.pisc.</t>
        </is>
      </c>
      <c r="E27" t="n">
        <v>92.758633</v>
      </c>
      <c r="F27" t="n">
        <v>213.954708</v>
      </c>
      <c r="G27" t="n">
        <v>78.922014</v>
      </c>
      <c r="H27" t="n">
        <v>192.983472</v>
      </c>
      <c r="I27" t="n">
        <v>158.091504</v>
      </c>
      <c r="J27" t="n">
        <v>158.091504</v>
      </c>
      <c r="K27" t="n">
        <v>155.980707</v>
      </c>
      <c r="L27" t="n">
        <v>445.224589</v>
      </c>
      <c r="M27" t="n">
        <v>445.224589</v>
      </c>
      <c r="N27" t="n">
        <v>471.516338</v>
      </c>
      <c r="O27" t="n">
        <v>104.595857</v>
      </c>
      <c r="P27" t="n">
        <v>51.592439</v>
      </c>
      <c r="W27" t="n">
        <v>108.487387</v>
      </c>
      <c r="X27" t="n">
        <v>535.009173</v>
      </c>
      <c r="Y27" t="n">
        <v>32.114569</v>
      </c>
      <c r="Z27" t="n">
        <v>52.467555</v>
      </c>
    </row>
    <row r="28" ht="21" customHeight="1">
      <c r="A28" t="inlineStr">
        <is>
          <t>Decapterus</t>
        </is>
      </c>
      <c r="B28" t="n">
        <v>3.63</v>
      </c>
      <c r="C28" t="n">
        <v>426.579519</v>
      </c>
      <c r="D28" s="11" t="inlineStr">
        <is>
          <t>Scad</t>
        </is>
      </c>
      <c r="E28" t="n">
        <v>92.758633</v>
      </c>
      <c r="F28" t="n">
        <v>301.410165</v>
      </c>
      <c r="G28" t="n">
        <v>104.320796</v>
      </c>
      <c r="H28" t="n">
        <v>168.748505</v>
      </c>
      <c r="I28" t="n">
        <v>90.39104399999999</v>
      </c>
      <c r="J28" t="n">
        <v>90.39104399999999</v>
      </c>
      <c r="K28" t="n">
        <v>85.87149100000001</v>
      </c>
      <c r="L28" t="n">
        <v>191.130934</v>
      </c>
      <c r="M28" t="n">
        <v>191.130934</v>
      </c>
      <c r="N28" t="n">
        <v>201.174951</v>
      </c>
      <c r="O28" t="n">
        <v>76.25161799999999</v>
      </c>
      <c r="P28" t="n">
        <v>39.003755</v>
      </c>
      <c r="W28" t="n">
        <v>79.580185</v>
      </c>
      <c r="X28" t="n">
        <v>220.35084</v>
      </c>
      <c r="Y28" t="n">
        <v>40.080591</v>
      </c>
      <c r="Z28" t="n">
        <v>53.018386</v>
      </c>
    </row>
    <row r="29" ht="21" customHeight="1">
      <c r="A29" t="inlineStr">
        <is>
          <t>Stolephorus</t>
        </is>
      </c>
      <c r="B29" t="n">
        <v>3.44</v>
      </c>
      <c r="C29" t="n">
        <v>275.42287</v>
      </c>
      <c r="D29" s="11" t="inlineStr">
        <is>
          <t>Sm. pelagics</t>
        </is>
      </c>
      <c r="E29" t="n">
        <v>92.758633</v>
      </c>
      <c r="F29" t="n">
        <v>79.432823</v>
      </c>
      <c r="G29" t="n">
        <v>35.22555</v>
      </c>
      <c r="H29" t="n">
        <v>36.979496</v>
      </c>
      <c r="I29" t="n">
        <v>22.609246</v>
      </c>
      <c r="J29" t="n">
        <v>22.609246</v>
      </c>
      <c r="K29" t="n">
        <v>21.478784</v>
      </c>
      <c r="L29" t="n">
        <v>30.239099</v>
      </c>
      <c r="M29" t="n">
        <v>30.239099</v>
      </c>
      <c r="N29" t="n">
        <v>31.345103</v>
      </c>
      <c r="O29" t="n">
        <v>25.592867</v>
      </c>
      <c r="P29" t="n">
        <v>15.901406</v>
      </c>
      <c r="W29" t="n">
        <v>26.701358</v>
      </c>
      <c r="X29" t="n">
        <v>32.392065</v>
      </c>
      <c r="Y29" t="n">
        <v>16.922772</v>
      </c>
      <c r="Z29" t="n">
        <v>17.234838</v>
      </c>
    </row>
    <row r="30" ht="21" customHeight="1">
      <c r="A30" t="inlineStr">
        <is>
          <t>Cephea</t>
        </is>
      </c>
      <c r="B30" t="n">
        <v>3.46</v>
      </c>
      <c r="C30" t="n">
        <v>288.40315</v>
      </c>
      <c r="D30" s="11" t="inlineStr">
        <is>
          <t>Jellyfish</t>
        </is>
      </c>
      <c r="E30" t="n">
        <v>92.758633</v>
      </c>
      <c r="F30" t="n">
        <v>100</v>
      </c>
      <c r="G30" t="n">
        <v>42.488496</v>
      </c>
      <c r="H30" t="n">
        <v>40.364071</v>
      </c>
      <c r="I30" t="n">
        <v>0</v>
      </c>
      <c r="J30" t="n">
        <v>5.855218</v>
      </c>
      <c r="L30" t="n">
        <v>0</v>
      </c>
      <c r="M30" t="n">
        <v>0</v>
      </c>
      <c r="N30" t="n">
        <v>0</v>
      </c>
      <c r="O30" t="n">
        <v>27.992074</v>
      </c>
      <c r="P30" t="n">
        <v>17.312674</v>
      </c>
      <c r="W30" t="n">
        <v>28.633264</v>
      </c>
      <c r="X30" t="n">
        <v>0</v>
      </c>
      <c r="Y30" t="n">
        <v>19.639386</v>
      </c>
      <c r="Z30" t="n">
        <v>18.657416</v>
      </c>
    </row>
    <row r="31" ht="21" customHeight="1">
      <c r="A31" t="inlineStr">
        <is>
          <t>Scomberomorus guttatus</t>
        </is>
      </c>
      <c r="B31" t="n">
        <v>4.28</v>
      </c>
      <c r="C31" t="n">
        <v>1905.460718</v>
      </c>
      <c r="D31" s="11" t="inlineStr">
        <is>
          <t>Scomberomorus</t>
        </is>
      </c>
      <c r="E31" t="n">
        <v>92.758633</v>
      </c>
      <c r="F31" t="n">
        <v>729.447588</v>
      </c>
      <c r="G31" t="n">
        <v>214.222773</v>
      </c>
      <c r="H31" t="n">
        <v>444.290446</v>
      </c>
      <c r="I31" t="n">
        <v>234.170666</v>
      </c>
      <c r="J31" t="n">
        <v>234.170666</v>
      </c>
      <c r="K31" t="n">
        <v>222.462132</v>
      </c>
      <c r="L31" t="n">
        <v>510.434635</v>
      </c>
      <c r="M31" t="n">
        <v>510.434635</v>
      </c>
      <c r="N31" t="n">
        <v>537.808771</v>
      </c>
      <c r="O31" t="n">
        <v>191.217924</v>
      </c>
      <c r="P31" t="n">
        <v>85.80764499999999</v>
      </c>
      <c r="W31" t="n">
        <v>201.393966</v>
      </c>
      <c r="X31" t="n">
        <v>601.019559</v>
      </c>
      <c r="Y31" t="n">
        <v>70.97555</v>
      </c>
      <c r="Z31" t="n">
        <v>108.592819</v>
      </c>
    </row>
    <row r="32" ht="21" customHeight="1">
      <c r="A32" t="inlineStr">
        <is>
          <t>Sparidae</t>
        </is>
      </c>
      <c r="B32" t="n">
        <v>3.31</v>
      </c>
      <c r="C32" t="n">
        <v>204.173794</v>
      </c>
      <c r="D32" s="11" t="inlineStr">
        <is>
          <t>Med.dem.benth.</t>
        </is>
      </c>
      <c r="E32" t="n">
        <v>92.758633</v>
      </c>
      <c r="F32" t="n">
        <v>274.243815</v>
      </c>
      <c r="G32" t="n">
        <v>96.59934699999999</v>
      </c>
      <c r="H32" t="n">
        <v>166.63869</v>
      </c>
      <c r="I32" t="n">
        <v>215.944796</v>
      </c>
      <c r="J32" t="n">
        <v>215.944796</v>
      </c>
      <c r="K32" t="n">
        <v>193.300587</v>
      </c>
      <c r="L32" t="n">
        <v>664.022909</v>
      </c>
      <c r="M32" t="n">
        <v>664.022909</v>
      </c>
      <c r="N32" t="n">
        <v>702.550582</v>
      </c>
      <c r="O32" t="n">
        <v>105.870272</v>
      </c>
      <c r="P32" t="n">
        <v>53.740614</v>
      </c>
      <c r="W32" t="n">
        <v>108.869834</v>
      </c>
      <c r="X32" t="n">
        <v>799.677877</v>
      </c>
      <c r="Y32" t="n">
        <v>37.70608</v>
      </c>
      <c r="Z32" t="n">
        <v>51.4265</v>
      </c>
    </row>
    <row r="33" ht="21" customHeight="1">
      <c r="A33" t="inlineStr">
        <is>
          <t>Megalaspis cordyla</t>
        </is>
      </c>
      <c r="B33" t="n">
        <v>4.24</v>
      </c>
      <c r="C33" t="n">
        <v>1737.800829</v>
      </c>
      <c r="D33" s="11" t="inlineStr">
        <is>
          <t>Scad</t>
        </is>
      </c>
      <c r="E33" t="n">
        <v>92.758633</v>
      </c>
      <c r="F33" t="n">
        <v>301.410165</v>
      </c>
      <c r="G33" t="n">
        <v>104.320796</v>
      </c>
      <c r="H33" t="n">
        <v>168.748505</v>
      </c>
      <c r="I33" t="n">
        <v>90.39104399999999</v>
      </c>
      <c r="J33" t="n">
        <v>90.39104399999999</v>
      </c>
      <c r="K33" t="n">
        <v>85.87149100000001</v>
      </c>
      <c r="L33" t="n">
        <v>191.130934</v>
      </c>
      <c r="M33" t="n">
        <v>191.130934</v>
      </c>
      <c r="N33" t="n">
        <v>201.174951</v>
      </c>
      <c r="O33" t="n">
        <v>76.25161799999999</v>
      </c>
      <c r="P33" t="n">
        <v>39.003755</v>
      </c>
      <c r="W33" t="n">
        <v>79.580185</v>
      </c>
      <c r="X33" t="n">
        <v>220.35084</v>
      </c>
      <c r="Y33" t="n">
        <v>40.080591</v>
      </c>
      <c r="Z33" t="n">
        <v>53.018386</v>
      </c>
    </row>
    <row r="34" ht="21" customHeight="1">
      <c r="A34" t="inlineStr">
        <is>
          <t>Mugilidae</t>
        </is>
      </c>
      <c r="B34" t="n">
        <v>2.53</v>
      </c>
      <c r="C34" t="n">
        <v>33.884416</v>
      </c>
      <c r="D34" s="11" t="inlineStr">
        <is>
          <t>O.fish</t>
        </is>
      </c>
      <c r="E34" t="n">
        <v>92.758633</v>
      </c>
      <c r="F34" t="n">
        <v>41.788101</v>
      </c>
      <c r="G34" t="n">
        <v>20.881264</v>
      </c>
      <c r="H34" t="n">
        <v>52.028891</v>
      </c>
      <c r="I34" t="n">
        <v>48.21537</v>
      </c>
      <c r="J34" t="n">
        <v>48.21537</v>
      </c>
      <c r="K34" t="n">
        <v>48.150458</v>
      </c>
      <c r="L34" t="n">
        <v>135.960121</v>
      </c>
      <c r="M34" t="n">
        <v>135.960121</v>
      </c>
      <c r="N34" t="n">
        <v>143.850985</v>
      </c>
      <c r="O34" t="n">
        <v>31.644149</v>
      </c>
      <c r="P34" t="n">
        <v>18.19469</v>
      </c>
      <c r="W34" t="n">
        <v>32.429472</v>
      </c>
      <c r="X34" t="n">
        <v>163.410873</v>
      </c>
      <c r="Y34" t="n">
        <v>11.171569</v>
      </c>
      <c r="Z34" t="n">
        <v>19.389776</v>
      </c>
    </row>
    <row r="35" ht="21" customHeight="1">
      <c r="A35" t="inlineStr">
        <is>
          <t>Thunnus tonggol</t>
        </is>
      </c>
      <c r="B35" t="n">
        <v>4.5</v>
      </c>
      <c r="C35" t="n">
        <v>3162.27766</v>
      </c>
      <c r="D35" s="11" t="inlineStr">
        <is>
          <t>Tuna</t>
        </is>
      </c>
      <c r="E35" t="n">
        <v>92.758633</v>
      </c>
      <c r="F35" t="n">
        <v>1217.891849</v>
      </c>
      <c r="G35" t="n">
        <v>325.165267</v>
      </c>
      <c r="H35" t="n">
        <v>703.930824</v>
      </c>
      <c r="I35" t="n">
        <v>327.693492</v>
      </c>
      <c r="J35" t="n">
        <v>327.693492</v>
      </c>
      <c r="K35" t="n">
        <v>311.308817</v>
      </c>
      <c r="L35" t="n">
        <v>675.870038</v>
      </c>
      <c r="M35" t="n">
        <v>675.870038</v>
      </c>
      <c r="N35" t="n">
        <v>710.633419</v>
      </c>
      <c r="O35" t="n">
        <v>254.942405</v>
      </c>
      <c r="P35" t="n">
        <v>107.862693</v>
      </c>
      <c r="W35" t="n">
        <v>271.503704</v>
      </c>
      <c r="X35" t="n">
        <v>791.598393</v>
      </c>
      <c r="Y35" t="n">
        <v>98.86518</v>
      </c>
      <c r="Z35" t="n">
        <v>153.001145</v>
      </c>
    </row>
    <row r="36" ht="21" customHeight="1">
      <c r="A36" t="inlineStr">
        <is>
          <t>Selaroides leptolepis</t>
        </is>
      </c>
      <c r="B36" t="n">
        <v>3.84</v>
      </c>
      <c r="C36" t="n">
        <v>691.830971</v>
      </c>
      <c r="D36" s="11" t="inlineStr">
        <is>
          <t>Scad</t>
        </is>
      </c>
      <c r="E36" t="n">
        <v>92.758633</v>
      </c>
      <c r="F36" t="n">
        <v>301.410165</v>
      </c>
      <c r="G36" t="n">
        <v>104.320796</v>
      </c>
      <c r="H36" t="n">
        <v>168.748505</v>
      </c>
      <c r="I36" t="n">
        <v>90.39104399999999</v>
      </c>
      <c r="J36" t="n">
        <v>90.39104399999999</v>
      </c>
      <c r="K36" t="n">
        <v>85.87149100000001</v>
      </c>
      <c r="L36" t="n">
        <v>191.130934</v>
      </c>
      <c r="M36" t="n">
        <v>191.130934</v>
      </c>
      <c r="N36" t="n">
        <v>201.174951</v>
      </c>
      <c r="O36" t="n">
        <v>76.25161799999999</v>
      </c>
      <c r="P36" t="n">
        <v>39.003755</v>
      </c>
      <c r="W36" t="n">
        <v>79.580185</v>
      </c>
      <c r="X36" t="n">
        <v>220.35084</v>
      </c>
      <c r="Y36" t="n">
        <v>40.080591</v>
      </c>
      <c r="Z36" t="n">
        <v>53.018386</v>
      </c>
    </row>
    <row r="37" ht="21" customHeight="1">
      <c r="A37" t="inlineStr">
        <is>
          <t>Dendrobranchiata</t>
        </is>
      </c>
      <c r="B37" t="n">
        <v>3.24</v>
      </c>
      <c r="C37" t="n">
        <v>173.780083</v>
      </c>
      <c r="D37" s="11" t="inlineStr">
        <is>
          <t>Shrimps</t>
        </is>
      </c>
      <c r="E37" t="n">
        <v>92.758633</v>
      </c>
      <c r="F37" t="n">
        <v>24.936879</v>
      </c>
      <c r="G37" t="n">
        <v>13.715732</v>
      </c>
      <c r="H37" t="n">
        <v>39.542201</v>
      </c>
      <c r="I37" t="n">
        <v>39.345557</v>
      </c>
      <c r="J37" t="n">
        <v>39.345557</v>
      </c>
      <c r="K37" t="n">
        <v>37.378279</v>
      </c>
      <c r="L37" t="n">
        <v>110.883242</v>
      </c>
      <c r="M37" t="n">
        <v>110.883242</v>
      </c>
      <c r="N37" t="n">
        <v>118.086052</v>
      </c>
      <c r="O37" t="n">
        <v>26.876504</v>
      </c>
      <c r="P37" t="n">
        <v>16.79886</v>
      </c>
      <c r="W37" t="n">
        <v>27.610867</v>
      </c>
      <c r="X37" t="n">
        <v>134.234083</v>
      </c>
      <c r="Y37" t="n">
        <v>8.001064</v>
      </c>
      <c r="Z37" t="n">
        <v>14.97557</v>
      </c>
    </row>
    <row r="38" ht="21" customHeight="1">
      <c r="A38" t="inlineStr">
        <is>
          <t>Ariidae</t>
        </is>
      </c>
      <c r="B38" t="n">
        <v>3.48</v>
      </c>
      <c r="C38" t="n">
        <v>301.995172</v>
      </c>
      <c r="D38" s="11" t="inlineStr">
        <is>
          <t>Med.dem.benth.</t>
        </is>
      </c>
      <c r="E38" t="n">
        <v>92.758633</v>
      </c>
      <c r="F38" t="n">
        <v>274.243815</v>
      </c>
      <c r="G38" t="n">
        <v>96.59934699999999</v>
      </c>
      <c r="H38" t="n">
        <v>166.63869</v>
      </c>
      <c r="I38" t="n">
        <v>215.944796</v>
      </c>
      <c r="J38" t="n">
        <v>215.944796</v>
      </c>
      <c r="K38" t="n">
        <v>193.300587</v>
      </c>
      <c r="L38" t="n">
        <v>664.022909</v>
      </c>
      <c r="M38" t="n">
        <v>664.022909</v>
      </c>
      <c r="N38" t="n">
        <v>702.550582</v>
      </c>
      <c r="O38" t="n">
        <v>105.870272</v>
      </c>
      <c r="P38" t="n">
        <v>53.740614</v>
      </c>
      <c r="W38" t="n">
        <v>108.869834</v>
      </c>
      <c r="X38" t="n">
        <v>799.677877</v>
      </c>
      <c r="Y38" t="n">
        <v>37.70608</v>
      </c>
      <c r="Z38" t="n">
        <v>51.4265</v>
      </c>
    </row>
    <row r="39" ht="21" customHeight="1">
      <c r="A39" t="inlineStr">
        <is>
          <t>Scomberomorus</t>
        </is>
      </c>
      <c r="B39" t="n">
        <v>4.35</v>
      </c>
      <c r="C39" t="n">
        <v>2238.721139</v>
      </c>
      <c r="D39" s="11" t="inlineStr">
        <is>
          <t>Scomberomorus</t>
        </is>
      </c>
      <c r="E39" t="n">
        <v>92.758633</v>
      </c>
      <c r="F39" t="n">
        <v>729.447588</v>
      </c>
      <c r="G39" t="n">
        <v>214.222773</v>
      </c>
      <c r="H39" t="n">
        <v>444.290446</v>
      </c>
      <c r="I39" t="n">
        <v>234.170666</v>
      </c>
      <c r="J39" t="n">
        <v>234.170666</v>
      </c>
      <c r="K39" t="n">
        <v>222.462132</v>
      </c>
      <c r="L39" t="n">
        <v>510.434635</v>
      </c>
      <c r="M39" t="n">
        <v>510.434635</v>
      </c>
      <c r="N39" t="n">
        <v>537.808771</v>
      </c>
      <c r="O39" t="n">
        <v>191.217924</v>
      </c>
      <c r="P39" t="n">
        <v>85.80764499999999</v>
      </c>
      <c r="W39" t="n">
        <v>201.393966</v>
      </c>
      <c r="X39" t="n">
        <v>601.019559</v>
      </c>
      <c r="Y39" t="n">
        <v>70.97555</v>
      </c>
      <c r="Z39" t="n">
        <v>108.592819</v>
      </c>
    </row>
    <row r="40" ht="21" customHeight="1">
      <c r="A40" t="inlineStr">
        <is>
          <t>Priacanthidae</t>
        </is>
      </c>
      <c r="B40" t="n">
        <v>3.79</v>
      </c>
      <c r="C40" t="n">
        <v>616.595002</v>
      </c>
      <c r="D40" s="11" t="inlineStr">
        <is>
          <t>Sm.dem.pisc.</t>
        </is>
      </c>
      <c r="E40" t="n">
        <v>92.758633</v>
      </c>
      <c r="F40" t="n">
        <v>197.409669</v>
      </c>
      <c r="G40" t="n">
        <v>73.916488</v>
      </c>
      <c r="H40" t="n">
        <v>154.823545</v>
      </c>
      <c r="I40" t="n">
        <v>115.690597</v>
      </c>
      <c r="J40" t="n">
        <v>115.690597</v>
      </c>
      <c r="K40" t="n">
        <v>113.409335</v>
      </c>
      <c r="L40" t="n">
        <v>329.659655</v>
      </c>
      <c r="M40" t="n">
        <v>329.659655</v>
      </c>
      <c r="N40" t="n">
        <v>349.391819</v>
      </c>
      <c r="O40" t="n">
        <v>73.656982</v>
      </c>
      <c r="P40" t="n">
        <v>38.008692</v>
      </c>
      <c r="W40" t="n">
        <v>76.063031</v>
      </c>
      <c r="X40" t="n">
        <v>403.967718</v>
      </c>
      <c r="Y40" t="n">
        <v>30.486142</v>
      </c>
      <c r="Z40" t="n">
        <v>45.747918</v>
      </c>
    </row>
    <row r="41" ht="21" customHeight="1">
      <c r="A41" t="inlineStr">
        <is>
          <t>Octopodidae</t>
        </is>
      </c>
      <c r="B41" t="n">
        <v>3.59</v>
      </c>
      <c r="C41" t="n">
        <v>389.045145</v>
      </c>
      <c r="D41" s="11" t="inlineStr">
        <is>
          <t>Cephalopods</t>
        </is>
      </c>
      <c r="E41" t="n">
        <v>92.758633</v>
      </c>
      <c r="F41" t="n">
        <v>207.108363</v>
      </c>
      <c r="G41" t="n">
        <v>76.859779</v>
      </c>
      <c r="H41" t="n">
        <v>153.276012</v>
      </c>
      <c r="I41" t="n">
        <v>121.77284</v>
      </c>
      <c r="J41" t="n">
        <v>121.77284</v>
      </c>
      <c r="K41" t="n">
        <v>118.23963</v>
      </c>
      <c r="L41" t="n">
        <v>349.557692</v>
      </c>
      <c r="M41" t="n">
        <v>349.557692</v>
      </c>
      <c r="N41" t="n">
        <v>370.254323</v>
      </c>
      <c r="O41" t="n">
        <v>98.097358</v>
      </c>
      <c r="P41" t="n">
        <v>49.643681</v>
      </c>
      <c r="W41" t="n">
        <v>100.957994</v>
      </c>
      <c r="X41" t="n">
        <v>407.059034</v>
      </c>
      <c r="Y41" t="n">
        <v>31.446324</v>
      </c>
      <c r="Z41" t="n">
        <v>45.753688</v>
      </c>
    </row>
    <row r="42" ht="21" customHeight="1">
      <c r="A42" t="inlineStr">
        <is>
          <t>Clupeidae</t>
        </is>
      </c>
      <c r="B42" t="n">
        <v>3.16</v>
      </c>
      <c r="C42" t="n">
        <v>144.543977</v>
      </c>
      <c r="D42" s="11" t="inlineStr">
        <is>
          <t>Sm. pelagics</t>
        </is>
      </c>
      <c r="E42" t="n">
        <v>92.758633</v>
      </c>
      <c r="F42" t="n">
        <v>79.432823</v>
      </c>
      <c r="G42" t="n">
        <v>35.22555</v>
      </c>
      <c r="H42" t="n">
        <v>36.979496</v>
      </c>
      <c r="I42" t="n">
        <v>22.609246</v>
      </c>
      <c r="J42" t="n">
        <v>22.609246</v>
      </c>
      <c r="K42" t="n">
        <v>21.478784</v>
      </c>
      <c r="L42" t="n">
        <v>30.239099</v>
      </c>
      <c r="M42" t="n">
        <v>30.239099</v>
      </c>
      <c r="N42" t="n">
        <v>31.345103</v>
      </c>
      <c r="O42" t="n">
        <v>25.592867</v>
      </c>
      <c r="P42" t="n">
        <v>15.901406</v>
      </c>
      <c r="W42" t="n">
        <v>26.701358</v>
      </c>
      <c r="X42" t="n">
        <v>32.392065</v>
      </c>
      <c r="Y42" t="n">
        <v>16.922772</v>
      </c>
      <c r="Z42" t="n">
        <v>17.234838</v>
      </c>
    </row>
    <row r="43" ht="21" customHeight="1">
      <c r="A43" t="inlineStr">
        <is>
          <t>Sergestidae</t>
        </is>
      </c>
      <c r="B43" t="n">
        <v>2.93</v>
      </c>
      <c r="C43" t="n">
        <v>85.113804</v>
      </c>
      <c r="D43" s="11" t="inlineStr">
        <is>
          <t>Shrimps</t>
        </is>
      </c>
      <c r="E43" t="n">
        <v>92.758633</v>
      </c>
      <c r="F43" t="n">
        <v>24.936879</v>
      </c>
      <c r="G43" t="n">
        <v>13.715732</v>
      </c>
      <c r="H43" t="n">
        <v>39.542201</v>
      </c>
      <c r="I43" t="n">
        <v>39.345557</v>
      </c>
      <c r="J43" t="n">
        <v>39.345557</v>
      </c>
      <c r="K43" t="n">
        <v>37.378279</v>
      </c>
      <c r="L43" t="n">
        <v>110.883242</v>
      </c>
      <c r="M43" t="n">
        <v>110.883242</v>
      </c>
      <c r="N43" t="n">
        <v>118.086052</v>
      </c>
      <c r="O43" t="n">
        <v>26.876504</v>
      </c>
      <c r="P43" t="n">
        <v>16.79886</v>
      </c>
      <c r="W43" t="n">
        <v>27.610867</v>
      </c>
      <c r="X43" t="n">
        <v>134.234083</v>
      </c>
      <c r="Y43" t="n">
        <v>8.001064</v>
      </c>
      <c r="Z43" t="n">
        <v>14.97557</v>
      </c>
    </row>
    <row r="44" ht="21" customHeight="1">
      <c r="A44" t="inlineStr">
        <is>
          <t>Alepes</t>
        </is>
      </c>
      <c r="B44" t="n">
        <v>3.32</v>
      </c>
      <c r="C44" t="n">
        <v>208.929613</v>
      </c>
      <c r="D44" s="11" t="inlineStr">
        <is>
          <t>Scad</t>
        </is>
      </c>
      <c r="E44" t="n">
        <v>92.758633</v>
      </c>
      <c r="F44" t="n">
        <v>301.410165</v>
      </c>
      <c r="G44" t="n">
        <v>104.320796</v>
      </c>
      <c r="H44" t="n">
        <v>168.748505</v>
      </c>
      <c r="I44" t="n">
        <v>90.39104399999999</v>
      </c>
      <c r="J44" t="n">
        <v>90.39104399999999</v>
      </c>
      <c r="K44" t="n">
        <v>85.87149100000001</v>
      </c>
      <c r="L44" t="n">
        <v>191.130934</v>
      </c>
      <c r="M44" t="n">
        <v>191.130934</v>
      </c>
      <c r="N44" t="n">
        <v>201.174951</v>
      </c>
      <c r="O44" t="n">
        <v>76.25161799999999</v>
      </c>
      <c r="P44" t="n">
        <v>39.003755</v>
      </c>
      <c r="W44" t="n">
        <v>79.580185</v>
      </c>
      <c r="X44" t="n">
        <v>220.35084</v>
      </c>
      <c r="Y44" t="n">
        <v>40.080591</v>
      </c>
      <c r="Z44" t="n">
        <v>53.018386</v>
      </c>
    </row>
    <row r="45" ht="21" customHeight="1">
      <c r="A45" t="inlineStr">
        <is>
          <t>Selar crumenophthalmus</t>
        </is>
      </c>
      <c r="B45" t="n">
        <v>3.81</v>
      </c>
      <c r="C45" t="n">
        <v>645.654229</v>
      </c>
      <c r="D45" s="11" t="inlineStr">
        <is>
          <t>Scad</t>
        </is>
      </c>
      <c r="E45" t="n">
        <v>92.758633</v>
      </c>
      <c r="F45" t="n">
        <v>301.410165</v>
      </c>
      <c r="G45" t="n">
        <v>104.320796</v>
      </c>
      <c r="H45" t="n">
        <v>168.748505</v>
      </c>
      <c r="I45" t="n">
        <v>90.39104399999999</v>
      </c>
      <c r="J45" t="n">
        <v>90.39104399999999</v>
      </c>
      <c r="K45" t="n">
        <v>85.87149100000001</v>
      </c>
      <c r="L45" t="n">
        <v>191.130934</v>
      </c>
      <c r="M45" t="n">
        <v>191.130934</v>
      </c>
      <c r="N45" t="n">
        <v>201.174951</v>
      </c>
      <c r="O45" t="n">
        <v>76.25161799999999</v>
      </c>
      <c r="P45" t="n">
        <v>39.003755</v>
      </c>
      <c r="W45" t="n">
        <v>79.580185</v>
      </c>
      <c r="X45" t="n">
        <v>220.35084</v>
      </c>
      <c r="Y45" t="n">
        <v>40.080591</v>
      </c>
      <c r="Z45" t="n">
        <v>53.018386</v>
      </c>
    </row>
    <row r="46" ht="21" customHeight="1">
      <c r="A46" t="inlineStr">
        <is>
          <t>Penaeus merguiensis</t>
        </is>
      </c>
      <c r="B46" t="n">
        <v>3.77</v>
      </c>
      <c r="C46" t="n">
        <v>588.843655</v>
      </c>
      <c r="D46" s="11" t="inlineStr">
        <is>
          <t>Shrimps</t>
        </is>
      </c>
      <c r="E46" t="n">
        <v>92.758633</v>
      </c>
      <c r="F46" t="n">
        <v>24.936879</v>
      </c>
      <c r="G46" t="n">
        <v>13.715732</v>
      </c>
      <c r="H46" t="n">
        <v>39.542201</v>
      </c>
      <c r="I46" t="n">
        <v>39.345557</v>
      </c>
      <c r="J46" t="n">
        <v>39.345557</v>
      </c>
      <c r="K46" t="n">
        <v>37.378279</v>
      </c>
      <c r="L46" t="n">
        <v>110.883242</v>
      </c>
      <c r="M46" t="n">
        <v>110.883242</v>
      </c>
      <c r="N46" t="n">
        <v>118.086052</v>
      </c>
      <c r="O46" t="n">
        <v>26.876504</v>
      </c>
      <c r="P46" t="n">
        <v>16.79886</v>
      </c>
      <c r="W46" t="n">
        <v>27.610867</v>
      </c>
      <c r="X46" t="n">
        <v>134.234083</v>
      </c>
      <c r="Y46" t="n">
        <v>8.001064</v>
      </c>
      <c r="Z46" t="n">
        <v>14.97557</v>
      </c>
    </row>
    <row r="47" ht="21" customHeight="1">
      <c r="A47" t="inlineStr">
        <is>
          <t>Metapenaeus</t>
        </is>
      </c>
      <c r="B47" t="n">
        <v>2.7</v>
      </c>
      <c r="C47" t="n">
        <v>50.118723</v>
      </c>
      <c r="D47" s="11" t="inlineStr">
        <is>
          <t>Shrimps</t>
        </is>
      </c>
      <c r="E47" t="n">
        <v>92.758633</v>
      </c>
      <c r="F47" t="n">
        <v>24.936879</v>
      </c>
      <c r="G47" t="n">
        <v>13.715732</v>
      </c>
      <c r="H47" t="n">
        <v>39.542201</v>
      </c>
      <c r="I47" t="n">
        <v>39.345557</v>
      </c>
      <c r="J47" t="n">
        <v>39.345557</v>
      </c>
      <c r="K47" t="n">
        <v>37.378279</v>
      </c>
      <c r="L47" t="n">
        <v>110.883242</v>
      </c>
      <c r="M47" t="n">
        <v>110.883242</v>
      </c>
      <c r="N47" t="n">
        <v>118.086052</v>
      </c>
      <c r="O47" t="n">
        <v>26.876504</v>
      </c>
      <c r="P47" t="n">
        <v>16.79886</v>
      </c>
      <c r="W47" t="n">
        <v>27.610867</v>
      </c>
      <c r="X47" t="n">
        <v>134.234083</v>
      </c>
      <c r="Y47" t="n">
        <v>8.001064</v>
      </c>
      <c r="Z47" t="n">
        <v>14.97557</v>
      </c>
    </row>
    <row r="48" ht="21" customHeight="1">
      <c r="A48" t="inlineStr">
        <is>
          <t>Apogonidae</t>
        </is>
      </c>
      <c r="B48" t="n">
        <v>3.54</v>
      </c>
      <c r="C48" t="n">
        <v>346.73685</v>
      </c>
      <c r="D48" s="11" t="inlineStr">
        <is>
          <t>Sm.dem.benth.</t>
        </is>
      </c>
      <c r="E48" t="n">
        <v>92.758633</v>
      </c>
      <c r="F48" t="n">
        <v>135.946622</v>
      </c>
      <c r="G48" t="n">
        <v>54.557109</v>
      </c>
      <c r="H48" t="n">
        <v>104.458273</v>
      </c>
      <c r="I48" t="n">
        <v>106.771533</v>
      </c>
      <c r="J48" t="n">
        <v>106.771533</v>
      </c>
      <c r="K48" t="n">
        <v>89.978955</v>
      </c>
      <c r="L48" t="n">
        <v>308.045854</v>
      </c>
      <c r="M48" t="n">
        <v>308.045854</v>
      </c>
      <c r="N48" t="n">
        <v>325.959633</v>
      </c>
      <c r="O48" t="n">
        <v>56.685005</v>
      </c>
      <c r="P48" t="n">
        <v>30.438514</v>
      </c>
      <c r="W48" t="n">
        <v>58.087916</v>
      </c>
      <c r="X48" t="n">
        <v>369.109424</v>
      </c>
      <c r="Y48" t="n">
        <v>23.952956</v>
      </c>
      <c r="Z48" t="n">
        <v>34.558123</v>
      </c>
    </row>
    <row r="49" ht="21" customHeight="1">
      <c r="A49" t="inlineStr">
        <is>
          <t>Mollusca</t>
        </is>
      </c>
      <c r="B49" t="n">
        <v>2.1</v>
      </c>
      <c r="C49" t="n">
        <v>12.589254</v>
      </c>
      <c r="D49" s="11" t="inlineStr">
        <is>
          <t>Molluscs | Cephalopods</t>
        </is>
      </c>
      <c r="E49" t="n">
        <v>92.758633</v>
      </c>
      <c r="F49" t="n">
        <v>128.198835</v>
      </c>
      <c r="G49" t="n">
        <v>49.061723</v>
      </c>
      <c r="H49" t="n">
        <v>95.51975</v>
      </c>
      <c r="I49" t="n">
        <v>75.146252</v>
      </c>
      <c r="J49" t="n">
        <v>75.146252</v>
      </c>
      <c r="K49" t="n">
        <v>72.70934200000001</v>
      </c>
      <c r="L49" t="n">
        <v>209.690372</v>
      </c>
      <c r="M49" t="n">
        <v>209.690372</v>
      </c>
      <c r="N49" t="n">
        <v>221.955054</v>
      </c>
      <c r="O49" t="n">
        <v>61.254534</v>
      </c>
      <c r="P49" t="n">
        <v>31.646534</v>
      </c>
      <c r="W49" t="n">
        <v>62.996562</v>
      </c>
      <c r="X49" t="n">
        <v>243.718075</v>
      </c>
      <c r="Y49" t="n">
        <v>20.934787</v>
      </c>
      <c r="Z49" t="n">
        <v>29.878948</v>
      </c>
    </row>
    <row r="50" ht="21" customHeight="1">
      <c r="A50" t="inlineStr">
        <is>
          <t>Trichiurus lepturus</t>
        </is>
      </c>
      <c r="B50" t="n">
        <v>4.42</v>
      </c>
      <c r="C50" t="n">
        <v>2630.267992</v>
      </c>
      <c r="D50" s="11" t="inlineStr">
        <is>
          <t>Juv.Lg.Pisciv. | Lg. piscivores</t>
        </is>
      </c>
      <c r="E50" t="n">
        <v>92.758633</v>
      </c>
      <c r="F50" t="n">
        <v>629.8141419999999</v>
      </c>
      <c r="G50" t="n">
        <v>190.080993</v>
      </c>
      <c r="H50" t="n">
        <v>480.632956</v>
      </c>
      <c r="I50" t="n">
        <v>315.097689</v>
      </c>
      <c r="J50" t="n">
        <v>315.097689</v>
      </c>
      <c r="K50" t="n">
        <v>292.632358</v>
      </c>
      <c r="L50" t="n">
        <v>806.383997</v>
      </c>
      <c r="M50" t="n">
        <v>806.383997</v>
      </c>
      <c r="N50" t="n">
        <v>851.766221</v>
      </c>
      <c r="O50" t="n">
        <v>204.799662</v>
      </c>
      <c r="P50" t="n">
        <v>89.620936</v>
      </c>
      <c r="W50" t="n">
        <v>213.690011</v>
      </c>
      <c r="X50" t="n">
        <v>962.931199</v>
      </c>
      <c r="Y50" t="n">
        <v>64.546074</v>
      </c>
      <c r="Z50" t="n">
        <v>110.616316</v>
      </c>
    </row>
    <row r="51" ht="21" customHeight="1">
      <c r="A51" t="inlineStr">
        <is>
          <t>Euthynnus affinis</t>
        </is>
      </c>
      <c r="B51" t="n">
        <v>4.5</v>
      </c>
      <c r="C51" t="n">
        <v>3162.27766</v>
      </c>
      <c r="D51" s="11" t="inlineStr">
        <is>
          <t>Tuna</t>
        </is>
      </c>
      <c r="E51" t="n">
        <v>92.758633</v>
      </c>
      <c r="F51" t="n">
        <v>1217.891849</v>
      </c>
      <c r="G51" t="n">
        <v>325.165267</v>
      </c>
      <c r="H51" t="n">
        <v>703.930824</v>
      </c>
      <c r="I51" t="n">
        <v>327.693492</v>
      </c>
      <c r="J51" t="n">
        <v>327.693492</v>
      </c>
      <c r="K51" t="n">
        <v>311.308817</v>
      </c>
      <c r="L51" t="n">
        <v>675.870038</v>
      </c>
      <c r="M51" t="n">
        <v>675.870038</v>
      </c>
      <c r="N51" t="n">
        <v>710.633419</v>
      </c>
      <c r="O51" t="n">
        <v>254.942405</v>
      </c>
      <c r="P51" t="n">
        <v>107.862693</v>
      </c>
      <c r="W51" t="n">
        <v>271.503704</v>
      </c>
      <c r="X51" t="n">
        <v>791.598393</v>
      </c>
      <c r="Y51" t="n">
        <v>98.86518</v>
      </c>
      <c r="Z51" t="n">
        <v>153.001145</v>
      </c>
    </row>
    <row r="52" ht="21" customHeight="1">
      <c r="A52" t="inlineStr">
        <is>
          <t>Mullidae</t>
        </is>
      </c>
      <c r="B52" t="n">
        <v>3.46</v>
      </c>
      <c r="C52" t="n">
        <v>288.40315</v>
      </c>
      <c r="D52" s="11" t="inlineStr">
        <is>
          <t>Med.dem.benth.</t>
        </is>
      </c>
      <c r="E52" t="n">
        <v>92.758633</v>
      </c>
      <c r="F52" t="n">
        <v>274.243815</v>
      </c>
      <c r="G52" t="n">
        <v>96.59934699999999</v>
      </c>
      <c r="H52" t="n">
        <v>166.63869</v>
      </c>
      <c r="I52" t="n">
        <v>215.944796</v>
      </c>
      <c r="J52" t="n">
        <v>215.944796</v>
      </c>
      <c r="K52" t="n">
        <v>193.300587</v>
      </c>
      <c r="L52" t="n">
        <v>664.022909</v>
      </c>
      <c r="M52" t="n">
        <v>664.022909</v>
      </c>
      <c r="N52" t="n">
        <v>702.550582</v>
      </c>
      <c r="O52" t="n">
        <v>105.870272</v>
      </c>
      <c r="P52" t="n">
        <v>53.740614</v>
      </c>
      <c r="W52" t="n">
        <v>108.869834</v>
      </c>
      <c r="X52" t="n">
        <v>799.677877</v>
      </c>
      <c r="Y52" t="n">
        <v>37.70608</v>
      </c>
      <c r="Z52" t="n">
        <v>51.4265</v>
      </c>
    </row>
    <row r="53" ht="21" customHeight="1">
      <c r="A53" t="inlineStr">
        <is>
          <t>Batoidea</t>
        </is>
      </c>
      <c r="B53" t="n">
        <v>3.72</v>
      </c>
      <c r="C53" t="n">
        <v>524.80746</v>
      </c>
      <c r="D53" s="11" t="inlineStr">
        <is>
          <t>Rays</t>
        </is>
      </c>
      <c r="E53" t="n">
        <v>92.758633</v>
      </c>
      <c r="F53" t="n">
        <v>212.350179</v>
      </c>
      <c r="G53" t="n">
        <v>78.43981700000001</v>
      </c>
      <c r="H53" t="n">
        <v>150.198585</v>
      </c>
      <c r="I53" t="n">
        <v>190.421399</v>
      </c>
      <c r="J53" t="n">
        <v>190.421399</v>
      </c>
      <c r="K53" t="n">
        <v>181.353722</v>
      </c>
      <c r="L53" t="n">
        <v>590.0073</v>
      </c>
      <c r="M53" t="n">
        <v>590.0073</v>
      </c>
      <c r="N53" t="n">
        <v>624.45599</v>
      </c>
      <c r="O53" t="n">
        <v>98.99208</v>
      </c>
      <c r="P53" t="n">
        <v>50.910468</v>
      </c>
      <c r="W53" t="n">
        <v>103.810463</v>
      </c>
      <c r="X53" t="n">
        <v>714.522996</v>
      </c>
      <c r="Y53" t="n">
        <v>31.958644</v>
      </c>
      <c r="Z53" t="n">
        <v>47.110524</v>
      </c>
    </row>
    <row r="54" ht="21" customHeight="1">
      <c r="A54" t="inlineStr">
        <is>
          <t>Sphyraena</t>
        </is>
      </c>
      <c r="B54" t="n">
        <v>4.4</v>
      </c>
      <c r="C54" t="n">
        <v>2511.886432</v>
      </c>
      <c r="D54" s="11" t="inlineStr">
        <is>
          <t>Juv.Lg.Pisciv. | Lg. piscivores</t>
        </is>
      </c>
      <c r="E54" t="n">
        <v>92.758633</v>
      </c>
      <c r="F54" t="n">
        <v>629.8141419999999</v>
      </c>
      <c r="G54" t="n">
        <v>190.080993</v>
      </c>
      <c r="H54" t="n">
        <v>480.632956</v>
      </c>
      <c r="I54" t="n">
        <v>315.097689</v>
      </c>
      <c r="J54" t="n">
        <v>315.097689</v>
      </c>
      <c r="K54" t="n">
        <v>292.632358</v>
      </c>
      <c r="L54" t="n">
        <v>806.383997</v>
      </c>
      <c r="M54" t="n">
        <v>806.383997</v>
      </c>
      <c r="N54" t="n">
        <v>851.766221</v>
      </c>
      <c r="O54" t="n">
        <v>204.799662</v>
      </c>
      <c r="P54" t="n">
        <v>89.620936</v>
      </c>
      <c r="W54" t="n">
        <v>213.690011</v>
      </c>
      <c r="X54" t="n">
        <v>962.931199</v>
      </c>
      <c r="Y54" t="n">
        <v>64.546074</v>
      </c>
      <c r="Z54" t="n">
        <v>110.616316</v>
      </c>
    </row>
    <row r="55" ht="21" customHeight="1">
      <c r="A55" t="inlineStr">
        <is>
          <t>Modiolus</t>
        </is>
      </c>
      <c r="B55" t="n">
        <v>2</v>
      </c>
      <c r="C55" t="n">
        <v>10</v>
      </c>
      <c r="D55" s="11" t="inlineStr">
        <is>
          <t>Molluscs</t>
        </is>
      </c>
      <c r="E55" t="n">
        <v>92.758633</v>
      </c>
      <c r="F55" t="n">
        <v>15.848932</v>
      </c>
      <c r="G55" t="n">
        <v>9.483373</v>
      </c>
      <c r="H55" t="n">
        <v>13.28747</v>
      </c>
      <c r="I55" t="n">
        <v>8.760194</v>
      </c>
      <c r="J55" t="n">
        <v>8.760194</v>
      </c>
      <c r="K55" t="n">
        <v>7.884174</v>
      </c>
      <c r="L55" t="n">
        <v>10.549912</v>
      </c>
      <c r="M55" t="n">
        <v>10.549912</v>
      </c>
      <c r="N55" t="n">
        <v>10.809345</v>
      </c>
      <c r="O55" t="n">
        <v>8.798415</v>
      </c>
      <c r="P55" t="n">
        <v>6.022535</v>
      </c>
      <c r="W55" t="n">
        <v>8.947789999999999</v>
      </c>
      <c r="X55" t="n">
        <v>11.156289</v>
      </c>
      <c r="Y55" t="n">
        <v>5.968659</v>
      </c>
      <c r="Z55" t="n">
        <v>7.276791</v>
      </c>
    </row>
    <row r="56" ht="36" customHeight="1">
      <c r="A56" t="inlineStr">
        <is>
          <t>Scombroidei</t>
        </is>
      </c>
      <c r="B56" t="n">
        <v>4.2</v>
      </c>
      <c r="C56" t="n">
        <v>1584.893192</v>
      </c>
      <c r="D56" s="11" t="inlineStr">
        <is>
          <t>Juv.Lg.Pisciv. | Lg. piscivores | Mackerel | Scomberomorus | Tuna</t>
        </is>
      </c>
      <c r="E56" t="n">
        <v>92.758633</v>
      </c>
      <c r="F56" t="n">
        <v>382.657039</v>
      </c>
      <c r="G56" t="n">
        <v>116.554337</v>
      </c>
      <c r="H56" t="n">
        <v>238.234382</v>
      </c>
      <c r="I56" t="n">
        <v>132.801846</v>
      </c>
      <c r="J56" t="n">
        <v>132.801846</v>
      </c>
      <c r="K56" t="n">
        <v>125.032654</v>
      </c>
      <c r="L56" t="n">
        <v>293.821966</v>
      </c>
      <c r="M56" t="n">
        <v>293.821966</v>
      </c>
      <c r="N56" t="n">
        <v>309.460675</v>
      </c>
      <c r="O56" t="n">
        <v>102.386435</v>
      </c>
      <c r="P56" t="n">
        <v>47.431086</v>
      </c>
      <c r="W56" t="n">
        <v>107.67973</v>
      </c>
      <c r="X56" t="n">
        <v>345.739357</v>
      </c>
      <c r="Y56" t="n">
        <v>40.977681</v>
      </c>
      <c r="Z56" t="n">
        <v>59.744711</v>
      </c>
    </row>
    <row r="57" ht="21" customHeight="1">
      <c r="A57" t="inlineStr">
        <is>
          <t>Lutjanidae</t>
        </is>
      </c>
      <c r="B57" t="n">
        <v>4.02</v>
      </c>
      <c r="C57" t="n">
        <v>1047.128548</v>
      </c>
      <c r="D57" s="11" t="inlineStr">
        <is>
          <t>Grouper/snapper | Juv. groupers</t>
        </is>
      </c>
      <c r="E57" t="n">
        <v>92.758633</v>
      </c>
      <c r="F57" t="n">
        <v>729.665396</v>
      </c>
      <c r="G57" t="n">
        <v>214.274848</v>
      </c>
      <c r="H57" t="n">
        <v>601.521613</v>
      </c>
      <c r="I57" t="n">
        <v>458.291515</v>
      </c>
      <c r="J57" t="n">
        <v>458.291515</v>
      </c>
      <c r="K57" t="n">
        <v>404.883308</v>
      </c>
      <c r="L57" t="n">
        <v>1297.204135</v>
      </c>
      <c r="M57" t="n">
        <v>1297.204135</v>
      </c>
      <c r="N57" t="n">
        <v>1373.024947</v>
      </c>
      <c r="O57" t="n">
        <v>262.162033</v>
      </c>
      <c r="P57" t="n">
        <v>111.742313</v>
      </c>
      <c r="W57" t="n">
        <v>273.908931</v>
      </c>
      <c r="X57" t="n">
        <v>1584.887607</v>
      </c>
      <c r="Y57" t="n">
        <v>70.98925199999999</v>
      </c>
      <c r="Z57" t="n">
        <v>131.686727</v>
      </c>
    </row>
    <row r="58" ht="21" customHeight="1">
      <c r="A58" t="inlineStr">
        <is>
          <t>Saurida tumbil</t>
        </is>
      </c>
      <c r="B58" t="n">
        <v>4.4</v>
      </c>
      <c r="C58" t="n">
        <v>2511.886432</v>
      </c>
      <c r="D58" s="11" t="inlineStr">
        <is>
          <t>Med.dem.pisc.</t>
        </is>
      </c>
      <c r="E58" t="n">
        <v>92.758633</v>
      </c>
      <c r="F58" t="n">
        <v>213.954708</v>
      </c>
      <c r="G58" t="n">
        <v>78.922014</v>
      </c>
      <c r="H58" t="n">
        <v>192.983472</v>
      </c>
      <c r="I58" t="n">
        <v>158.091504</v>
      </c>
      <c r="J58" t="n">
        <v>158.091504</v>
      </c>
      <c r="K58" t="n">
        <v>155.980707</v>
      </c>
      <c r="L58" t="n">
        <v>445.224589</v>
      </c>
      <c r="M58" t="n">
        <v>445.224589</v>
      </c>
      <c r="N58" t="n">
        <v>471.516338</v>
      </c>
      <c r="O58" t="n">
        <v>104.595857</v>
      </c>
      <c r="P58" t="n">
        <v>51.592439</v>
      </c>
      <c r="W58" t="n">
        <v>108.487387</v>
      </c>
      <c r="X58" t="n">
        <v>535.009173</v>
      </c>
      <c r="Y58" t="n">
        <v>32.114569</v>
      </c>
      <c r="Z58" t="n">
        <v>52.467555</v>
      </c>
    </row>
    <row r="59" ht="21" customHeight="1">
      <c r="A59" t="inlineStr">
        <is>
          <t>Scolopsis</t>
        </is>
      </c>
      <c r="B59" t="n">
        <v>3.3</v>
      </c>
      <c r="C59" t="n">
        <v>199.526231</v>
      </c>
      <c r="D59" s="11" t="inlineStr">
        <is>
          <t>Med.dem.benth.</t>
        </is>
      </c>
      <c r="E59" t="n">
        <v>92.758633</v>
      </c>
      <c r="F59" t="n">
        <v>274.243815</v>
      </c>
      <c r="G59" t="n">
        <v>96.59934699999999</v>
      </c>
      <c r="H59" t="n">
        <v>166.63869</v>
      </c>
      <c r="I59" t="n">
        <v>215.944796</v>
      </c>
      <c r="J59" t="n">
        <v>215.944796</v>
      </c>
      <c r="K59" t="n">
        <v>193.300587</v>
      </c>
      <c r="L59" t="n">
        <v>664.022909</v>
      </c>
      <c r="M59" t="n">
        <v>664.022909</v>
      </c>
      <c r="N59" t="n">
        <v>702.550582</v>
      </c>
      <c r="O59" t="n">
        <v>105.870272</v>
      </c>
      <c r="P59" t="n">
        <v>53.740614</v>
      </c>
      <c r="W59" t="n">
        <v>108.869834</v>
      </c>
      <c r="X59" t="n">
        <v>799.677877</v>
      </c>
      <c r="Y59" t="n">
        <v>37.70608</v>
      </c>
      <c r="Z59" t="n">
        <v>51.4265</v>
      </c>
    </row>
    <row r="60" ht="21" customHeight="1">
      <c r="A60" t="inlineStr">
        <is>
          <t>Sepia</t>
        </is>
      </c>
      <c r="B60" t="n">
        <v>3.69</v>
      </c>
      <c r="C60" t="n">
        <v>489.778819</v>
      </c>
      <c r="D60" s="11" t="inlineStr">
        <is>
          <t>Cephalopods</t>
        </is>
      </c>
      <c r="E60" t="n">
        <v>92.758633</v>
      </c>
      <c r="F60" t="n">
        <v>207.108363</v>
      </c>
      <c r="G60" t="n">
        <v>76.859779</v>
      </c>
      <c r="H60" t="n">
        <v>153.276012</v>
      </c>
      <c r="I60" t="n">
        <v>121.77284</v>
      </c>
      <c r="J60" t="n">
        <v>121.77284</v>
      </c>
      <c r="K60" t="n">
        <v>118.23963</v>
      </c>
      <c r="L60" t="n">
        <v>349.557692</v>
      </c>
      <c r="M60" t="n">
        <v>349.557692</v>
      </c>
      <c r="N60" t="n">
        <v>370.254323</v>
      </c>
      <c r="O60" t="n">
        <v>98.097358</v>
      </c>
      <c r="P60" t="n">
        <v>49.643681</v>
      </c>
      <c r="W60" t="n">
        <v>100.957994</v>
      </c>
      <c r="X60" t="n">
        <v>407.059034</v>
      </c>
      <c r="Y60" t="n">
        <v>31.446324</v>
      </c>
      <c r="Z60" t="n">
        <v>45.753688</v>
      </c>
    </row>
    <row r="61" ht="21" customHeight="1">
      <c r="A61" t="inlineStr">
        <is>
          <t>Portunus</t>
        </is>
      </c>
      <c r="B61" t="n">
        <v>3.26</v>
      </c>
      <c r="C61" t="n">
        <v>181.970086</v>
      </c>
      <c r="D61" s="11" t="inlineStr">
        <is>
          <t>Crab, lobster</t>
        </is>
      </c>
      <c r="E61" t="n">
        <v>92.758633</v>
      </c>
      <c r="F61" t="n">
        <v>55.221127</v>
      </c>
      <c r="G61" t="n">
        <v>26.200528</v>
      </c>
      <c r="H61" t="n">
        <v>80.616586</v>
      </c>
      <c r="I61" t="n">
        <v>96.283275</v>
      </c>
      <c r="J61" t="n">
        <v>96.283275</v>
      </c>
      <c r="K61" t="n">
        <v>82.59048</v>
      </c>
      <c r="L61" t="n">
        <v>295.897518</v>
      </c>
      <c r="M61" t="n">
        <v>295.897518</v>
      </c>
      <c r="N61" t="n">
        <v>313.590452</v>
      </c>
      <c r="O61" t="n">
        <v>47.292261</v>
      </c>
      <c r="P61" t="n">
        <v>26.133043</v>
      </c>
      <c r="W61" t="n">
        <v>48.215972</v>
      </c>
      <c r="X61" t="n">
        <v>354.467589</v>
      </c>
      <c r="Y61" t="n">
        <v>13.377731</v>
      </c>
      <c r="Z61" t="n">
        <v>27.235027</v>
      </c>
    </row>
    <row r="62" ht="21" customHeight="1">
      <c r="A62" t="inlineStr">
        <is>
          <t>Parastromateus niger</t>
        </is>
      </c>
      <c r="B62" t="n">
        <v>2.93</v>
      </c>
      <c r="C62" t="n">
        <v>85.113804</v>
      </c>
      <c r="D62" s="11" t="inlineStr">
        <is>
          <t>Med.dem.benth.</t>
        </is>
      </c>
      <c r="E62" t="n">
        <v>92.758633</v>
      </c>
      <c r="F62" t="n">
        <v>274.243815</v>
      </c>
      <c r="G62" t="n">
        <v>96.59934699999999</v>
      </c>
      <c r="H62" t="n">
        <v>166.63869</v>
      </c>
      <c r="I62" t="n">
        <v>215.944796</v>
      </c>
      <c r="J62" t="n">
        <v>215.944796</v>
      </c>
      <c r="K62" t="n">
        <v>193.300587</v>
      </c>
      <c r="L62" t="n">
        <v>664.022909</v>
      </c>
      <c r="M62" t="n">
        <v>664.022909</v>
      </c>
      <c r="N62" t="n">
        <v>702.550582</v>
      </c>
      <c r="O62" t="n">
        <v>105.870272</v>
      </c>
      <c r="P62" t="n">
        <v>53.740614</v>
      </c>
      <c r="W62" t="n">
        <v>108.869834</v>
      </c>
      <c r="X62" t="n">
        <v>799.677877</v>
      </c>
      <c r="Y62" t="n">
        <v>37.70608</v>
      </c>
      <c r="Z62" t="n">
        <v>51.4265</v>
      </c>
    </row>
    <row r="63" ht="21" customHeight="1">
      <c r="A63" t="inlineStr">
        <is>
          <t>Himantura</t>
        </is>
      </c>
      <c r="B63" t="n">
        <v>3.85</v>
      </c>
      <c r="C63" t="n">
        <v>707.945784</v>
      </c>
      <c r="D63" s="11" t="inlineStr">
        <is>
          <t>Rays</t>
        </is>
      </c>
      <c r="E63" t="n">
        <v>92.758633</v>
      </c>
      <c r="F63" t="n">
        <v>212.350179</v>
      </c>
      <c r="G63" t="n">
        <v>78.43981700000001</v>
      </c>
      <c r="H63" t="n">
        <v>150.198585</v>
      </c>
      <c r="I63" t="n">
        <v>190.421399</v>
      </c>
      <c r="J63" t="n">
        <v>190.421399</v>
      </c>
      <c r="K63" t="n">
        <v>181.353722</v>
      </c>
      <c r="L63" t="n">
        <v>590.0073</v>
      </c>
      <c r="M63" t="n">
        <v>590.0073</v>
      </c>
      <c r="N63" t="n">
        <v>624.45599</v>
      </c>
      <c r="O63" t="n">
        <v>98.99208</v>
      </c>
      <c r="P63" t="n">
        <v>50.910468</v>
      </c>
      <c r="W63" t="n">
        <v>103.810463</v>
      </c>
      <c r="X63" t="n">
        <v>714.522996</v>
      </c>
      <c r="Y63" t="n">
        <v>31.958644</v>
      </c>
      <c r="Z63" t="n">
        <v>47.110524</v>
      </c>
    </row>
    <row r="64" ht="21" customHeight="1">
      <c r="A64" t="inlineStr">
        <is>
          <t>Acetes</t>
        </is>
      </c>
      <c r="B64" t="n">
        <v>2.7</v>
      </c>
      <c r="C64" t="n">
        <v>50.118723</v>
      </c>
      <c r="D64" s="11" t="inlineStr">
        <is>
          <t>Shrimps</t>
        </is>
      </c>
      <c r="E64" t="n">
        <v>92.758633</v>
      </c>
      <c r="F64" t="n">
        <v>24.936879</v>
      </c>
      <c r="G64" t="n">
        <v>13.715732</v>
      </c>
      <c r="H64" t="n">
        <v>39.542201</v>
      </c>
      <c r="I64" t="n">
        <v>39.345557</v>
      </c>
      <c r="J64" t="n">
        <v>39.345557</v>
      </c>
      <c r="K64" t="n">
        <v>37.378279</v>
      </c>
      <c r="L64" t="n">
        <v>110.883242</v>
      </c>
      <c r="M64" t="n">
        <v>110.883242</v>
      </c>
      <c r="N64" t="n">
        <v>118.086052</v>
      </c>
      <c r="O64" t="n">
        <v>26.876504</v>
      </c>
      <c r="P64" t="n">
        <v>16.79886</v>
      </c>
      <c r="W64" t="n">
        <v>27.610867</v>
      </c>
      <c r="X64" t="n">
        <v>134.234083</v>
      </c>
      <c r="Y64" t="n">
        <v>8.001064</v>
      </c>
      <c r="Z64" t="n">
        <v>14.97557</v>
      </c>
    </row>
    <row r="65" ht="21" customHeight="1">
      <c r="A65" t="inlineStr">
        <is>
          <t>Pennahia</t>
        </is>
      </c>
      <c r="B65" t="n">
        <v>3.73</v>
      </c>
      <c r="C65" t="n">
        <v>537.031796</v>
      </c>
      <c r="D65" s="11" t="inlineStr">
        <is>
          <t>Med.dem.pisc.</t>
        </is>
      </c>
      <c r="E65" t="n">
        <v>92.758633</v>
      </c>
      <c r="F65" t="n">
        <v>213.954708</v>
      </c>
      <c r="G65" t="n">
        <v>78.922014</v>
      </c>
      <c r="H65" t="n">
        <v>192.983472</v>
      </c>
      <c r="I65" t="n">
        <v>158.091504</v>
      </c>
      <c r="J65" t="n">
        <v>158.091504</v>
      </c>
      <c r="K65" t="n">
        <v>155.980707</v>
      </c>
      <c r="L65" t="n">
        <v>445.224589</v>
      </c>
      <c r="M65" t="n">
        <v>445.224589</v>
      </c>
      <c r="N65" t="n">
        <v>471.516338</v>
      </c>
      <c r="O65" t="n">
        <v>104.595857</v>
      </c>
      <c r="P65" t="n">
        <v>51.592439</v>
      </c>
      <c r="W65" t="n">
        <v>108.487387</v>
      </c>
      <c r="X65" t="n">
        <v>535.009173</v>
      </c>
      <c r="Y65" t="n">
        <v>32.114569</v>
      </c>
      <c r="Z65" t="n">
        <v>52.467555</v>
      </c>
    </row>
    <row r="66" ht="21" customHeight="1">
      <c r="A66" t="inlineStr">
        <is>
          <t>Metapenaeus tenuipes</t>
        </is>
      </c>
      <c r="B66" t="n">
        <v>3.39</v>
      </c>
      <c r="C66" t="n">
        <v>245.470892</v>
      </c>
      <c r="D66" s="11" t="inlineStr">
        <is>
          <t>Shrimps</t>
        </is>
      </c>
      <c r="E66" t="n">
        <v>92.758633</v>
      </c>
      <c r="F66" t="n">
        <v>24.936879</v>
      </c>
      <c r="G66" t="n">
        <v>13.715732</v>
      </c>
      <c r="H66" t="n">
        <v>39.542201</v>
      </c>
      <c r="I66" t="n">
        <v>39.345557</v>
      </c>
      <c r="J66" t="n">
        <v>39.345557</v>
      </c>
      <c r="K66" t="n">
        <v>37.378279</v>
      </c>
      <c r="L66" t="n">
        <v>110.883242</v>
      </c>
      <c r="M66" t="n">
        <v>110.883242</v>
      </c>
      <c r="N66" t="n">
        <v>118.086052</v>
      </c>
      <c r="O66" t="n">
        <v>26.876504</v>
      </c>
      <c r="P66" t="n">
        <v>16.79886</v>
      </c>
      <c r="W66" t="n">
        <v>27.610867</v>
      </c>
      <c r="X66" t="n">
        <v>134.234083</v>
      </c>
      <c r="Y66" t="n">
        <v>8.001064</v>
      </c>
      <c r="Z66" t="n">
        <v>14.97557</v>
      </c>
    </row>
    <row r="67" ht="21" customHeight="1">
      <c r="A67" t="inlineStr">
        <is>
          <t>Metapenaeus affinis</t>
        </is>
      </c>
      <c r="B67" t="n">
        <v>3.44</v>
      </c>
      <c r="C67" t="n">
        <v>275.42287</v>
      </c>
      <c r="D67" s="11" t="inlineStr">
        <is>
          <t>Shrimps</t>
        </is>
      </c>
      <c r="E67" t="n">
        <v>92.758633</v>
      </c>
      <c r="F67" t="n">
        <v>24.936879</v>
      </c>
      <c r="G67" t="n">
        <v>13.715732</v>
      </c>
      <c r="H67" t="n">
        <v>39.542201</v>
      </c>
      <c r="I67" t="n">
        <v>39.345557</v>
      </c>
      <c r="J67" t="n">
        <v>39.345557</v>
      </c>
      <c r="K67" t="n">
        <v>37.378279</v>
      </c>
      <c r="L67" t="n">
        <v>110.883242</v>
      </c>
      <c r="M67" t="n">
        <v>110.883242</v>
      </c>
      <c r="N67" t="n">
        <v>118.086052</v>
      </c>
      <c r="O67" t="n">
        <v>26.876504</v>
      </c>
      <c r="P67" t="n">
        <v>16.79886</v>
      </c>
      <c r="W67" t="n">
        <v>27.610867</v>
      </c>
      <c r="X67" t="n">
        <v>134.234083</v>
      </c>
      <c r="Y67" t="n">
        <v>8.001064</v>
      </c>
      <c r="Z67" t="n">
        <v>14.97557</v>
      </c>
    </row>
    <row r="68" ht="21" customHeight="1">
      <c r="A68" t="inlineStr">
        <is>
          <t>Atule mate</t>
        </is>
      </c>
      <c r="B68" t="n">
        <v>4.22</v>
      </c>
      <c r="C68" t="n">
        <v>1659.586907</v>
      </c>
      <c r="D68" s="11" t="inlineStr">
        <is>
          <t>Scad</t>
        </is>
      </c>
      <c r="E68" t="n">
        <v>92.758633</v>
      </c>
      <c r="F68" t="n">
        <v>301.410165</v>
      </c>
      <c r="G68" t="n">
        <v>104.320796</v>
      </c>
      <c r="H68" t="n">
        <v>168.748505</v>
      </c>
      <c r="I68" t="n">
        <v>90.39104399999999</v>
      </c>
      <c r="J68" t="n">
        <v>90.39104399999999</v>
      </c>
      <c r="K68" t="n">
        <v>85.87149100000001</v>
      </c>
      <c r="L68" t="n">
        <v>191.130934</v>
      </c>
      <c r="M68" t="n">
        <v>191.130934</v>
      </c>
      <c r="N68" t="n">
        <v>201.174951</v>
      </c>
      <c r="O68" t="n">
        <v>76.25161799999999</v>
      </c>
      <c r="P68" t="n">
        <v>39.003755</v>
      </c>
      <c r="W68" t="n">
        <v>79.580185</v>
      </c>
      <c r="X68" t="n">
        <v>220.35084</v>
      </c>
      <c r="Y68" t="n">
        <v>40.080591</v>
      </c>
      <c r="Z68" t="n">
        <v>53.018386</v>
      </c>
    </row>
    <row r="69" ht="21" customHeight="1">
      <c r="A69" t="inlineStr">
        <is>
          <t>Chirocentrus dorab</t>
        </is>
      </c>
      <c r="B69" t="n">
        <v>4.2</v>
      </c>
      <c r="C69" t="n">
        <v>1584.893192</v>
      </c>
      <c r="D69" s="11" t="inlineStr">
        <is>
          <t>Juv.Lg.Pisciv. | Lg. piscivores</t>
        </is>
      </c>
      <c r="E69" t="n">
        <v>92.758633</v>
      </c>
      <c r="F69" t="n">
        <v>629.8141419999999</v>
      </c>
      <c r="G69" t="n">
        <v>190.080993</v>
      </c>
      <c r="H69" t="n">
        <v>480.632956</v>
      </c>
      <c r="I69" t="n">
        <v>315.097689</v>
      </c>
      <c r="J69" t="n">
        <v>315.097689</v>
      </c>
      <c r="K69" t="n">
        <v>292.632358</v>
      </c>
      <c r="L69" t="n">
        <v>806.383997</v>
      </c>
      <c r="M69" t="n">
        <v>806.383997</v>
      </c>
      <c r="N69" t="n">
        <v>851.766221</v>
      </c>
      <c r="O69" t="n">
        <v>204.799662</v>
      </c>
      <c r="P69" t="n">
        <v>89.620936</v>
      </c>
      <c r="W69" t="n">
        <v>213.690011</v>
      </c>
      <c r="X69" t="n">
        <v>962.931199</v>
      </c>
      <c r="Y69" t="n">
        <v>64.546074</v>
      </c>
      <c r="Z69" t="n">
        <v>110.616316</v>
      </c>
    </row>
    <row r="70" ht="21" customHeight="1">
      <c r="A70" t="inlineStr">
        <is>
          <t>Elasmobranchii</t>
        </is>
      </c>
      <c r="B70" t="n">
        <v>4.05</v>
      </c>
      <c r="C70" t="n">
        <v>1122.018454</v>
      </c>
      <c r="D70" s="11" t="inlineStr">
        <is>
          <t>Sharks | Juv. sharks | Rays</t>
        </is>
      </c>
      <c r="E70" t="n">
        <v>92.758633</v>
      </c>
      <c r="F70" t="n">
        <v>212.350179</v>
      </c>
      <c r="G70" t="n">
        <v>78.43981700000001</v>
      </c>
      <c r="H70" t="n">
        <v>150.198585</v>
      </c>
      <c r="I70" t="n">
        <v>190.421399</v>
      </c>
      <c r="J70" t="n">
        <v>190.421399</v>
      </c>
      <c r="K70" t="n">
        <v>181.353722</v>
      </c>
      <c r="L70" t="n">
        <v>590.0073</v>
      </c>
      <c r="M70" t="n">
        <v>590.0073</v>
      </c>
      <c r="N70" t="n">
        <v>624.45599</v>
      </c>
      <c r="O70" t="n">
        <v>98.99208</v>
      </c>
      <c r="P70" t="n">
        <v>50.910468</v>
      </c>
      <c r="W70" t="n">
        <v>103.810463</v>
      </c>
      <c r="X70" t="n">
        <v>714.522996</v>
      </c>
      <c r="Y70" t="n">
        <v>31.958644</v>
      </c>
      <c r="Z70" t="n">
        <v>47.110524</v>
      </c>
    </row>
    <row r="71" ht="21" customHeight="1">
      <c r="A71" t="inlineStr">
        <is>
          <t>Sillago</t>
        </is>
      </c>
      <c r="B71" t="n">
        <v>3.33</v>
      </c>
      <c r="C71" t="n">
        <v>213.796209</v>
      </c>
      <c r="D71" s="11" t="inlineStr">
        <is>
          <t>Med.dem.benth.</t>
        </is>
      </c>
      <c r="E71" t="n">
        <v>92.758633</v>
      </c>
      <c r="F71" t="n">
        <v>274.243815</v>
      </c>
      <c r="G71" t="n">
        <v>96.59934699999999</v>
      </c>
      <c r="H71" t="n">
        <v>166.63869</v>
      </c>
      <c r="I71" t="n">
        <v>215.944796</v>
      </c>
      <c r="J71" t="n">
        <v>215.944796</v>
      </c>
      <c r="K71" t="n">
        <v>193.300587</v>
      </c>
      <c r="L71" t="n">
        <v>664.022909</v>
      </c>
      <c r="M71" t="n">
        <v>664.022909</v>
      </c>
      <c r="N71" t="n">
        <v>702.550582</v>
      </c>
      <c r="O71" t="n">
        <v>105.870272</v>
      </c>
      <c r="P71" t="n">
        <v>53.740614</v>
      </c>
      <c r="W71" t="n">
        <v>108.869834</v>
      </c>
      <c r="X71" t="n">
        <v>799.677877</v>
      </c>
      <c r="Y71" t="n">
        <v>37.70608</v>
      </c>
      <c r="Z71" t="n">
        <v>51.4265</v>
      </c>
    </row>
    <row r="72" ht="21" customHeight="1">
      <c r="A72" t="inlineStr">
        <is>
          <t>Psettodes erumei</t>
        </is>
      </c>
      <c r="B72" t="n">
        <v>4.39</v>
      </c>
      <c r="C72" t="n">
        <v>2454.708916</v>
      </c>
      <c r="D72" s="11" t="inlineStr">
        <is>
          <t>Med.dem.pisc.</t>
        </is>
      </c>
      <c r="E72" t="n">
        <v>92.758633</v>
      </c>
      <c r="F72" t="n">
        <v>213.954708</v>
      </c>
      <c r="G72" t="n">
        <v>78.922014</v>
      </c>
      <c r="H72" t="n">
        <v>192.983472</v>
      </c>
      <c r="I72" t="n">
        <v>158.091504</v>
      </c>
      <c r="J72" t="n">
        <v>158.091504</v>
      </c>
      <c r="K72" t="n">
        <v>155.980707</v>
      </c>
      <c r="L72" t="n">
        <v>445.224589</v>
      </c>
      <c r="M72" t="n">
        <v>445.224589</v>
      </c>
      <c r="N72" t="n">
        <v>471.516338</v>
      </c>
      <c r="O72" t="n">
        <v>104.595857</v>
      </c>
      <c r="P72" t="n">
        <v>51.592439</v>
      </c>
      <c r="W72" t="n">
        <v>108.487387</v>
      </c>
      <c r="X72" t="n">
        <v>535.009173</v>
      </c>
      <c r="Y72" t="n">
        <v>32.114569</v>
      </c>
      <c r="Z72" t="n">
        <v>52.467555</v>
      </c>
    </row>
    <row r="73" ht="21" customHeight="1">
      <c r="A73" t="inlineStr">
        <is>
          <t>Serranidae</t>
        </is>
      </c>
      <c r="B73" t="n">
        <v>3.98</v>
      </c>
      <c r="C73" t="n">
        <v>954.992586</v>
      </c>
      <c r="D73" s="11" t="inlineStr">
        <is>
          <t>Grouper/snapper | Juv. groupers</t>
        </is>
      </c>
      <c r="E73" t="n">
        <v>92.758633</v>
      </c>
      <c r="F73" t="n">
        <v>729.665396</v>
      </c>
      <c r="G73" t="n">
        <v>214.274848</v>
      </c>
      <c r="H73" t="n">
        <v>601.521613</v>
      </c>
      <c r="I73" t="n">
        <v>458.291515</v>
      </c>
      <c r="J73" t="n">
        <v>458.291515</v>
      </c>
      <c r="K73" t="n">
        <v>404.883308</v>
      </c>
      <c r="L73" t="n">
        <v>1297.204135</v>
      </c>
      <c r="M73" t="n">
        <v>1297.204135</v>
      </c>
      <c r="N73" t="n">
        <v>1373.024947</v>
      </c>
      <c r="O73" t="n">
        <v>262.162033</v>
      </c>
      <c r="P73" t="n">
        <v>111.742313</v>
      </c>
      <c r="W73" t="n">
        <v>273.908931</v>
      </c>
      <c r="X73" t="n">
        <v>1584.887607</v>
      </c>
      <c r="Y73" t="n">
        <v>70.98925199999999</v>
      </c>
      <c r="Z73" t="n">
        <v>131.686727</v>
      </c>
    </row>
    <row r="74" ht="21" customHeight="1">
      <c r="A74" t="inlineStr">
        <is>
          <t>Chirocentrus</t>
        </is>
      </c>
      <c r="B74" t="n">
        <v>4.3</v>
      </c>
      <c r="C74" t="n">
        <v>1995.262315</v>
      </c>
      <c r="D74" s="11" t="inlineStr">
        <is>
          <t>Juv.Lg.Pisciv. | Lg. piscivores</t>
        </is>
      </c>
      <c r="E74" t="n">
        <v>92.758633</v>
      </c>
      <c r="F74" t="n">
        <v>629.8141419999999</v>
      </c>
      <c r="G74" t="n">
        <v>190.080993</v>
      </c>
      <c r="H74" t="n">
        <v>480.632956</v>
      </c>
      <c r="I74" t="n">
        <v>315.097689</v>
      </c>
      <c r="J74" t="n">
        <v>315.097689</v>
      </c>
      <c r="K74" t="n">
        <v>292.632358</v>
      </c>
      <c r="L74" t="n">
        <v>806.383997</v>
      </c>
      <c r="M74" t="n">
        <v>806.383997</v>
      </c>
      <c r="N74" t="n">
        <v>851.766221</v>
      </c>
      <c r="O74" t="n">
        <v>204.799662</v>
      </c>
      <c r="P74" t="n">
        <v>89.620936</v>
      </c>
      <c r="W74" t="n">
        <v>213.690011</v>
      </c>
      <c r="X74" t="n">
        <v>962.931199</v>
      </c>
      <c r="Y74" t="n">
        <v>64.546074</v>
      </c>
      <c r="Z74" t="n">
        <v>110.616316</v>
      </c>
    </row>
    <row r="75" ht="21" customHeight="1">
      <c r="A75" t="inlineStr">
        <is>
          <t>Epinephelus</t>
        </is>
      </c>
      <c r="B75" t="n">
        <v>3.84</v>
      </c>
      <c r="C75" t="n">
        <v>691.830971</v>
      </c>
      <c r="D75" s="11" t="inlineStr">
        <is>
          <t>Grouper/snapper | Juv. groupers</t>
        </is>
      </c>
      <c r="E75" t="n">
        <v>92.758633</v>
      </c>
      <c r="F75" t="n">
        <v>729.665396</v>
      </c>
      <c r="G75" t="n">
        <v>214.274848</v>
      </c>
      <c r="H75" t="n">
        <v>601.521613</v>
      </c>
      <c r="I75" t="n">
        <v>458.291515</v>
      </c>
      <c r="J75" t="n">
        <v>458.291515</v>
      </c>
      <c r="K75" t="n">
        <v>404.883308</v>
      </c>
      <c r="L75" t="n">
        <v>1297.204135</v>
      </c>
      <c r="M75" t="n">
        <v>1297.204135</v>
      </c>
      <c r="N75" t="n">
        <v>1373.024947</v>
      </c>
      <c r="O75" t="n">
        <v>262.162033</v>
      </c>
      <c r="P75" t="n">
        <v>111.742313</v>
      </c>
      <c r="W75" t="n">
        <v>273.908931</v>
      </c>
      <c r="X75" t="n">
        <v>1584.887607</v>
      </c>
      <c r="Y75" t="n">
        <v>70.98925199999999</v>
      </c>
      <c r="Z75" t="n">
        <v>131.686727</v>
      </c>
    </row>
    <row r="76" ht="21" customHeight="1">
      <c r="A76" t="inlineStr">
        <is>
          <t>Portunidae</t>
        </is>
      </c>
      <c r="B76" t="n">
        <v>3.56</v>
      </c>
      <c r="C76" t="n">
        <v>363.078055</v>
      </c>
      <c r="D76" s="11" t="inlineStr">
        <is>
          <t>Crab, lobster</t>
        </is>
      </c>
      <c r="E76" t="n">
        <v>92.758633</v>
      </c>
      <c r="F76" t="n">
        <v>55.221127</v>
      </c>
      <c r="G76" t="n">
        <v>26.200528</v>
      </c>
      <c r="H76" t="n">
        <v>80.616586</v>
      </c>
      <c r="I76" t="n">
        <v>96.283275</v>
      </c>
      <c r="J76" t="n">
        <v>96.283275</v>
      </c>
      <c r="K76" t="n">
        <v>82.59048</v>
      </c>
      <c r="L76" t="n">
        <v>295.897518</v>
      </c>
      <c r="M76" t="n">
        <v>295.897518</v>
      </c>
      <c r="N76" t="n">
        <v>313.590452</v>
      </c>
      <c r="O76" t="n">
        <v>47.292261</v>
      </c>
      <c r="P76" t="n">
        <v>26.133043</v>
      </c>
      <c r="W76" t="n">
        <v>48.215972</v>
      </c>
      <c r="X76" t="n">
        <v>354.467589</v>
      </c>
      <c r="Y76" t="n">
        <v>13.377731</v>
      </c>
      <c r="Z76" t="n">
        <v>27.235027</v>
      </c>
    </row>
    <row r="77" ht="21" customHeight="1">
      <c r="A77" t="inlineStr">
        <is>
          <t>Lutjanus malabaricus</t>
        </is>
      </c>
      <c r="D77" s="11" t="inlineStr">
        <is>
          <t>Grouper/snapper | Juv. groupers</t>
        </is>
      </c>
      <c r="E77" t="n">
        <v>92.758633</v>
      </c>
      <c r="F77" t="n">
        <v>729.665396</v>
      </c>
      <c r="G77" t="n">
        <v>214.274848</v>
      </c>
      <c r="H77" t="n">
        <v>601.521613</v>
      </c>
      <c r="I77" t="n">
        <v>458.291515</v>
      </c>
      <c r="J77" t="n">
        <v>458.291515</v>
      </c>
      <c r="K77" t="n">
        <v>404.883308</v>
      </c>
      <c r="L77" t="n">
        <v>1297.204135</v>
      </c>
      <c r="M77" t="n">
        <v>1297.204135</v>
      </c>
      <c r="N77" t="n">
        <v>1373.024947</v>
      </c>
      <c r="O77" t="n">
        <v>262.162033</v>
      </c>
      <c r="P77" t="n">
        <v>111.742313</v>
      </c>
      <c r="W77" t="n">
        <v>273.908931</v>
      </c>
      <c r="X77" t="n">
        <v>1584.887607</v>
      </c>
      <c r="Y77" t="n">
        <v>70.98925199999999</v>
      </c>
      <c r="Z77" t="n">
        <v>131.686727</v>
      </c>
    </row>
    <row r="78" ht="21" customHeight="1">
      <c r="A78" t="inlineStr">
        <is>
          <t>Muraenesox cinereus</t>
        </is>
      </c>
      <c r="B78" t="n">
        <v>4.38</v>
      </c>
      <c r="C78" t="n">
        <v>2398.832919</v>
      </c>
      <c r="D78" s="11" t="inlineStr">
        <is>
          <t>Juv.Lg.Pisciv. | Lg. piscivores</t>
        </is>
      </c>
      <c r="E78" t="n">
        <v>92.758633</v>
      </c>
      <c r="F78" t="n">
        <v>629.8141419999999</v>
      </c>
      <c r="G78" t="n">
        <v>190.080993</v>
      </c>
      <c r="H78" t="n">
        <v>480.632956</v>
      </c>
      <c r="I78" t="n">
        <v>315.097689</v>
      </c>
      <c r="J78" t="n">
        <v>315.097689</v>
      </c>
      <c r="K78" t="n">
        <v>292.632358</v>
      </c>
      <c r="L78" t="n">
        <v>806.383997</v>
      </c>
      <c r="M78" t="n">
        <v>806.383997</v>
      </c>
      <c r="N78" t="n">
        <v>851.766221</v>
      </c>
      <c r="O78" t="n">
        <v>204.799662</v>
      </c>
      <c r="P78" t="n">
        <v>89.620936</v>
      </c>
      <c r="W78" t="n">
        <v>213.690011</v>
      </c>
      <c r="X78" t="n">
        <v>962.931199</v>
      </c>
      <c r="Y78" t="n">
        <v>64.546074</v>
      </c>
      <c r="Z78" t="n">
        <v>110.616316</v>
      </c>
    </row>
    <row r="79" ht="21" customHeight="1">
      <c r="A79" t="inlineStr">
        <is>
          <t>Upeneus</t>
        </is>
      </c>
      <c r="B79" t="n">
        <v>3.54</v>
      </c>
      <c r="C79" t="n">
        <v>346.73685</v>
      </c>
      <c r="D79" s="11" t="inlineStr">
        <is>
          <t>Med.dem.benth.</t>
        </is>
      </c>
      <c r="E79" t="n">
        <v>92.758633</v>
      </c>
      <c r="F79" t="n">
        <v>274.243815</v>
      </c>
      <c r="G79" t="n">
        <v>96.59934699999999</v>
      </c>
      <c r="H79" t="n">
        <v>166.63869</v>
      </c>
      <c r="I79" t="n">
        <v>215.944796</v>
      </c>
      <c r="J79" t="n">
        <v>215.944796</v>
      </c>
      <c r="K79" t="n">
        <v>193.300587</v>
      </c>
      <c r="L79" t="n">
        <v>664.022909</v>
      </c>
      <c r="M79" t="n">
        <v>664.022909</v>
      </c>
      <c r="N79" t="n">
        <v>702.550582</v>
      </c>
      <c r="O79" t="n">
        <v>105.870272</v>
      </c>
      <c r="P79" t="n">
        <v>53.740614</v>
      </c>
      <c r="W79" t="n">
        <v>108.869834</v>
      </c>
      <c r="X79" t="n">
        <v>799.677877</v>
      </c>
      <c r="Y79" t="n">
        <v>37.70608</v>
      </c>
      <c r="Z79" t="n">
        <v>51.4265</v>
      </c>
    </row>
    <row r="80" ht="21" customHeight="1">
      <c r="A80" t="inlineStr">
        <is>
          <t>Gobiidae</t>
        </is>
      </c>
      <c r="B80" t="n">
        <v>3.11</v>
      </c>
      <c r="C80" t="n">
        <v>128.824955</v>
      </c>
      <c r="D80" s="11" t="inlineStr">
        <is>
          <t>Sm.dem.benth.</t>
        </is>
      </c>
      <c r="E80" t="n">
        <v>92.758633</v>
      </c>
      <c r="F80" t="n">
        <v>135.946622</v>
      </c>
      <c r="G80" t="n">
        <v>54.557109</v>
      </c>
      <c r="H80" t="n">
        <v>104.458273</v>
      </c>
      <c r="I80" t="n">
        <v>106.771533</v>
      </c>
      <c r="J80" t="n">
        <v>106.771533</v>
      </c>
      <c r="K80" t="n">
        <v>89.978955</v>
      </c>
      <c r="L80" t="n">
        <v>308.045854</v>
      </c>
      <c r="M80" t="n">
        <v>308.045854</v>
      </c>
      <c r="N80" t="n">
        <v>325.959633</v>
      </c>
      <c r="O80" t="n">
        <v>56.685005</v>
      </c>
      <c r="P80" t="n">
        <v>30.438514</v>
      </c>
      <c r="W80" t="n">
        <v>58.087916</v>
      </c>
      <c r="X80" t="n">
        <v>369.109424</v>
      </c>
      <c r="Y80" t="n">
        <v>23.952956</v>
      </c>
      <c r="Z80" t="n">
        <v>34.558123</v>
      </c>
    </row>
    <row r="81" ht="21" customHeight="1">
      <c r="A81" t="inlineStr">
        <is>
          <t>Penaeus latisulcatus</t>
        </is>
      </c>
      <c r="B81" t="n">
        <v>2.7</v>
      </c>
      <c r="C81" t="n">
        <v>50.118723</v>
      </c>
      <c r="D81" s="11" t="inlineStr">
        <is>
          <t>Shrimps</t>
        </is>
      </c>
      <c r="E81" t="n">
        <v>92.758633</v>
      </c>
      <c r="F81" t="n">
        <v>24.936879</v>
      </c>
      <c r="G81" t="n">
        <v>13.715732</v>
      </c>
      <c r="H81" t="n">
        <v>39.542201</v>
      </c>
      <c r="I81" t="n">
        <v>39.345557</v>
      </c>
      <c r="J81" t="n">
        <v>39.345557</v>
      </c>
      <c r="K81" t="n">
        <v>37.378279</v>
      </c>
      <c r="L81" t="n">
        <v>110.883242</v>
      </c>
      <c r="M81" t="n">
        <v>110.883242</v>
      </c>
      <c r="N81" t="n">
        <v>118.086052</v>
      </c>
      <c r="O81" t="n">
        <v>26.876504</v>
      </c>
      <c r="P81" t="n">
        <v>16.79886</v>
      </c>
      <c r="W81" t="n">
        <v>27.610867</v>
      </c>
      <c r="X81" t="n">
        <v>134.234083</v>
      </c>
      <c r="Y81" t="n">
        <v>8.001064</v>
      </c>
      <c r="Z81" t="n">
        <v>14.97557</v>
      </c>
    </row>
    <row r="82" ht="21" customHeight="1">
      <c r="A82" t="inlineStr">
        <is>
          <t>Sepioteuthis lessoniana</t>
        </is>
      </c>
      <c r="B82" t="n">
        <v>3.98</v>
      </c>
      <c r="C82" t="n">
        <v>954.992586</v>
      </c>
      <c r="D82" s="11" t="inlineStr">
        <is>
          <t>Cephalopods</t>
        </is>
      </c>
      <c r="E82" t="n">
        <v>92.758633</v>
      </c>
      <c r="F82" t="n">
        <v>207.108363</v>
      </c>
      <c r="G82" t="n">
        <v>76.859779</v>
      </c>
      <c r="H82" t="n">
        <v>153.276012</v>
      </c>
      <c r="I82" t="n">
        <v>121.77284</v>
      </c>
      <c r="J82" t="n">
        <v>121.77284</v>
      </c>
      <c r="K82" t="n">
        <v>118.23963</v>
      </c>
      <c r="L82" t="n">
        <v>349.557692</v>
      </c>
      <c r="M82" t="n">
        <v>349.557692</v>
      </c>
      <c r="N82" t="n">
        <v>370.254323</v>
      </c>
      <c r="O82" t="n">
        <v>98.097358</v>
      </c>
      <c r="P82" t="n">
        <v>49.643681</v>
      </c>
      <c r="W82" t="n">
        <v>100.957994</v>
      </c>
      <c r="X82" t="n">
        <v>407.059034</v>
      </c>
      <c r="Y82" t="n">
        <v>31.446324</v>
      </c>
      <c r="Z82" t="n">
        <v>45.753688</v>
      </c>
    </row>
    <row r="83" ht="21" customHeight="1">
      <c r="A83" t="inlineStr">
        <is>
          <t>Pomadasys</t>
        </is>
      </c>
      <c r="B83" t="n">
        <v>3.59</v>
      </c>
      <c r="C83" t="n">
        <v>389.045145</v>
      </c>
      <c r="D83" s="11" t="inlineStr">
        <is>
          <t>Med.dem.benth.</t>
        </is>
      </c>
      <c r="E83" t="n">
        <v>92.758633</v>
      </c>
      <c r="F83" t="n">
        <v>274.243815</v>
      </c>
      <c r="G83" t="n">
        <v>96.59934699999999</v>
      </c>
      <c r="H83" t="n">
        <v>166.63869</v>
      </c>
      <c r="I83" t="n">
        <v>215.944796</v>
      </c>
      <c r="J83" t="n">
        <v>215.944796</v>
      </c>
      <c r="K83" t="n">
        <v>193.300587</v>
      </c>
      <c r="L83" t="n">
        <v>664.022909</v>
      </c>
      <c r="M83" t="n">
        <v>664.022909</v>
      </c>
      <c r="N83" t="n">
        <v>702.550582</v>
      </c>
      <c r="O83" t="n">
        <v>105.870272</v>
      </c>
      <c r="P83" t="n">
        <v>53.740614</v>
      </c>
      <c r="W83" t="n">
        <v>108.869834</v>
      </c>
      <c r="X83" t="n">
        <v>799.677877</v>
      </c>
      <c r="Y83" t="n">
        <v>37.70608</v>
      </c>
      <c r="Z83" t="n">
        <v>51.4265</v>
      </c>
    </row>
    <row r="84" ht="21" customHeight="1">
      <c r="A84" t="inlineStr">
        <is>
          <t>Scylla serrata</t>
        </is>
      </c>
      <c r="B84" t="n">
        <v>3.17</v>
      </c>
      <c r="C84" t="n">
        <v>147.910839</v>
      </c>
      <c r="D84" s="11" t="inlineStr">
        <is>
          <t>Crab, lobster</t>
        </is>
      </c>
      <c r="E84" t="n">
        <v>92.758633</v>
      </c>
      <c r="F84" t="n">
        <v>55.221127</v>
      </c>
      <c r="G84" t="n">
        <v>26.200528</v>
      </c>
      <c r="H84" t="n">
        <v>80.616586</v>
      </c>
      <c r="I84" t="n">
        <v>96.283275</v>
      </c>
      <c r="J84" t="n">
        <v>96.283275</v>
      </c>
      <c r="K84" t="n">
        <v>82.59048</v>
      </c>
      <c r="L84" t="n">
        <v>295.897518</v>
      </c>
      <c r="M84" t="n">
        <v>295.897518</v>
      </c>
      <c r="N84" t="n">
        <v>313.590452</v>
      </c>
      <c r="O84" t="n">
        <v>47.292261</v>
      </c>
      <c r="P84" t="n">
        <v>26.133043</v>
      </c>
      <c r="W84" t="n">
        <v>48.215972</v>
      </c>
      <c r="X84" t="n">
        <v>354.467589</v>
      </c>
      <c r="Y84" t="n">
        <v>13.377731</v>
      </c>
      <c r="Z84" t="n">
        <v>27.235027</v>
      </c>
    </row>
    <row r="85" ht="21" customHeight="1">
      <c r="A85" t="inlineStr">
        <is>
          <t>Balistidae</t>
        </is>
      </c>
      <c r="B85" t="n">
        <v>3.25</v>
      </c>
      <c r="C85" t="n">
        <v>177.827941</v>
      </c>
      <c r="D85" s="11" t="inlineStr">
        <is>
          <t>Med.dem.benth.</t>
        </is>
      </c>
      <c r="E85" t="n">
        <v>92.758633</v>
      </c>
      <c r="F85" t="n">
        <v>274.243815</v>
      </c>
      <c r="G85" t="n">
        <v>96.59934699999999</v>
      </c>
      <c r="H85" t="n">
        <v>166.63869</v>
      </c>
      <c r="I85" t="n">
        <v>215.944796</v>
      </c>
      <c r="J85" t="n">
        <v>215.944796</v>
      </c>
      <c r="K85" t="n">
        <v>193.300587</v>
      </c>
      <c r="L85" t="n">
        <v>664.022909</v>
      </c>
      <c r="M85" t="n">
        <v>664.022909</v>
      </c>
      <c r="N85" t="n">
        <v>702.550582</v>
      </c>
      <c r="O85" t="n">
        <v>105.870272</v>
      </c>
      <c r="P85" t="n">
        <v>53.740614</v>
      </c>
      <c r="W85" t="n">
        <v>108.869834</v>
      </c>
      <c r="X85" t="n">
        <v>799.677877</v>
      </c>
      <c r="Y85" t="n">
        <v>37.70608</v>
      </c>
      <c r="Z85" t="n">
        <v>51.4265</v>
      </c>
    </row>
    <row r="86" ht="21" customHeight="1">
      <c r="A86" t="inlineStr">
        <is>
          <t>Trichiurus</t>
        </is>
      </c>
      <c r="B86" t="n">
        <v>4.42</v>
      </c>
      <c r="C86" t="n">
        <v>2630.267992</v>
      </c>
      <c r="D86" s="11" t="inlineStr">
        <is>
          <t>Juv.Lg.Pisciv. | Lg. piscivores</t>
        </is>
      </c>
      <c r="E86" t="n">
        <v>92.758633</v>
      </c>
      <c r="F86" t="n">
        <v>629.8141419999999</v>
      </c>
      <c r="G86" t="n">
        <v>190.080993</v>
      </c>
      <c r="H86" t="n">
        <v>480.632956</v>
      </c>
      <c r="I86" t="n">
        <v>315.097689</v>
      </c>
      <c r="J86" t="n">
        <v>315.097689</v>
      </c>
      <c r="K86" t="n">
        <v>292.632358</v>
      </c>
      <c r="L86" t="n">
        <v>806.383997</v>
      </c>
      <c r="M86" t="n">
        <v>806.383997</v>
      </c>
      <c r="N86" t="n">
        <v>851.766221</v>
      </c>
      <c r="O86" t="n">
        <v>204.799662</v>
      </c>
      <c r="P86" t="n">
        <v>89.620936</v>
      </c>
      <c r="W86" t="n">
        <v>213.690011</v>
      </c>
      <c r="X86" t="n">
        <v>962.931199</v>
      </c>
      <c r="Y86" t="n">
        <v>64.546074</v>
      </c>
      <c r="Z86" t="n">
        <v>110.616316</v>
      </c>
    </row>
    <row r="87" ht="21" customHeight="1">
      <c r="A87" t="inlineStr">
        <is>
          <t>Penaeus semisulcatus</t>
        </is>
      </c>
      <c r="B87" t="n">
        <v>2</v>
      </c>
      <c r="C87" t="n">
        <v>10</v>
      </c>
      <c r="D87" s="11" t="inlineStr">
        <is>
          <t>Shrimps</t>
        </is>
      </c>
      <c r="E87" t="n">
        <v>92.758633</v>
      </c>
      <c r="F87" t="n">
        <v>24.936879</v>
      </c>
      <c r="G87" t="n">
        <v>13.715732</v>
      </c>
      <c r="H87" t="n">
        <v>39.542201</v>
      </c>
      <c r="I87" t="n">
        <v>39.345557</v>
      </c>
      <c r="J87" t="n">
        <v>39.345557</v>
      </c>
      <c r="K87" t="n">
        <v>37.378279</v>
      </c>
      <c r="L87" t="n">
        <v>110.883242</v>
      </c>
      <c r="M87" t="n">
        <v>110.883242</v>
      </c>
      <c r="N87" t="n">
        <v>118.086052</v>
      </c>
      <c r="O87" t="n">
        <v>26.876504</v>
      </c>
      <c r="P87" t="n">
        <v>16.79886</v>
      </c>
      <c r="W87" t="n">
        <v>27.610867</v>
      </c>
      <c r="X87" t="n">
        <v>134.234083</v>
      </c>
      <c r="Y87" t="n">
        <v>8.001064</v>
      </c>
      <c r="Z87" t="n">
        <v>14.97557</v>
      </c>
    </row>
    <row r="88" ht="21" customHeight="1">
      <c r="A88" t="inlineStr">
        <is>
          <t>Carcharhinus</t>
        </is>
      </c>
      <c r="B88" t="n">
        <v>4.26</v>
      </c>
      <c r="C88" t="n">
        <v>1819.700859</v>
      </c>
      <c r="D88" s="11" t="inlineStr">
        <is>
          <t>Sharks | Juv. sharks</t>
        </is>
      </c>
      <c r="E88" t="n">
        <v>92.758633</v>
      </c>
      <c r="F88" t="n">
        <v>2211.896778</v>
      </c>
      <c r="G88" t="n">
        <v>528.557699</v>
      </c>
      <c r="H88" t="n">
        <v>1694.662427</v>
      </c>
      <c r="I88" t="n">
        <v>829.165832</v>
      </c>
      <c r="J88" t="n">
        <v>829.165832</v>
      </c>
      <c r="K88" t="n">
        <v>789.681785</v>
      </c>
      <c r="L88" t="n">
        <v>2016.586739</v>
      </c>
      <c r="M88" t="n">
        <v>2016.586739</v>
      </c>
      <c r="N88" t="n">
        <v>2128.697228</v>
      </c>
      <c r="O88" t="n">
        <v>561.286115</v>
      </c>
      <c r="P88" t="n">
        <v>207.956274</v>
      </c>
      <c r="W88" t="n">
        <v>606.9739060000001</v>
      </c>
      <c r="X88" t="n">
        <v>2393.658993</v>
      </c>
      <c r="Y88" t="n">
        <v>145.413381</v>
      </c>
      <c r="Z88" t="n">
        <v>289.661473</v>
      </c>
    </row>
    <row r="89" ht="21" customHeight="1">
      <c r="A89" t="inlineStr">
        <is>
          <t>Katsuwonus pelamis</t>
        </is>
      </c>
      <c r="B89" t="n">
        <v>4.43</v>
      </c>
      <c r="C89" t="n">
        <v>2691.534804</v>
      </c>
      <c r="D89" s="11" t="inlineStr">
        <is>
          <t>Tuna</t>
        </is>
      </c>
      <c r="E89" t="n">
        <v>92.758633</v>
      </c>
      <c r="F89" t="n">
        <v>1217.891849</v>
      </c>
      <c r="G89" t="n">
        <v>325.165267</v>
      </c>
      <c r="H89" t="n">
        <v>703.930824</v>
      </c>
      <c r="I89" t="n">
        <v>327.693492</v>
      </c>
      <c r="J89" t="n">
        <v>327.693492</v>
      </c>
      <c r="K89" t="n">
        <v>311.308817</v>
      </c>
      <c r="L89" t="n">
        <v>675.870038</v>
      </c>
      <c r="M89" t="n">
        <v>675.870038</v>
      </c>
      <c r="N89" t="n">
        <v>710.633419</v>
      </c>
      <c r="O89" t="n">
        <v>254.942405</v>
      </c>
      <c r="P89" t="n">
        <v>107.862693</v>
      </c>
      <c r="W89" t="n">
        <v>271.503704</v>
      </c>
      <c r="X89" t="n">
        <v>791.598393</v>
      </c>
      <c r="Y89" t="n">
        <v>98.86518</v>
      </c>
      <c r="Z89" t="n">
        <v>153.001145</v>
      </c>
    </row>
    <row r="90" ht="21" customHeight="1">
      <c r="A90" t="inlineStr">
        <is>
          <t>Thenus orientalis</t>
        </is>
      </c>
      <c r="B90" t="n">
        <v>2.5</v>
      </c>
      <c r="C90" t="n">
        <v>31.622777</v>
      </c>
      <c r="D90" s="11" t="inlineStr">
        <is>
          <t>Crab, lobster</t>
        </is>
      </c>
      <c r="E90" t="n">
        <v>92.758633</v>
      </c>
      <c r="F90" t="n">
        <v>55.221127</v>
      </c>
      <c r="G90" t="n">
        <v>26.200528</v>
      </c>
      <c r="H90" t="n">
        <v>80.616586</v>
      </c>
      <c r="I90" t="n">
        <v>96.283275</v>
      </c>
      <c r="J90" t="n">
        <v>96.283275</v>
      </c>
      <c r="K90" t="n">
        <v>82.59048</v>
      </c>
      <c r="L90" t="n">
        <v>295.897518</v>
      </c>
      <c r="M90" t="n">
        <v>295.897518</v>
      </c>
      <c r="N90" t="n">
        <v>313.590452</v>
      </c>
      <c r="O90" t="n">
        <v>47.292261</v>
      </c>
      <c r="P90" t="n">
        <v>26.133043</v>
      </c>
      <c r="W90" t="n">
        <v>48.215972</v>
      </c>
      <c r="X90" t="n">
        <v>354.467589</v>
      </c>
      <c r="Y90" t="n">
        <v>13.377731</v>
      </c>
      <c r="Z90" t="n">
        <v>27.235027</v>
      </c>
    </row>
    <row r="91" ht="21" customHeight="1">
      <c r="A91" t="inlineStr">
        <is>
          <t>Penaeus monodon</t>
        </is>
      </c>
      <c r="B91" t="n">
        <v>2.6</v>
      </c>
      <c r="C91" t="n">
        <v>39.810717</v>
      </c>
      <c r="D91" s="11" t="inlineStr">
        <is>
          <t>Shrimps</t>
        </is>
      </c>
      <c r="E91" t="n">
        <v>92.758633</v>
      </c>
      <c r="F91" t="n">
        <v>24.936879</v>
      </c>
      <c r="G91" t="n">
        <v>13.715732</v>
      </c>
      <c r="H91" t="n">
        <v>39.542201</v>
      </c>
      <c r="I91" t="n">
        <v>39.345557</v>
      </c>
      <c r="J91" t="n">
        <v>39.345557</v>
      </c>
      <c r="K91" t="n">
        <v>37.378279</v>
      </c>
      <c r="L91" t="n">
        <v>110.883242</v>
      </c>
      <c r="M91" t="n">
        <v>110.883242</v>
      </c>
      <c r="N91" t="n">
        <v>118.086052</v>
      </c>
      <c r="O91" t="n">
        <v>26.876504</v>
      </c>
      <c r="P91" t="n">
        <v>16.79886</v>
      </c>
      <c r="W91" t="n">
        <v>27.610867</v>
      </c>
      <c r="X91" t="n">
        <v>134.234083</v>
      </c>
      <c r="Y91" t="n">
        <v>8.001064</v>
      </c>
      <c r="Z91" t="n">
        <v>14.97557</v>
      </c>
    </row>
    <row r="92" ht="21" customHeight="1">
      <c r="A92" t="inlineStr">
        <is>
          <t>Terapon</t>
        </is>
      </c>
      <c r="B92" t="n">
        <v>3.5</v>
      </c>
      <c r="C92" t="n">
        <v>316.227766</v>
      </c>
      <c r="D92" s="11" t="inlineStr">
        <is>
          <t>Med.dem.benth.</t>
        </is>
      </c>
      <c r="E92" t="n">
        <v>92.758633</v>
      </c>
      <c r="F92" t="n">
        <v>274.243815</v>
      </c>
      <c r="G92" t="n">
        <v>96.59934699999999</v>
      </c>
      <c r="H92" t="n">
        <v>166.63869</v>
      </c>
      <c r="I92" t="n">
        <v>215.944796</v>
      </c>
      <c r="J92" t="n">
        <v>215.944796</v>
      </c>
      <c r="K92" t="n">
        <v>193.300587</v>
      </c>
      <c r="L92" t="n">
        <v>664.022909</v>
      </c>
      <c r="M92" t="n">
        <v>664.022909</v>
      </c>
      <c r="N92" t="n">
        <v>702.550582</v>
      </c>
      <c r="O92" t="n">
        <v>105.870272</v>
      </c>
      <c r="P92" t="n">
        <v>53.740614</v>
      </c>
      <c r="W92" t="n">
        <v>108.869834</v>
      </c>
      <c r="X92" t="n">
        <v>799.677877</v>
      </c>
      <c r="Y92" t="n">
        <v>37.70608</v>
      </c>
      <c r="Z92" t="n">
        <v>51.4265</v>
      </c>
    </row>
    <row r="93" ht="21" customHeight="1">
      <c r="A93" t="inlineStr">
        <is>
          <t>Polynemidae</t>
        </is>
      </c>
      <c r="B93" t="n">
        <v>3.62</v>
      </c>
      <c r="C93" t="n">
        <v>416.869383</v>
      </c>
      <c r="D93" s="11" t="inlineStr">
        <is>
          <t>Sm.dem.benth.</t>
        </is>
      </c>
      <c r="E93" t="n">
        <v>92.758633</v>
      </c>
      <c r="F93" t="n">
        <v>135.946622</v>
      </c>
      <c r="G93" t="n">
        <v>54.557109</v>
      </c>
      <c r="H93" t="n">
        <v>104.458273</v>
      </c>
      <c r="I93" t="n">
        <v>106.771533</v>
      </c>
      <c r="J93" t="n">
        <v>106.771533</v>
      </c>
      <c r="K93" t="n">
        <v>89.978955</v>
      </c>
      <c r="L93" t="n">
        <v>308.045854</v>
      </c>
      <c r="M93" t="n">
        <v>308.045854</v>
      </c>
      <c r="N93" t="n">
        <v>325.959633</v>
      </c>
      <c r="O93" t="n">
        <v>56.685005</v>
      </c>
      <c r="P93" t="n">
        <v>30.438514</v>
      </c>
      <c r="W93" t="n">
        <v>58.087916</v>
      </c>
      <c r="X93" t="n">
        <v>369.109424</v>
      </c>
      <c r="Y93" t="n">
        <v>23.952956</v>
      </c>
      <c r="Z93" t="n">
        <v>34.558123</v>
      </c>
    </row>
    <row r="94" ht="21" customHeight="1">
      <c r="A94" t="inlineStr">
        <is>
          <t>Cynoglossus</t>
        </is>
      </c>
      <c r="B94" t="n">
        <v>3.36</v>
      </c>
      <c r="C94" t="n">
        <v>229.086765</v>
      </c>
      <c r="D94" s="11" t="inlineStr">
        <is>
          <t>Flatfish</t>
        </is>
      </c>
      <c r="E94" t="n">
        <v>92.758633</v>
      </c>
      <c r="F94" t="n">
        <v>198.898533</v>
      </c>
      <c r="G94" t="n">
        <v>74.370034</v>
      </c>
      <c r="H94" t="n">
        <v>143.388298</v>
      </c>
      <c r="I94" t="n">
        <v>137.630101</v>
      </c>
      <c r="J94" t="n">
        <v>137.630101</v>
      </c>
      <c r="K94" t="n">
        <v>132.468972</v>
      </c>
      <c r="L94" t="n">
        <v>418.824939</v>
      </c>
      <c r="M94" t="n">
        <v>418.824939</v>
      </c>
      <c r="N94" t="n">
        <v>443.184514</v>
      </c>
      <c r="O94" t="n">
        <v>74.286663</v>
      </c>
      <c r="P94" t="n">
        <v>38.351856</v>
      </c>
      <c r="W94" t="n">
        <v>77.14257600000001</v>
      </c>
      <c r="X94" t="n">
        <v>501.55581</v>
      </c>
      <c r="Y94" t="n">
        <v>30.634607</v>
      </c>
      <c r="Z94" t="n">
        <v>45.33149</v>
      </c>
    </row>
    <row r="95" ht="21" customHeight="1">
      <c r="A95" t="inlineStr">
        <is>
          <t>Leiognathus</t>
        </is>
      </c>
      <c r="B95" t="n">
        <v>3.22</v>
      </c>
      <c r="C95" t="n">
        <v>165.958691</v>
      </c>
      <c r="D95" s="11" t="inlineStr">
        <is>
          <t>Ponyfishes</t>
        </is>
      </c>
      <c r="E95" t="n">
        <v>92.758633</v>
      </c>
      <c r="F95" t="n">
        <v>55.624121</v>
      </c>
      <c r="G95" t="n">
        <v>26.356091</v>
      </c>
      <c r="H95" t="n">
        <v>61.131005</v>
      </c>
      <c r="I95" t="n">
        <v>58.637366</v>
      </c>
      <c r="J95" t="n">
        <v>58.637366</v>
      </c>
      <c r="K95" t="n">
        <v>56.980549</v>
      </c>
      <c r="L95" t="n">
        <v>167.671166</v>
      </c>
      <c r="M95" t="n">
        <v>167.671166</v>
      </c>
      <c r="N95" t="n">
        <v>176.99785</v>
      </c>
      <c r="O95" t="n">
        <v>35.276744</v>
      </c>
      <c r="P95" t="n">
        <v>19.385003</v>
      </c>
      <c r="W95" t="n">
        <v>36.372559</v>
      </c>
      <c r="X95" t="n">
        <v>200.137074</v>
      </c>
      <c r="Y95" t="n">
        <v>13.440773</v>
      </c>
      <c r="Z95" t="n">
        <v>22.381404</v>
      </c>
    </row>
    <row r="96" ht="21" customHeight="1">
      <c r="A96" t="inlineStr">
        <is>
          <t>Tetraodontidae</t>
        </is>
      </c>
      <c r="B96" t="n">
        <v>3.5</v>
      </c>
      <c r="C96" t="n">
        <v>316.227766</v>
      </c>
      <c r="D96" s="11" t="inlineStr">
        <is>
          <t>Med.dem.benth.</t>
        </is>
      </c>
      <c r="E96" t="n">
        <v>92.758633</v>
      </c>
      <c r="F96" t="n">
        <v>274.243815</v>
      </c>
      <c r="G96" t="n">
        <v>96.59934699999999</v>
      </c>
      <c r="H96" t="n">
        <v>166.63869</v>
      </c>
      <c r="I96" t="n">
        <v>215.944796</v>
      </c>
      <c r="J96" t="n">
        <v>215.944796</v>
      </c>
      <c r="K96" t="n">
        <v>193.300587</v>
      </c>
      <c r="L96" t="n">
        <v>664.022909</v>
      </c>
      <c r="M96" t="n">
        <v>664.022909</v>
      </c>
      <c r="N96" t="n">
        <v>702.550582</v>
      </c>
      <c r="O96" t="n">
        <v>105.870272</v>
      </c>
      <c r="P96" t="n">
        <v>53.740614</v>
      </c>
      <c r="W96" t="n">
        <v>108.869834</v>
      </c>
      <c r="X96" t="n">
        <v>799.677877</v>
      </c>
      <c r="Y96" t="n">
        <v>37.70608</v>
      </c>
      <c r="Z96" t="n">
        <v>51.4265</v>
      </c>
    </row>
    <row r="97" ht="21" customHeight="1">
      <c r="A97" t="inlineStr">
        <is>
          <t>Seriolina nigrofasciata</t>
        </is>
      </c>
      <c r="B97" t="n">
        <v>4.17</v>
      </c>
      <c r="C97" t="n">
        <v>1479.108388</v>
      </c>
      <c r="D97" s="11" t="inlineStr">
        <is>
          <t>Lg. piscivores | Juv.Lg.Pisciv.</t>
        </is>
      </c>
      <c r="E97" t="n">
        <v>92.758633</v>
      </c>
      <c r="F97" t="n">
        <v>629.8141419999999</v>
      </c>
      <c r="G97" t="n">
        <v>190.080993</v>
      </c>
      <c r="H97" t="n">
        <v>480.632956</v>
      </c>
      <c r="I97" t="n">
        <v>315.097689</v>
      </c>
      <c r="J97" t="n">
        <v>315.097689</v>
      </c>
      <c r="K97" t="n">
        <v>292.632358</v>
      </c>
      <c r="L97" t="n">
        <v>806.383997</v>
      </c>
      <c r="M97" t="n">
        <v>806.383997</v>
      </c>
      <c r="N97" t="n">
        <v>851.766221</v>
      </c>
      <c r="O97" t="n">
        <v>204.799662</v>
      </c>
      <c r="P97" t="n">
        <v>89.620936</v>
      </c>
      <c r="W97" t="n">
        <v>213.690011</v>
      </c>
      <c r="X97" t="n">
        <v>962.931199</v>
      </c>
      <c r="Y97" t="n">
        <v>64.546074</v>
      </c>
      <c r="Z97" t="n">
        <v>110.616316</v>
      </c>
    </row>
    <row r="98" ht="21" customHeight="1">
      <c r="A98" t="inlineStr">
        <is>
          <t>Miscellaneous aquatic invertebrates</t>
        </is>
      </c>
      <c r="B98" t="n">
        <v>2.43</v>
      </c>
      <c r="C98" t="n">
        <v>26.915348</v>
      </c>
      <c r="D98" s="11" t="inlineStr">
        <is>
          <t>Benthos</t>
        </is>
      </c>
      <c r="E98" t="n">
        <v>92.758633</v>
      </c>
      <c r="F98" t="n">
        <v>30.493728</v>
      </c>
      <c r="G98" t="n">
        <v>16.156554</v>
      </c>
      <c r="H98" t="n">
        <v>23.735388</v>
      </c>
      <c r="I98" t="n">
        <v>40.29524</v>
      </c>
      <c r="J98" t="n">
        <v>40.29524</v>
      </c>
      <c r="K98" t="n">
        <v>13.120387</v>
      </c>
      <c r="L98" t="n">
        <v>126.575988</v>
      </c>
      <c r="M98" t="n">
        <v>126.575988</v>
      </c>
      <c r="N98" t="n">
        <v>133.836756</v>
      </c>
      <c r="O98" t="n">
        <v>21.065935</v>
      </c>
      <c r="P98" t="n">
        <v>13.449167</v>
      </c>
      <c r="W98" t="n">
        <v>21.490914</v>
      </c>
      <c r="X98" t="n">
        <v>150.538596</v>
      </c>
      <c r="Y98" t="n">
        <v>9.112489</v>
      </c>
      <c r="Z98" t="n">
        <v>11.291188</v>
      </c>
    </row>
    <row r="99" ht="21" customHeight="1">
      <c r="A99" t="inlineStr">
        <is>
          <t>Parapenaeopsis</t>
        </is>
      </c>
      <c r="B99" t="n">
        <v>2.72</v>
      </c>
      <c r="C99" t="n">
        <v>52.480746</v>
      </c>
      <c r="D99" s="11" t="inlineStr">
        <is>
          <t>Shrimps</t>
        </is>
      </c>
      <c r="E99" t="n">
        <v>92.758633</v>
      </c>
      <c r="F99" t="n">
        <v>24.936879</v>
      </c>
      <c r="G99" t="n">
        <v>13.715732</v>
      </c>
      <c r="H99" t="n">
        <v>39.542201</v>
      </c>
      <c r="I99" t="n">
        <v>39.345557</v>
      </c>
      <c r="J99" t="n">
        <v>39.345557</v>
      </c>
      <c r="K99" t="n">
        <v>37.378279</v>
      </c>
      <c r="L99" t="n">
        <v>110.883242</v>
      </c>
      <c r="M99" t="n">
        <v>110.883242</v>
      </c>
      <c r="N99" t="n">
        <v>118.086052</v>
      </c>
      <c r="O99" t="n">
        <v>26.876504</v>
      </c>
      <c r="P99" t="n">
        <v>16.79886</v>
      </c>
      <c r="W99" t="n">
        <v>27.610867</v>
      </c>
      <c r="X99" t="n">
        <v>134.234083</v>
      </c>
      <c r="Y99" t="n">
        <v>8.001064</v>
      </c>
      <c r="Z99" t="n">
        <v>14.97557</v>
      </c>
    </row>
    <row r="100" ht="21" customHeight="1">
      <c r="A100" t="inlineStr">
        <is>
          <t>Lutjanus</t>
        </is>
      </c>
      <c r="B100" t="n">
        <v>4.02</v>
      </c>
      <c r="C100" t="n">
        <v>1047.128548</v>
      </c>
      <c r="D100" s="11" t="inlineStr">
        <is>
          <t>Grouper/snapper | Juv. groupers</t>
        </is>
      </c>
      <c r="E100" t="n">
        <v>92.758633</v>
      </c>
      <c r="F100" t="n">
        <v>729.665396</v>
      </c>
      <c r="G100" t="n">
        <v>214.274848</v>
      </c>
      <c r="H100" t="n">
        <v>601.521613</v>
      </c>
      <c r="I100" t="n">
        <v>458.291515</v>
      </c>
      <c r="J100" t="n">
        <v>458.291515</v>
      </c>
      <c r="K100" t="n">
        <v>404.883308</v>
      </c>
      <c r="L100" t="n">
        <v>1297.204135</v>
      </c>
      <c r="M100" t="n">
        <v>1297.204135</v>
      </c>
      <c r="N100" t="n">
        <v>1373.024947</v>
      </c>
      <c r="O100" t="n">
        <v>262.162033</v>
      </c>
      <c r="P100" t="n">
        <v>111.742313</v>
      </c>
      <c r="W100" t="n">
        <v>273.908931</v>
      </c>
      <c r="X100" t="n">
        <v>1584.887607</v>
      </c>
      <c r="Y100" t="n">
        <v>70.98925199999999</v>
      </c>
      <c r="Z100" t="n">
        <v>131.686727</v>
      </c>
    </row>
    <row r="101" ht="21" customHeight="1">
      <c r="A101" t="inlineStr">
        <is>
          <t>Cephalopoda</t>
        </is>
      </c>
      <c r="B101" t="n">
        <v>3.81</v>
      </c>
      <c r="C101" t="n">
        <v>645.654229</v>
      </c>
      <c r="D101" s="11" t="inlineStr">
        <is>
          <t>Cephalopods</t>
        </is>
      </c>
      <c r="E101" t="n">
        <v>92.758633</v>
      </c>
      <c r="F101" t="n">
        <v>207.108363</v>
      </c>
      <c r="G101" t="n">
        <v>76.859779</v>
      </c>
      <c r="H101" t="n">
        <v>153.276012</v>
      </c>
      <c r="I101" t="n">
        <v>121.77284</v>
      </c>
      <c r="J101" t="n">
        <v>121.77284</v>
      </c>
      <c r="K101" t="n">
        <v>118.23963</v>
      </c>
      <c r="L101" t="n">
        <v>349.557692</v>
      </c>
      <c r="M101" t="n">
        <v>349.557692</v>
      </c>
      <c r="N101" t="n">
        <v>370.254323</v>
      </c>
      <c r="O101" t="n">
        <v>98.097358</v>
      </c>
      <c r="P101" t="n">
        <v>49.643681</v>
      </c>
      <c r="W101" t="n">
        <v>100.957994</v>
      </c>
      <c r="X101" t="n">
        <v>407.059034</v>
      </c>
      <c r="Y101" t="n">
        <v>31.446324</v>
      </c>
      <c r="Z101" t="n">
        <v>45.753688</v>
      </c>
    </row>
    <row r="102" ht="21" customHeight="1">
      <c r="A102" t="inlineStr">
        <is>
          <t>Pristipomoides</t>
        </is>
      </c>
      <c r="B102" t="n">
        <v>3.91</v>
      </c>
      <c r="C102" t="n">
        <v>812.830516</v>
      </c>
      <c r="D102" s="11" t="inlineStr">
        <is>
          <t>Grouper/snapper | Juv. groupers</t>
        </is>
      </c>
      <c r="E102" t="n">
        <v>92.758633</v>
      </c>
      <c r="F102" t="n">
        <v>729.665396</v>
      </c>
      <c r="G102" t="n">
        <v>214.274848</v>
      </c>
      <c r="H102" t="n">
        <v>601.521613</v>
      </c>
      <c r="I102" t="n">
        <v>458.291515</v>
      </c>
      <c r="J102" t="n">
        <v>458.291515</v>
      </c>
      <c r="K102" t="n">
        <v>404.883308</v>
      </c>
      <c r="L102" t="n">
        <v>1297.204135</v>
      </c>
      <c r="M102" t="n">
        <v>1297.204135</v>
      </c>
      <c r="N102" t="n">
        <v>1373.024947</v>
      </c>
      <c r="O102" t="n">
        <v>262.162033</v>
      </c>
      <c r="P102" t="n">
        <v>111.742313</v>
      </c>
      <c r="W102" t="n">
        <v>273.908931</v>
      </c>
      <c r="X102" t="n">
        <v>1584.887607</v>
      </c>
      <c r="Y102" t="n">
        <v>70.98925199999999</v>
      </c>
      <c r="Z102" t="n">
        <v>131.686727</v>
      </c>
    </row>
    <row r="103" ht="21" customHeight="1">
      <c r="A103" t="inlineStr">
        <is>
          <t>Lutjanus quinquelineatus</t>
        </is>
      </c>
      <c r="B103" t="n">
        <v>3.68</v>
      </c>
      <c r="C103" t="n">
        <v>478.630092</v>
      </c>
      <c r="D103" s="11" t="inlineStr">
        <is>
          <t>Grouper/snapper | Juv. groupers</t>
        </is>
      </c>
      <c r="E103" t="n">
        <v>92.758633</v>
      </c>
      <c r="F103" t="n">
        <v>729.665396</v>
      </c>
      <c r="G103" t="n">
        <v>214.274848</v>
      </c>
      <c r="H103" t="n">
        <v>601.521613</v>
      </c>
      <c r="I103" t="n">
        <v>458.291515</v>
      </c>
      <c r="J103" t="n">
        <v>458.291515</v>
      </c>
      <c r="K103" t="n">
        <v>404.883308</v>
      </c>
      <c r="L103" t="n">
        <v>1297.204135</v>
      </c>
      <c r="M103" t="n">
        <v>1297.204135</v>
      </c>
      <c r="N103" t="n">
        <v>1373.024947</v>
      </c>
      <c r="O103" t="n">
        <v>262.162033</v>
      </c>
      <c r="P103" t="n">
        <v>111.742313</v>
      </c>
      <c r="W103" t="n">
        <v>273.908931</v>
      </c>
      <c r="X103" t="n">
        <v>1584.887607</v>
      </c>
      <c r="Y103" t="n">
        <v>70.98925199999999</v>
      </c>
      <c r="Z103" t="n">
        <v>131.686727</v>
      </c>
    </row>
    <row r="104" ht="21" customHeight="1">
      <c r="A104" t="inlineStr">
        <is>
          <t>Siganus</t>
        </is>
      </c>
      <c r="B104" t="n">
        <v>2.11</v>
      </c>
      <c r="C104" t="n">
        <v>12.882496</v>
      </c>
      <c r="D104" s="11" t="inlineStr">
        <is>
          <t>O.fish</t>
        </is>
      </c>
      <c r="E104" t="n">
        <v>92.758633</v>
      </c>
      <c r="F104" t="n">
        <v>41.788101</v>
      </c>
      <c r="G104" t="n">
        <v>20.881264</v>
      </c>
      <c r="H104" t="n">
        <v>52.028891</v>
      </c>
      <c r="I104" t="n">
        <v>48.21537</v>
      </c>
      <c r="J104" t="n">
        <v>48.21537</v>
      </c>
      <c r="K104" t="n">
        <v>48.150458</v>
      </c>
      <c r="L104" t="n">
        <v>135.960121</v>
      </c>
      <c r="M104" t="n">
        <v>135.960121</v>
      </c>
      <c r="N104" t="n">
        <v>143.850985</v>
      </c>
      <c r="O104" t="n">
        <v>31.644149</v>
      </c>
      <c r="P104" t="n">
        <v>18.19469</v>
      </c>
      <c r="W104" t="n">
        <v>32.429472</v>
      </c>
      <c r="X104" t="n">
        <v>163.410873</v>
      </c>
      <c r="Y104" t="n">
        <v>11.171569</v>
      </c>
      <c r="Z104" t="n">
        <v>19.389776</v>
      </c>
    </row>
    <row r="105" ht="21" customHeight="1">
      <c r="A105" t="inlineStr">
        <is>
          <t>Nemipterus japonicus</t>
        </is>
      </c>
      <c r="B105" t="n">
        <v>3.77</v>
      </c>
      <c r="C105" t="n">
        <v>588.843655</v>
      </c>
      <c r="D105" s="11" t="inlineStr">
        <is>
          <t>Sm.dem.benth.</t>
        </is>
      </c>
      <c r="E105" t="n">
        <v>92.758633</v>
      </c>
      <c r="F105" t="n">
        <v>135.946622</v>
      </c>
      <c r="G105" t="n">
        <v>54.557109</v>
      </c>
      <c r="H105" t="n">
        <v>104.458273</v>
      </c>
      <c r="I105" t="n">
        <v>106.771533</v>
      </c>
      <c r="J105" t="n">
        <v>106.771533</v>
      </c>
      <c r="K105" t="n">
        <v>89.978955</v>
      </c>
      <c r="L105" t="n">
        <v>308.045854</v>
      </c>
      <c r="M105" t="n">
        <v>308.045854</v>
      </c>
      <c r="N105" t="n">
        <v>325.959633</v>
      </c>
      <c r="O105" t="n">
        <v>56.685005</v>
      </c>
      <c r="P105" t="n">
        <v>30.438514</v>
      </c>
      <c r="W105" t="n">
        <v>58.087916</v>
      </c>
      <c r="X105" t="n">
        <v>369.109424</v>
      </c>
      <c r="Y105" t="n">
        <v>23.952956</v>
      </c>
      <c r="Z105" t="n">
        <v>34.558123</v>
      </c>
    </row>
    <row r="106" ht="21" customHeight="1">
      <c r="A106" t="inlineStr">
        <is>
          <t>Mugil</t>
        </is>
      </c>
      <c r="B106" t="n">
        <v>2.26</v>
      </c>
      <c r="C106" t="n">
        <v>18.197009</v>
      </c>
      <c r="D106" s="11" t="inlineStr">
        <is>
          <t>O.fish</t>
        </is>
      </c>
      <c r="E106" t="n">
        <v>92.758633</v>
      </c>
      <c r="F106" t="n">
        <v>41.788101</v>
      </c>
      <c r="G106" t="n">
        <v>20.881264</v>
      </c>
      <c r="H106" t="n">
        <v>52.028891</v>
      </c>
      <c r="I106" t="n">
        <v>48.21537</v>
      </c>
      <c r="J106" t="n">
        <v>48.21537</v>
      </c>
      <c r="K106" t="n">
        <v>48.150458</v>
      </c>
      <c r="L106" t="n">
        <v>135.960121</v>
      </c>
      <c r="M106" t="n">
        <v>135.960121</v>
      </c>
      <c r="N106" t="n">
        <v>143.850985</v>
      </c>
      <c r="O106" t="n">
        <v>31.644149</v>
      </c>
      <c r="P106" t="n">
        <v>18.19469</v>
      </c>
      <c r="W106" t="n">
        <v>32.429472</v>
      </c>
      <c r="X106" t="n">
        <v>163.410873</v>
      </c>
      <c r="Y106" t="n">
        <v>11.171569</v>
      </c>
      <c r="Z106" t="n">
        <v>19.389776</v>
      </c>
    </row>
    <row r="107" ht="21" customHeight="1">
      <c r="A107" t="inlineStr">
        <is>
          <t>Ilisha elongata</t>
        </is>
      </c>
      <c r="B107" t="n">
        <v>3.79</v>
      </c>
      <c r="C107" t="n">
        <v>616.595002</v>
      </c>
      <c r="D107" s="11" t="inlineStr">
        <is>
          <t>Sm. pelagics</t>
        </is>
      </c>
      <c r="E107" t="n">
        <v>92.758633</v>
      </c>
      <c r="F107" t="n">
        <v>79.432823</v>
      </c>
      <c r="G107" t="n">
        <v>35.22555</v>
      </c>
      <c r="H107" t="n">
        <v>36.979496</v>
      </c>
      <c r="I107" t="n">
        <v>22.609246</v>
      </c>
      <c r="J107" t="n">
        <v>22.609246</v>
      </c>
      <c r="K107" t="n">
        <v>21.478784</v>
      </c>
      <c r="L107" t="n">
        <v>30.239099</v>
      </c>
      <c r="M107" t="n">
        <v>30.239099</v>
      </c>
      <c r="N107" t="n">
        <v>31.345103</v>
      </c>
      <c r="O107" t="n">
        <v>25.592867</v>
      </c>
      <c r="P107" t="n">
        <v>15.901406</v>
      </c>
      <c r="W107" t="n">
        <v>26.701358</v>
      </c>
      <c r="X107" t="n">
        <v>32.392065</v>
      </c>
      <c r="Y107" t="n">
        <v>16.922772</v>
      </c>
      <c r="Z107" t="n">
        <v>17.234838</v>
      </c>
    </row>
    <row r="108" ht="21" customHeight="1">
      <c r="A108" t="inlineStr">
        <is>
          <t>Carangoides</t>
        </is>
      </c>
      <c r="B108" t="n">
        <v>4.34</v>
      </c>
      <c r="C108" t="n">
        <v>2187.761624</v>
      </c>
      <c r="D108" s="11" t="inlineStr">
        <is>
          <t>Lg. piscivores | Juv.Lg.Pisciv.</t>
        </is>
      </c>
      <c r="E108" t="n">
        <v>92.758633</v>
      </c>
      <c r="F108" t="n">
        <v>629.8141419999999</v>
      </c>
      <c r="G108" t="n">
        <v>190.080993</v>
      </c>
      <c r="H108" t="n">
        <v>480.632956</v>
      </c>
      <c r="I108" t="n">
        <v>315.097689</v>
      </c>
      <c r="J108" t="n">
        <v>315.097689</v>
      </c>
      <c r="K108" t="n">
        <v>292.632358</v>
      </c>
      <c r="L108" t="n">
        <v>806.383997</v>
      </c>
      <c r="M108" t="n">
        <v>806.383997</v>
      </c>
      <c r="N108" t="n">
        <v>851.766221</v>
      </c>
      <c r="O108" t="n">
        <v>204.799662</v>
      </c>
      <c r="P108" t="n">
        <v>89.620936</v>
      </c>
      <c r="W108" t="n">
        <v>213.690011</v>
      </c>
      <c r="X108" t="n">
        <v>962.931199</v>
      </c>
      <c r="Y108" t="n">
        <v>64.546074</v>
      </c>
      <c r="Z108" t="n">
        <v>110.616316</v>
      </c>
    </row>
    <row r="109" ht="21" customHeight="1">
      <c r="A109" t="inlineStr">
        <is>
          <t>Tegillarca granosa</t>
        </is>
      </c>
      <c r="B109" t="n">
        <v>2</v>
      </c>
      <c r="C109" t="n">
        <v>10</v>
      </c>
      <c r="D109" s="11" t="inlineStr">
        <is>
          <t>Molluscs</t>
        </is>
      </c>
      <c r="E109" t="n">
        <v>92.758633</v>
      </c>
      <c r="F109" t="n">
        <v>15.848932</v>
      </c>
      <c r="G109" t="n">
        <v>9.483373</v>
      </c>
      <c r="H109" t="n">
        <v>13.28747</v>
      </c>
      <c r="I109" t="n">
        <v>8.760194</v>
      </c>
      <c r="J109" t="n">
        <v>8.760194</v>
      </c>
      <c r="K109" t="n">
        <v>7.884174</v>
      </c>
      <c r="L109" t="n">
        <v>10.549912</v>
      </c>
      <c r="M109" t="n">
        <v>10.549912</v>
      </c>
      <c r="N109" t="n">
        <v>10.809345</v>
      </c>
      <c r="O109" t="n">
        <v>8.798415</v>
      </c>
      <c r="P109" t="n">
        <v>6.022535</v>
      </c>
      <c r="W109" t="n">
        <v>8.947789999999999</v>
      </c>
      <c r="X109" t="n">
        <v>11.156289</v>
      </c>
      <c r="Y109" t="n">
        <v>5.968659</v>
      </c>
      <c r="Z109" t="n">
        <v>7.276791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O.fish</t>
        </is>
      </c>
      <c r="E110" t="n">
        <v>92.758633</v>
      </c>
      <c r="F110" t="n">
        <v>41.788101</v>
      </c>
      <c r="G110" t="n">
        <v>20.881264</v>
      </c>
      <c r="H110" t="n">
        <v>52.028891</v>
      </c>
      <c r="I110" t="n">
        <v>48.21537</v>
      </c>
      <c r="J110" t="n">
        <v>48.21537</v>
      </c>
      <c r="K110" t="n">
        <v>48.150458</v>
      </c>
      <c r="L110" t="n">
        <v>135.960121</v>
      </c>
      <c r="M110" t="n">
        <v>135.960121</v>
      </c>
      <c r="N110" t="n">
        <v>143.850985</v>
      </c>
      <c r="O110" t="n">
        <v>31.644149</v>
      </c>
      <c r="P110" t="n">
        <v>18.19469</v>
      </c>
      <c r="W110" t="n">
        <v>32.429472</v>
      </c>
      <c r="X110" t="n">
        <v>163.410873</v>
      </c>
      <c r="Y110" t="n">
        <v>11.171569</v>
      </c>
      <c r="Z110" t="n">
        <v>19.389776</v>
      </c>
    </row>
    <row r="111" ht="21" customHeight="1">
      <c r="A111" t="inlineStr">
        <is>
          <t>Mierspenaeopsis sculptilis</t>
        </is>
      </c>
      <c r="B111" t="n">
        <v>2.71</v>
      </c>
      <c r="C111" t="n">
        <v>51.286138</v>
      </c>
      <c r="D111" s="11" t="inlineStr">
        <is>
          <t>Shrimps</t>
        </is>
      </c>
      <c r="E111" t="n">
        <v>92.758633</v>
      </c>
      <c r="F111" t="n">
        <v>24.936879</v>
      </c>
      <c r="G111" t="n">
        <v>13.715732</v>
      </c>
      <c r="H111" t="n">
        <v>39.542201</v>
      </c>
      <c r="I111" t="n">
        <v>39.345557</v>
      </c>
      <c r="J111" t="n">
        <v>39.345557</v>
      </c>
      <c r="K111" t="n">
        <v>37.378279</v>
      </c>
      <c r="L111" t="n">
        <v>110.883242</v>
      </c>
      <c r="M111" t="n">
        <v>110.883242</v>
      </c>
      <c r="N111" t="n">
        <v>118.086052</v>
      </c>
      <c r="O111" t="n">
        <v>26.876504</v>
      </c>
      <c r="P111" t="n">
        <v>16.79886</v>
      </c>
      <c r="W111" t="n">
        <v>27.610867</v>
      </c>
      <c r="X111" t="n">
        <v>134.234083</v>
      </c>
      <c r="Y111" t="n">
        <v>8.001064</v>
      </c>
      <c r="Z111" t="n">
        <v>14.97557</v>
      </c>
    </row>
    <row r="112" ht="21" customHeight="1">
      <c r="A112" t="inlineStr">
        <is>
          <t>Ozius guttatus</t>
        </is>
      </c>
      <c r="B112" t="n">
        <v>3.7</v>
      </c>
      <c r="C112" t="n">
        <v>501.187234</v>
      </c>
      <c r="D112" s="11" t="inlineStr">
        <is>
          <t>Crab, lobster</t>
        </is>
      </c>
      <c r="E112" t="n">
        <v>92.758633</v>
      </c>
      <c r="F112" t="n">
        <v>55.221127</v>
      </c>
      <c r="G112" t="n">
        <v>26.200528</v>
      </c>
      <c r="H112" t="n">
        <v>80.616586</v>
      </c>
      <c r="I112" t="n">
        <v>96.283275</v>
      </c>
      <c r="J112" t="n">
        <v>96.283275</v>
      </c>
      <c r="K112" t="n">
        <v>82.59048</v>
      </c>
      <c r="L112" t="n">
        <v>295.897518</v>
      </c>
      <c r="M112" t="n">
        <v>295.897518</v>
      </c>
      <c r="N112" t="n">
        <v>313.590452</v>
      </c>
      <c r="O112" t="n">
        <v>47.292261</v>
      </c>
      <c r="P112" t="n">
        <v>26.133043</v>
      </c>
      <c r="W112" t="n">
        <v>48.215972</v>
      </c>
      <c r="X112" t="n">
        <v>354.467589</v>
      </c>
      <c r="Y112" t="n">
        <v>13.377731</v>
      </c>
      <c r="Z112" t="n">
        <v>27.235027</v>
      </c>
    </row>
    <row r="113" ht="51" customHeight="1">
      <c r="A113" t="inlineStr">
        <is>
          <t>Marine groundfishes not identified</t>
        </is>
      </c>
      <c r="B113" t="n">
        <v>3.22</v>
      </c>
      <c r="C113" t="n">
        <v>165.958691</v>
      </c>
      <c r="D113" s="11" t="inlineStr">
        <is>
          <t>Med.dem.benth. | Med.dem.pisc. | Sm.dem.benth. | Sm.dem.pisc. | O.fish</t>
        </is>
      </c>
      <c r="E113" t="n">
        <v>92.758633</v>
      </c>
      <c r="F113" t="n">
        <v>206.950774</v>
      </c>
      <c r="G113" t="n">
        <v>76.47147699999999</v>
      </c>
      <c r="H113" t="n">
        <v>174.988745</v>
      </c>
      <c r="I113" t="n">
        <v>152.73063</v>
      </c>
      <c r="J113" t="n">
        <v>152.73063</v>
      </c>
      <c r="K113" t="n">
        <v>147.353313</v>
      </c>
      <c r="L113" t="n">
        <v>437.074857</v>
      </c>
      <c r="M113" t="n">
        <v>437.074857</v>
      </c>
      <c r="N113" t="n">
        <v>462.80939</v>
      </c>
      <c r="O113" t="n">
        <v>95.728662</v>
      </c>
      <c r="P113" t="n">
        <v>47.813164</v>
      </c>
      <c r="W113" t="n">
        <v>99.091415</v>
      </c>
      <c r="X113" t="n">
        <v>526.032469</v>
      </c>
      <c r="Y113" t="n">
        <v>31.208611</v>
      </c>
      <c r="Z113" t="n">
        <v>49.217684</v>
      </c>
    </row>
    <row r="114" ht="21" customHeight="1">
      <c r="A114" t="inlineStr">
        <is>
          <t>Bothidae</t>
        </is>
      </c>
      <c r="B114" t="n">
        <v>3.77</v>
      </c>
      <c r="C114" t="n">
        <v>588.843655</v>
      </c>
      <c r="D114" s="11" t="inlineStr">
        <is>
          <t>Flatfish</t>
        </is>
      </c>
      <c r="E114" t="n">
        <v>92.758633</v>
      </c>
      <c r="F114" t="n">
        <v>198.898533</v>
      </c>
      <c r="G114" t="n">
        <v>74.370034</v>
      </c>
      <c r="H114" t="n">
        <v>143.388298</v>
      </c>
      <c r="I114" t="n">
        <v>137.630101</v>
      </c>
      <c r="J114" t="n">
        <v>137.630101</v>
      </c>
      <c r="K114" t="n">
        <v>132.468972</v>
      </c>
      <c r="L114" t="n">
        <v>418.824939</v>
      </c>
      <c r="M114" t="n">
        <v>418.824939</v>
      </c>
      <c r="N114" t="n">
        <v>443.184514</v>
      </c>
      <c r="O114" t="n">
        <v>74.286663</v>
      </c>
      <c r="P114" t="n">
        <v>38.351856</v>
      </c>
      <c r="W114" t="n">
        <v>77.14257600000001</v>
      </c>
      <c r="X114" t="n">
        <v>501.55581</v>
      </c>
      <c r="Y114" t="n">
        <v>30.634607</v>
      </c>
      <c r="Z114" t="n">
        <v>45.33149</v>
      </c>
    </row>
    <row r="115" ht="21" customHeight="1">
      <c r="A115" t="inlineStr">
        <is>
          <t>Thunnus albacares</t>
        </is>
      </c>
      <c r="B115" t="n">
        <v>4.41</v>
      </c>
      <c r="C115" t="n">
        <v>2570.395783</v>
      </c>
      <c r="D115" s="11" t="inlineStr">
        <is>
          <t>Tuna</t>
        </is>
      </c>
      <c r="E115" t="n">
        <v>92.758633</v>
      </c>
      <c r="F115" t="n">
        <v>1217.891849</v>
      </c>
      <c r="G115" t="n">
        <v>325.165267</v>
      </c>
      <c r="H115" t="n">
        <v>703.930824</v>
      </c>
      <c r="I115" t="n">
        <v>327.693492</v>
      </c>
      <c r="J115" t="n">
        <v>327.693492</v>
      </c>
      <c r="K115" t="n">
        <v>311.308817</v>
      </c>
      <c r="L115" t="n">
        <v>675.870038</v>
      </c>
      <c r="M115" t="n">
        <v>675.870038</v>
      </c>
      <c r="N115" t="n">
        <v>710.633419</v>
      </c>
      <c r="O115" t="n">
        <v>254.942405</v>
      </c>
      <c r="P115" t="n">
        <v>107.862693</v>
      </c>
      <c r="W115" t="n">
        <v>271.503704</v>
      </c>
      <c r="X115" t="n">
        <v>791.598393</v>
      </c>
      <c r="Y115" t="n">
        <v>98.86518</v>
      </c>
      <c r="Z115" t="n">
        <v>153.001145</v>
      </c>
    </row>
    <row r="116" ht="21" customHeight="1">
      <c r="A116" t="inlineStr">
        <is>
          <t>Rachycentron canadum</t>
        </is>
      </c>
      <c r="B116" t="n">
        <v>3.96</v>
      </c>
      <c r="C116" t="n">
        <v>912.010839</v>
      </c>
      <c r="D116" s="11" t="inlineStr">
        <is>
          <t>Lg. piscivores | Juv.Lg.Pisciv.</t>
        </is>
      </c>
      <c r="E116" t="n">
        <v>92.758633</v>
      </c>
      <c r="F116" t="n">
        <v>629.8141419999999</v>
      </c>
      <c r="G116" t="n">
        <v>190.080993</v>
      </c>
      <c r="H116" t="n">
        <v>480.632956</v>
      </c>
      <c r="I116" t="n">
        <v>315.097689</v>
      </c>
      <c r="J116" t="n">
        <v>315.097689</v>
      </c>
      <c r="K116" t="n">
        <v>292.632358</v>
      </c>
      <c r="L116" t="n">
        <v>806.383997</v>
      </c>
      <c r="M116" t="n">
        <v>806.383997</v>
      </c>
      <c r="N116" t="n">
        <v>851.766221</v>
      </c>
      <c r="O116" t="n">
        <v>204.799662</v>
      </c>
      <c r="P116" t="n">
        <v>89.620936</v>
      </c>
      <c r="W116" t="n">
        <v>213.690011</v>
      </c>
      <c r="X116" t="n">
        <v>962.931199</v>
      </c>
      <c r="Y116" t="n">
        <v>64.546074</v>
      </c>
      <c r="Z116" t="n">
        <v>110.616316</v>
      </c>
    </row>
    <row r="117" ht="21" customHeight="1">
      <c r="A117" t="inlineStr">
        <is>
          <t>Penaeus japonicus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92.758633</v>
      </c>
      <c r="F117" t="n">
        <v>24.936879</v>
      </c>
      <c r="G117" t="n">
        <v>13.715732</v>
      </c>
      <c r="H117" t="n">
        <v>39.542201</v>
      </c>
      <c r="I117" t="n">
        <v>39.345557</v>
      </c>
      <c r="J117" t="n">
        <v>39.345557</v>
      </c>
      <c r="K117" t="n">
        <v>37.378279</v>
      </c>
      <c r="L117" t="n">
        <v>110.883242</v>
      </c>
      <c r="M117" t="n">
        <v>110.883242</v>
      </c>
      <c r="N117" t="n">
        <v>118.086052</v>
      </c>
      <c r="O117" t="n">
        <v>26.876504</v>
      </c>
      <c r="P117" t="n">
        <v>16.79886</v>
      </c>
      <c r="W117" t="n">
        <v>27.610867</v>
      </c>
      <c r="X117" t="n">
        <v>134.234083</v>
      </c>
      <c r="Y117" t="n">
        <v>8.001064</v>
      </c>
      <c r="Z117" t="n">
        <v>14.97557</v>
      </c>
    </row>
    <row r="118" ht="21" customHeight="1">
      <c r="A118" t="inlineStr">
        <is>
          <t>Melicertus canaliculatus</t>
        </is>
      </c>
      <c r="B118" t="n">
        <v>3.77</v>
      </c>
      <c r="C118" t="n">
        <v>588.843655</v>
      </c>
      <c r="D118" s="11" t="inlineStr">
        <is>
          <t>Shrimps</t>
        </is>
      </c>
      <c r="E118" t="n">
        <v>92.758633</v>
      </c>
      <c r="F118" t="n">
        <v>24.936879</v>
      </c>
      <c r="G118" t="n">
        <v>13.715732</v>
      </c>
      <c r="H118" t="n">
        <v>39.542201</v>
      </c>
      <c r="I118" t="n">
        <v>39.345557</v>
      </c>
      <c r="J118" t="n">
        <v>39.345557</v>
      </c>
      <c r="K118" t="n">
        <v>37.378279</v>
      </c>
      <c r="L118" t="n">
        <v>110.883242</v>
      </c>
      <c r="M118" t="n">
        <v>110.883242</v>
      </c>
      <c r="N118" t="n">
        <v>118.086052</v>
      </c>
      <c r="O118" t="n">
        <v>26.876504</v>
      </c>
      <c r="P118" t="n">
        <v>16.79886</v>
      </c>
      <c r="W118" t="n">
        <v>27.610867</v>
      </c>
      <c r="X118" t="n">
        <v>134.234083</v>
      </c>
      <c r="Y118" t="n">
        <v>8.001064</v>
      </c>
      <c r="Z118" t="n">
        <v>14.97557</v>
      </c>
    </row>
    <row r="119" ht="21" customHeight="1">
      <c r="A119" t="inlineStr">
        <is>
          <t>Plectorhinchus</t>
        </is>
      </c>
      <c r="B119" t="n">
        <v>3.43</v>
      </c>
      <c r="C119" t="n">
        <v>269.15348</v>
      </c>
      <c r="D119" s="11" t="inlineStr">
        <is>
          <t>Med.dem.benth.</t>
        </is>
      </c>
      <c r="E119" t="n">
        <v>92.758633</v>
      </c>
      <c r="F119" t="n">
        <v>274.243815</v>
      </c>
      <c r="G119" t="n">
        <v>96.59934699999999</v>
      </c>
      <c r="H119" t="n">
        <v>166.63869</v>
      </c>
      <c r="I119" t="n">
        <v>215.944796</v>
      </c>
      <c r="J119" t="n">
        <v>215.944796</v>
      </c>
      <c r="K119" t="n">
        <v>193.300587</v>
      </c>
      <c r="L119" t="n">
        <v>664.022909</v>
      </c>
      <c r="M119" t="n">
        <v>664.022909</v>
      </c>
      <c r="N119" t="n">
        <v>702.550582</v>
      </c>
      <c r="O119" t="n">
        <v>105.870272</v>
      </c>
      <c r="P119" t="n">
        <v>53.740614</v>
      </c>
      <c r="W119" t="n">
        <v>108.869834</v>
      </c>
      <c r="X119" t="n">
        <v>799.677877</v>
      </c>
      <c r="Y119" t="n">
        <v>37.70608</v>
      </c>
      <c r="Z119" t="n">
        <v>51.4265</v>
      </c>
    </row>
    <row r="120" ht="21" customHeight="1">
      <c r="A120" t="inlineStr">
        <is>
          <t>Pampus argenteus</t>
        </is>
      </c>
      <c r="B120" t="n">
        <v>3.3</v>
      </c>
      <c r="C120" t="n">
        <v>199.526231</v>
      </c>
      <c r="D120" s="11" t="inlineStr">
        <is>
          <t>Med.dem.benth.</t>
        </is>
      </c>
      <c r="E120" t="n">
        <v>92.758633</v>
      </c>
      <c r="F120" t="n">
        <v>274.243815</v>
      </c>
      <c r="G120" t="n">
        <v>96.59934699999999</v>
      </c>
      <c r="H120" t="n">
        <v>166.63869</v>
      </c>
      <c r="I120" t="n">
        <v>215.944796</v>
      </c>
      <c r="J120" t="n">
        <v>215.944796</v>
      </c>
      <c r="K120" t="n">
        <v>193.300587</v>
      </c>
      <c r="L120" t="n">
        <v>664.022909</v>
      </c>
      <c r="M120" t="n">
        <v>664.022909</v>
      </c>
      <c r="N120" t="n">
        <v>702.550582</v>
      </c>
      <c r="O120" t="n">
        <v>105.870272</v>
      </c>
      <c r="P120" t="n">
        <v>53.740614</v>
      </c>
      <c r="W120" t="n">
        <v>108.869834</v>
      </c>
      <c r="X120" t="n">
        <v>799.677877</v>
      </c>
      <c r="Y120" t="n">
        <v>37.70608</v>
      </c>
      <c r="Z120" t="n">
        <v>51.4265</v>
      </c>
    </row>
    <row r="121" ht="21" customHeight="1">
      <c r="A121" t="inlineStr">
        <is>
          <t>Muraenesox</t>
        </is>
      </c>
      <c r="B121" t="n">
        <v>3.99</v>
      </c>
      <c r="C121" t="n">
        <v>977.237221</v>
      </c>
      <c r="D121" s="11" t="inlineStr">
        <is>
          <t>Juv.Lg.Pisciv. | Lg. piscivores</t>
        </is>
      </c>
      <c r="E121" t="n">
        <v>92.758633</v>
      </c>
      <c r="F121" t="n">
        <v>629.8141419999999</v>
      </c>
      <c r="G121" t="n">
        <v>190.080993</v>
      </c>
      <c r="H121" t="n">
        <v>480.632956</v>
      </c>
      <c r="I121" t="n">
        <v>315.097689</v>
      </c>
      <c r="J121" t="n">
        <v>315.097689</v>
      </c>
      <c r="K121" t="n">
        <v>292.632358</v>
      </c>
      <c r="L121" t="n">
        <v>806.383997</v>
      </c>
      <c r="M121" t="n">
        <v>806.383997</v>
      </c>
      <c r="N121" t="n">
        <v>851.766221</v>
      </c>
      <c r="O121" t="n">
        <v>204.799662</v>
      </c>
      <c r="P121" t="n">
        <v>89.620936</v>
      </c>
      <c r="W121" t="n">
        <v>213.690011</v>
      </c>
      <c r="X121" t="n">
        <v>962.931199</v>
      </c>
      <c r="Y121" t="n">
        <v>64.546074</v>
      </c>
      <c r="Z121" t="n">
        <v>110.616316</v>
      </c>
    </row>
    <row r="122" ht="21" customHeight="1">
      <c r="A122" t="inlineStr">
        <is>
          <t>Scomberomorus commerson</t>
        </is>
      </c>
      <c r="B122" t="n">
        <v>4.5</v>
      </c>
      <c r="C122" t="n">
        <v>3162.27766</v>
      </c>
      <c r="D122" s="11" t="inlineStr">
        <is>
          <t>Scomberomorus</t>
        </is>
      </c>
      <c r="E122" t="n">
        <v>92.758633</v>
      </c>
      <c r="F122" t="n">
        <v>729.447588</v>
      </c>
      <c r="G122" t="n">
        <v>214.222773</v>
      </c>
      <c r="H122" t="n">
        <v>444.290446</v>
      </c>
      <c r="I122" t="n">
        <v>234.170666</v>
      </c>
      <c r="J122" t="n">
        <v>234.170666</v>
      </c>
      <c r="K122" t="n">
        <v>222.462132</v>
      </c>
      <c r="L122" t="n">
        <v>510.434635</v>
      </c>
      <c r="M122" t="n">
        <v>510.434635</v>
      </c>
      <c r="N122" t="n">
        <v>537.808771</v>
      </c>
      <c r="O122" t="n">
        <v>191.217924</v>
      </c>
      <c r="P122" t="n">
        <v>85.80764499999999</v>
      </c>
      <c r="W122" t="n">
        <v>201.393966</v>
      </c>
      <c r="X122" t="n">
        <v>601.019559</v>
      </c>
      <c r="Y122" t="n">
        <v>70.97555</v>
      </c>
      <c r="Z122" t="n">
        <v>108.592819</v>
      </c>
    </row>
    <row r="123" ht="36" customHeight="1">
      <c r="A123" t="inlineStr">
        <is>
          <t>Clupeiformes</t>
        </is>
      </c>
      <c r="B123" t="n">
        <v>3.24</v>
      </c>
      <c r="C123" t="n">
        <v>173.780083</v>
      </c>
      <c r="D123" s="11" t="inlineStr">
        <is>
          <t>Sm. pelagics | Lg. piscivores | Juv.Lg.Pisciv.</t>
        </is>
      </c>
      <c r="E123" t="n">
        <v>92.758633</v>
      </c>
      <c r="F123" t="n">
        <v>165.080137</v>
      </c>
      <c r="G123" t="n">
        <v>59.323303</v>
      </c>
      <c r="H123" t="n">
        <v>106.018407</v>
      </c>
      <c r="I123" t="n">
        <v>68.124689</v>
      </c>
      <c r="J123" t="n">
        <v>68.124689</v>
      </c>
      <c r="K123" t="n">
        <v>63.674212</v>
      </c>
      <c r="L123" t="n">
        <v>151.0185</v>
      </c>
      <c r="M123" t="n">
        <v>151.0185</v>
      </c>
      <c r="N123" t="n">
        <v>159.014525</v>
      </c>
      <c r="O123" t="n">
        <v>53.480043</v>
      </c>
      <c r="P123" t="n">
        <v>27.373234</v>
      </c>
      <c r="W123" t="n">
        <v>55.799504</v>
      </c>
      <c r="X123" t="n">
        <v>177.197447</v>
      </c>
      <c r="Y123" t="n">
        <v>24.333648</v>
      </c>
      <c r="Z123" t="n">
        <v>31.76635</v>
      </c>
    </row>
    <row r="124" ht="21" customHeight="1">
      <c r="A124" t="inlineStr">
        <is>
          <t>Sphyraena obtusata</t>
        </is>
      </c>
      <c r="B124" t="n">
        <v>4.5</v>
      </c>
      <c r="C124" t="n">
        <v>3162.27766</v>
      </c>
      <c r="D124" s="11" t="inlineStr">
        <is>
          <t>Juv.Lg.Pisciv. | Lg. piscivores</t>
        </is>
      </c>
      <c r="E124" t="n">
        <v>92.758633</v>
      </c>
      <c r="F124" t="n">
        <v>629.8141419999999</v>
      </c>
      <c r="G124" t="n">
        <v>190.080993</v>
      </c>
      <c r="H124" t="n">
        <v>480.632956</v>
      </c>
      <c r="I124" t="n">
        <v>315.097689</v>
      </c>
      <c r="J124" t="n">
        <v>315.097689</v>
      </c>
      <c r="K124" t="n">
        <v>292.632358</v>
      </c>
      <c r="L124" t="n">
        <v>806.383997</v>
      </c>
      <c r="M124" t="n">
        <v>806.383997</v>
      </c>
      <c r="N124" t="n">
        <v>851.766221</v>
      </c>
      <c r="O124" t="n">
        <v>204.799662</v>
      </c>
      <c r="P124" t="n">
        <v>89.620936</v>
      </c>
      <c r="W124" t="n">
        <v>213.690011</v>
      </c>
      <c r="X124" t="n">
        <v>962.931199</v>
      </c>
      <c r="Y124" t="n">
        <v>64.546074</v>
      </c>
      <c r="Z124" t="n">
        <v>110.616316</v>
      </c>
    </row>
    <row r="125" ht="21" customHeight="1">
      <c r="A125" t="inlineStr">
        <is>
          <t>Scyris indica</t>
        </is>
      </c>
      <c r="B125" t="n">
        <v>4.09</v>
      </c>
      <c r="C125" t="n">
        <v>1230.268771</v>
      </c>
      <c r="D125" s="11" t="inlineStr">
        <is>
          <t>Lg. piscivores | Juv.Lg.Pisciv.</t>
        </is>
      </c>
      <c r="E125" t="n">
        <v>92.758633</v>
      </c>
      <c r="F125" t="n">
        <v>629.8141419999999</v>
      </c>
      <c r="G125" t="n">
        <v>190.080993</v>
      </c>
      <c r="H125" t="n">
        <v>480.632956</v>
      </c>
      <c r="I125" t="n">
        <v>315.097689</v>
      </c>
      <c r="J125" t="n">
        <v>315.097689</v>
      </c>
      <c r="K125" t="n">
        <v>292.632358</v>
      </c>
      <c r="L125" t="n">
        <v>806.383997</v>
      </c>
      <c r="M125" t="n">
        <v>806.383997</v>
      </c>
      <c r="N125" t="n">
        <v>851.766221</v>
      </c>
      <c r="O125" t="n">
        <v>204.799662</v>
      </c>
      <c r="P125" t="n">
        <v>89.620936</v>
      </c>
      <c r="W125" t="n">
        <v>213.690011</v>
      </c>
      <c r="X125" t="n">
        <v>962.931199</v>
      </c>
      <c r="Y125" t="n">
        <v>64.546074</v>
      </c>
      <c r="Z125" t="n">
        <v>110.616316</v>
      </c>
    </row>
    <row r="126" ht="21" customHeight="1">
      <c r="A126" t="inlineStr">
        <is>
          <t>Anodontostoma chacunda</t>
        </is>
      </c>
      <c r="B126" t="n">
        <v>2.84</v>
      </c>
      <c r="C126" t="n">
        <v>69.183097</v>
      </c>
      <c r="D126" s="11" t="inlineStr">
        <is>
          <t>Sm. pelagics</t>
        </is>
      </c>
      <c r="E126" t="n">
        <v>92.758633</v>
      </c>
      <c r="F126" t="n">
        <v>79.432823</v>
      </c>
      <c r="G126" t="n">
        <v>35.22555</v>
      </c>
      <c r="H126" t="n">
        <v>36.979496</v>
      </c>
      <c r="I126" t="n">
        <v>22.609246</v>
      </c>
      <c r="J126" t="n">
        <v>22.609246</v>
      </c>
      <c r="K126" t="n">
        <v>21.478784</v>
      </c>
      <c r="L126" t="n">
        <v>30.239099</v>
      </c>
      <c r="M126" t="n">
        <v>30.239099</v>
      </c>
      <c r="N126" t="n">
        <v>31.345103</v>
      </c>
      <c r="O126" t="n">
        <v>25.592867</v>
      </c>
      <c r="P126" t="n">
        <v>15.901406</v>
      </c>
      <c r="W126" t="n">
        <v>26.701358</v>
      </c>
      <c r="X126" t="n">
        <v>32.392065</v>
      </c>
      <c r="Y126" t="n">
        <v>16.922772</v>
      </c>
      <c r="Z126" t="n">
        <v>17.234838</v>
      </c>
    </row>
    <row r="127" ht="21" customHeight="1">
      <c r="A127" t="inlineStr">
        <is>
          <t>Auxis thazard</t>
        </is>
      </c>
      <c r="B127" t="n">
        <v>4.37</v>
      </c>
      <c r="C127" t="n">
        <v>2344.228815</v>
      </c>
      <c r="D127" s="11" t="inlineStr">
        <is>
          <t>Tuna</t>
        </is>
      </c>
      <c r="E127" t="n">
        <v>92.758633</v>
      </c>
      <c r="F127" t="n">
        <v>1217.891849</v>
      </c>
      <c r="G127" t="n">
        <v>325.165267</v>
      </c>
      <c r="H127" t="n">
        <v>703.930824</v>
      </c>
      <c r="I127" t="n">
        <v>327.693492</v>
      </c>
      <c r="J127" t="n">
        <v>327.693492</v>
      </c>
      <c r="K127" t="n">
        <v>311.308817</v>
      </c>
      <c r="L127" t="n">
        <v>675.870038</v>
      </c>
      <c r="M127" t="n">
        <v>675.870038</v>
      </c>
      <c r="N127" t="n">
        <v>710.633419</v>
      </c>
      <c r="O127" t="n">
        <v>254.942405</v>
      </c>
      <c r="P127" t="n">
        <v>107.862693</v>
      </c>
      <c r="W127" t="n">
        <v>271.503704</v>
      </c>
      <c r="X127" t="n">
        <v>791.598393</v>
      </c>
      <c r="Y127" t="n">
        <v>98.86518</v>
      </c>
      <c r="Z127" t="n">
        <v>153.001145</v>
      </c>
    </row>
    <row r="128" ht="21" customHeight="1">
      <c r="A128" t="inlineStr">
        <is>
          <t>Malacostraca</t>
        </is>
      </c>
      <c r="B128" t="n">
        <v>3</v>
      </c>
      <c r="C128" t="n">
        <v>100</v>
      </c>
      <c r="D128" s="11" t="inlineStr">
        <is>
          <t>Shrimps | Crab, lobster</t>
        </is>
      </c>
      <c r="E128" t="n">
        <v>92.758633</v>
      </c>
      <c r="F128" t="n">
        <v>31.823213</v>
      </c>
      <c r="G128" t="n">
        <v>16.554649</v>
      </c>
      <c r="H128" t="n">
        <v>48.882103</v>
      </c>
      <c r="I128" t="n">
        <v>52.292621</v>
      </c>
      <c r="J128" t="n">
        <v>52.292621</v>
      </c>
      <c r="K128" t="n">
        <v>47.659079</v>
      </c>
      <c r="L128" t="n">
        <v>152.953628</v>
      </c>
      <c r="M128" t="n">
        <v>152.953628</v>
      </c>
      <c r="N128" t="n">
        <v>162.541786</v>
      </c>
      <c r="O128" t="n">
        <v>31.518842</v>
      </c>
      <c r="P128" t="n">
        <v>18.921359</v>
      </c>
      <c r="W128" t="n">
        <v>32.29626</v>
      </c>
      <c r="X128" t="n">
        <v>184.312967</v>
      </c>
      <c r="Y128" t="n">
        <v>9.223663999999999</v>
      </c>
      <c r="Z128" t="n">
        <v>17.763247</v>
      </c>
    </row>
    <row r="129" ht="21" customHeight="1">
      <c r="A129" t="inlineStr">
        <is>
          <t>Lutjanus johnii</t>
        </is>
      </c>
      <c r="B129" t="n">
        <v>4.2</v>
      </c>
      <c r="C129" t="n">
        <v>1584.893192</v>
      </c>
      <c r="D129" s="11" t="inlineStr">
        <is>
          <t>Grouper/snapper | Juv. groupers</t>
        </is>
      </c>
      <c r="E129" t="n">
        <v>92.758633</v>
      </c>
      <c r="F129" t="n">
        <v>729.665396</v>
      </c>
      <c r="G129" t="n">
        <v>214.274848</v>
      </c>
      <c r="H129" t="n">
        <v>601.521613</v>
      </c>
      <c r="I129" t="n">
        <v>458.291515</v>
      </c>
      <c r="J129" t="n">
        <v>458.291515</v>
      </c>
      <c r="K129" t="n">
        <v>404.883308</v>
      </c>
      <c r="L129" t="n">
        <v>1297.204135</v>
      </c>
      <c r="M129" t="n">
        <v>1297.204135</v>
      </c>
      <c r="N129" t="n">
        <v>1373.024947</v>
      </c>
      <c r="O129" t="n">
        <v>262.162033</v>
      </c>
      <c r="P129" t="n">
        <v>111.742313</v>
      </c>
      <c r="W129" t="n">
        <v>273.908931</v>
      </c>
      <c r="X129" t="n">
        <v>1584.887607</v>
      </c>
      <c r="Y129" t="n">
        <v>70.98925199999999</v>
      </c>
      <c r="Z129" t="n">
        <v>131.686727</v>
      </c>
    </row>
    <row r="130" ht="21" customHeight="1">
      <c r="A130" t="inlineStr">
        <is>
          <t>Gerreidae</t>
        </is>
      </c>
      <c r="B130" t="n">
        <v>3.03</v>
      </c>
      <c r="C130" t="n">
        <v>107.151931</v>
      </c>
      <c r="D130" s="11" t="inlineStr">
        <is>
          <t>Sm.dem.benth.</t>
        </is>
      </c>
      <c r="E130" t="n">
        <v>92.758633</v>
      </c>
      <c r="F130" t="n">
        <v>135.946622</v>
      </c>
      <c r="G130" t="n">
        <v>54.557109</v>
      </c>
      <c r="H130" t="n">
        <v>104.458273</v>
      </c>
      <c r="I130" t="n">
        <v>106.771533</v>
      </c>
      <c r="J130" t="n">
        <v>106.771533</v>
      </c>
      <c r="K130" t="n">
        <v>89.978955</v>
      </c>
      <c r="L130" t="n">
        <v>308.045854</v>
      </c>
      <c r="M130" t="n">
        <v>308.045854</v>
      </c>
      <c r="N130" t="n">
        <v>325.959633</v>
      </c>
      <c r="O130" t="n">
        <v>56.685005</v>
      </c>
      <c r="P130" t="n">
        <v>30.438514</v>
      </c>
      <c r="W130" t="n">
        <v>58.087916</v>
      </c>
      <c r="X130" t="n">
        <v>369.109424</v>
      </c>
      <c r="Y130" t="n">
        <v>23.952956</v>
      </c>
      <c r="Z130" t="n">
        <v>34.558123</v>
      </c>
    </row>
    <row r="131" ht="21" customHeight="1">
      <c r="A131" t="inlineStr">
        <is>
          <t>Caesionidae</t>
        </is>
      </c>
      <c r="B131" t="n">
        <v>3.39</v>
      </c>
      <c r="C131" t="n">
        <v>245.470892</v>
      </c>
      <c r="D131" s="11" t="inlineStr">
        <is>
          <t>Sm. pelagics</t>
        </is>
      </c>
      <c r="E131" t="n">
        <v>92.758633</v>
      </c>
      <c r="F131" t="n">
        <v>79.432823</v>
      </c>
      <c r="G131" t="n">
        <v>35.22555</v>
      </c>
      <c r="H131" t="n">
        <v>36.979496</v>
      </c>
      <c r="I131" t="n">
        <v>22.609246</v>
      </c>
      <c r="J131" t="n">
        <v>22.609246</v>
      </c>
      <c r="K131" t="n">
        <v>21.478784</v>
      </c>
      <c r="L131" t="n">
        <v>30.239099</v>
      </c>
      <c r="M131" t="n">
        <v>30.239099</v>
      </c>
      <c r="N131" t="n">
        <v>31.345103</v>
      </c>
      <c r="O131" t="n">
        <v>25.592867</v>
      </c>
      <c r="P131" t="n">
        <v>15.901406</v>
      </c>
      <c r="W131" t="n">
        <v>26.701358</v>
      </c>
      <c r="X131" t="n">
        <v>32.392065</v>
      </c>
      <c r="Y131" t="n">
        <v>16.922772</v>
      </c>
      <c r="Z131" t="n">
        <v>17.234838</v>
      </c>
    </row>
    <row r="132" ht="21" customHeight="1">
      <c r="A132" t="inlineStr">
        <is>
          <t>Charybdis</t>
        </is>
      </c>
      <c r="B132" t="n">
        <v>2.7</v>
      </c>
      <c r="C132" t="n">
        <v>50.118723</v>
      </c>
      <c r="D132" s="11" t="inlineStr">
        <is>
          <t>Crab, lobster</t>
        </is>
      </c>
      <c r="E132" t="n">
        <v>92.758633</v>
      </c>
      <c r="F132" t="n">
        <v>55.221127</v>
      </c>
      <c r="G132" t="n">
        <v>26.200528</v>
      </c>
      <c r="H132" t="n">
        <v>80.616586</v>
      </c>
      <c r="I132" t="n">
        <v>96.283275</v>
      </c>
      <c r="J132" t="n">
        <v>96.283275</v>
      </c>
      <c r="K132" t="n">
        <v>82.59048</v>
      </c>
      <c r="L132" t="n">
        <v>295.897518</v>
      </c>
      <c r="M132" t="n">
        <v>295.897518</v>
      </c>
      <c r="N132" t="n">
        <v>313.590452</v>
      </c>
      <c r="O132" t="n">
        <v>47.292261</v>
      </c>
      <c r="P132" t="n">
        <v>26.133043</v>
      </c>
      <c r="W132" t="n">
        <v>48.215972</v>
      </c>
      <c r="X132" t="n">
        <v>354.467589</v>
      </c>
      <c r="Y132" t="n">
        <v>13.377731</v>
      </c>
      <c r="Z132" t="n">
        <v>27.235027</v>
      </c>
    </row>
    <row r="133" ht="21" customHeight="1">
      <c r="A133" t="inlineStr">
        <is>
          <t>Scorpaenidae</t>
        </is>
      </c>
      <c r="B133" t="n">
        <v>3.92</v>
      </c>
      <c r="C133" t="n">
        <v>831.763771</v>
      </c>
      <c r="D133" s="11" t="inlineStr">
        <is>
          <t>Lg. piscivores | Juv.Lg.Pisciv.</t>
        </is>
      </c>
      <c r="E133" t="n">
        <v>92.758633</v>
      </c>
      <c r="F133" t="n">
        <v>629.8141419999999</v>
      </c>
      <c r="G133" t="n">
        <v>190.080993</v>
      </c>
      <c r="H133" t="n">
        <v>480.632956</v>
      </c>
      <c r="I133" t="n">
        <v>315.097689</v>
      </c>
      <c r="J133" t="n">
        <v>315.097689</v>
      </c>
      <c r="K133" t="n">
        <v>292.632358</v>
      </c>
      <c r="L133" t="n">
        <v>806.383997</v>
      </c>
      <c r="M133" t="n">
        <v>806.383997</v>
      </c>
      <c r="N133" t="n">
        <v>851.766221</v>
      </c>
      <c r="O133" t="n">
        <v>204.799662</v>
      </c>
      <c r="P133" t="n">
        <v>89.620936</v>
      </c>
      <c r="W133" t="n">
        <v>213.690011</v>
      </c>
      <c r="X133" t="n">
        <v>962.931199</v>
      </c>
      <c r="Y133" t="n">
        <v>64.546074</v>
      </c>
      <c r="Z133" t="n">
        <v>110.616316</v>
      </c>
    </row>
    <row r="134" ht="21" customHeight="1">
      <c r="A134" t="inlineStr">
        <is>
          <t>Podophthalmus vigil</t>
        </is>
      </c>
      <c r="B134" t="n">
        <v>3.36</v>
      </c>
      <c r="C134" t="n">
        <v>229.086765</v>
      </c>
      <c r="D134" s="11" t="inlineStr">
        <is>
          <t>Crab, lobster</t>
        </is>
      </c>
      <c r="E134" t="n">
        <v>92.758633</v>
      </c>
      <c r="F134" t="n">
        <v>55.221127</v>
      </c>
      <c r="G134" t="n">
        <v>26.200528</v>
      </c>
      <c r="H134" t="n">
        <v>80.616586</v>
      </c>
      <c r="I134" t="n">
        <v>96.283275</v>
      </c>
      <c r="J134" t="n">
        <v>96.283275</v>
      </c>
      <c r="K134" t="n">
        <v>82.59048</v>
      </c>
      <c r="L134" t="n">
        <v>295.897518</v>
      </c>
      <c r="M134" t="n">
        <v>295.897518</v>
      </c>
      <c r="N134" t="n">
        <v>313.590452</v>
      </c>
      <c r="O134" t="n">
        <v>47.292261</v>
      </c>
      <c r="P134" t="n">
        <v>26.133043</v>
      </c>
      <c r="W134" t="n">
        <v>48.215972</v>
      </c>
      <c r="X134" t="n">
        <v>354.467589</v>
      </c>
      <c r="Y134" t="n">
        <v>13.377731</v>
      </c>
      <c r="Z134" t="n">
        <v>27.235027</v>
      </c>
    </row>
    <row r="135" ht="21" customHeight="1">
      <c r="A135" t="inlineStr">
        <is>
          <t>Charybdis feriatus</t>
        </is>
      </c>
      <c r="B135" t="n">
        <v>3.51</v>
      </c>
      <c r="C135" t="n">
        <v>323.593657</v>
      </c>
      <c r="D135" s="11" t="inlineStr">
        <is>
          <t>Crab, lobster</t>
        </is>
      </c>
      <c r="E135" t="n">
        <v>92.758633</v>
      </c>
      <c r="F135" t="n">
        <v>55.221127</v>
      </c>
      <c r="G135" t="n">
        <v>26.200528</v>
      </c>
      <c r="H135" t="n">
        <v>80.616586</v>
      </c>
      <c r="I135" t="n">
        <v>96.283275</v>
      </c>
      <c r="J135" t="n">
        <v>96.283275</v>
      </c>
      <c r="K135" t="n">
        <v>82.59048</v>
      </c>
      <c r="L135" t="n">
        <v>295.897518</v>
      </c>
      <c r="M135" t="n">
        <v>295.897518</v>
      </c>
      <c r="N135" t="n">
        <v>313.590452</v>
      </c>
      <c r="O135" t="n">
        <v>47.292261</v>
      </c>
      <c r="P135" t="n">
        <v>26.133043</v>
      </c>
      <c r="W135" t="n">
        <v>48.215972</v>
      </c>
      <c r="X135" t="n">
        <v>354.467589</v>
      </c>
      <c r="Y135" t="n">
        <v>13.377731</v>
      </c>
      <c r="Z135" t="n">
        <v>27.235027</v>
      </c>
    </row>
    <row r="136" ht="21" customHeight="1">
      <c r="A136" t="inlineStr">
        <is>
          <t>Scomberoides</t>
        </is>
      </c>
      <c r="B136" t="n">
        <v>4.47</v>
      </c>
      <c r="C136" t="n">
        <v>2951.209227</v>
      </c>
      <c r="D136" s="11" t="inlineStr">
        <is>
          <t>Lg. piscivores | Juv.Lg.Pisciv.</t>
        </is>
      </c>
      <c r="E136" t="n">
        <v>92.758633</v>
      </c>
      <c r="F136" t="n">
        <v>629.8141419999999</v>
      </c>
      <c r="G136" t="n">
        <v>190.080993</v>
      </c>
      <c r="H136" t="n">
        <v>480.632956</v>
      </c>
      <c r="I136" t="n">
        <v>315.097689</v>
      </c>
      <c r="J136" t="n">
        <v>315.097689</v>
      </c>
      <c r="K136" t="n">
        <v>292.632358</v>
      </c>
      <c r="L136" t="n">
        <v>806.383997</v>
      </c>
      <c r="M136" t="n">
        <v>806.383997</v>
      </c>
      <c r="N136" t="n">
        <v>851.766221</v>
      </c>
      <c r="O136" t="n">
        <v>204.799662</v>
      </c>
      <c r="P136" t="n">
        <v>89.620936</v>
      </c>
      <c r="W136" t="n">
        <v>213.690011</v>
      </c>
      <c r="X136" t="n">
        <v>962.931199</v>
      </c>
      <c r="Y136" t="n">
        <v>64.546074</v>
      </c>
      <c r="Z136" t="n">
        <v>110.616316</v>
      </c>
    </row>
    <row r="137" ht="21" customHeight="1">
      <c r="A137" t="inlineStr">
        <is>
          <t>Caesio</t>
        </is>
      </c>
      <c r="B137" t="n">
        <v>3.4</v>
      </c>
      <c r="C137" t="n">
        <v>251.188643</v>
      </c>
      <c r="D137" s="11" t="inlineStr">
        <is>
          <t>Sm. pelagics</t>
        </is>
      </c>
      <c r="E137" t="n">
        <v>92.758633</v>
      </c>
      <c r="F137" t="n">
        <v>79.432823</v>
      </c>
      <c r="G137" t="n">
        <v>35.22555</v>
      </c>
      <c r="H137" t="n">
        <v>36.979496</v>
      </c>
      <c r="I137" t="n">
        <v>22.609246</v>
      </c>
      <c r="J137" t="n">
        <v>22.609246</v>
      </c>
      <c r="K137" t="n">
        <v>21.478784</v>
      </c>
      <c r="L137" t="n">
        <v>30.239099</v>
      </c>
      <c r="M137" t="n">
        <v>30.239099</v>
      </c>
      <c r="N137" t="n">
        <v>31.345103</v>
      </c>
      <c r="O137" t="n">
        <v>25.592867</v>
      </c>
      <c r="P137" t="n">
        <v>15.901406</v>
      </c>
      <c r="W137" t="n">
        <v>26.701358</v>
      </c>
      <c r="X137" t="n">
        <v>32.392065</v>
      </c>
      <c r="Y137" t="n">
        <v>16.922772</v>
      </c>
      <c r="Z137" t="n">
        <v>17.234838</v>
      </c>
    </row>
    <row r="138" ht="21" customHeight="1">
      <c r="A138" t="inlineStr">
        <is>
          <t>Charybdis anisodon</t>
        </is>
      </c>
      <c r="B138" t="n">
        <v>3.42</v>
      </c>
      <c r="C138" t="n">
        <v>263.026799</v>
      </c>
      <c r="D138" s="11" t="inlineStr">
        <is>
          <t>Crab, lobster</t>
        </is>
      </c>
      <c r="E138" t="n">
        <v>92.758633</v>
      </c>
      <c r="F138" t="n">
        <v>55.221127</v>
      </c>
      <c r="G138" t="n">
        <v>26.200528</v>
      </c>
      <c r="H138" t="n">
        <v>80.616586</v>
      </c>
      <c r="I138" t="n">
        <v>96.283275</v>
      </c>
      <c r="J138" t="n">
        <v>96.283275</v>
      </c>
      <c r="K138" t="n">
        <v>82.59048</v>
      </c>
      <c r="L138" t="n">
        <v>295.897518</v>
      </c>
      <c r="M138" t="n">
        <v>295.897518</v>
      </c>
      <c r="N138" t="n">
        <v>313.590452</v>
      </c>
      <c r="O138" t="n">
        <v>47.292261</v>
      </c>
      <c r="P138" t="n">
        <v>26.133043</v>
      </c>
      <c r="W138" t="n">
        <v>48.215972</v>
      </c>
      <c r="X138" t="n">
        <v>354.467589</v>
      </c>
      <c r="Y138" t="n">
        <v>13.377731</v>
      </c>
      <c r="Z138" t="n">
        <v>27.235027</v>
      </c>
    </row>
    <row r="139" ht="21" customHeight="1">
      <c r="A139" t="inlineStr">
        <is>
          <t>Mierspenaeopsis hardwickii</t>
        </is>
      </c>
      <c r="D139" s="11" t="inlineStr">
        <is>
          <t>Shrimps</t>
        </is>
      </c>
      <c r="E139" t="n">
        <v>92.758633</v>
      </c>
      <c r="F139" t="n">
        <v>24.936879</v>
      </c>
      <c r="G139" t="n">
        <v>13.715732</v>
      </c>
      <c r="H139" t="n">
        <v>39.542201</v>
      </c>
      <c r="I139" t="n">
        <v>39.345557</v>
      </c>
      <c r="J139" t="n">
        <v>39.345557</v>
      </c>
      <c r="K139" t="n">
        <v>37.378279</v>
      </c>
      <c r="L139" t="n">
        <v>110.883242</v>
      </c>
      <c r="M139" t="n">
        <v>110.883242</v>
      </c>
      <c r="N139" t="n">
        <v>118.086052</v>
      </c>
      <c r="O139" t="n">
        <v>26.876504</v>
      </c>
      <c r="P139" t="n">
        <v>16.79886</v>
      </c>
      <c r="W139" t="n">
        <v>27.610867</v>
      </c>
      <c r="X139" t="n">
        <v>134.234083</v>
      </c>
      <c r="Y139" t="n">
        <v>8.001064</v>
      </c>
      <c r="Z139" t="n">
        <v>14.97557</v>
      </c>
    </row>
    <row r="140" ht="21" customHeight="1">
      <c r="A140" t="inlineStr">
        <is>
          <t>Plotosidae</t>
        </is>
      </c>
      <c r="B140" t="n">
        <v>3.49</v>
      </c>
      <c r="C140" t="n">
        <v>309.029543</v>
      </c>
      <c r="D140" s="11" t="inlineStr">
        <is>
          <t>Med.dem.benth.</t>
        </is>
      </c>
      <c r="E140" t="n">
        <v>92.758633</v>
      </c>
      <c r="F140" t="n">
        <v>274.243815</v>
      </c>
      <c r="G140" t="n">
        <v>96.59934699999999</v>
      </c>
      <c r="H140" t="n">
        <v>166.63869</v>
      </c>
      <c r="I140" t="n">
        <v>215.944796</v>
      </c>
      <c r="J140" t="n">
        <v>215.944796</v>
      </c>
      <c r="K140" t="n">
        <v>193.300587</v>
      </c>
      <c r="L140" t="n">
        <v>664.022909</v>
      </c>
      <c r="M140" t="n">
        <v>664.022909</v>
      </c>
      <c r="N140" t="n">
        <v>702.550582</v>
      </c>
      <c r="O140" t="n">
        <v>105.870272</v>
      </c>
      <c r="P140" t="n">
        <v>53.740614</v>
      </c>
      <c r="W140" t="n">
        <v>108.869834</v>
      </c>
      <c r="X140" t="n">
        <v>799.677877</v>
      </c>
      <c r="Y140" t="n">
        <v>37.70608</v>
      </c>
      <c r="Z140" t="n">
        <v>51.4265</v>
      </c>
    </row>
    <row r="141" ht="21" customHeight="1">
      <c r="A141" t="inlineStr">
        <is>
          <t>Dussumieria</t>
        </is>
      </c>
      <c r="B141" t="n">
        <v>3.4</v>
      </c>
      <c r="C141" t="n">
        <v>251.188643</v>
      </c>
      <c r="D141" s="11" t="inlineStr">
        <is>
          <t>Sm. pelagics</t>
        </is>
      </c>
      <c r="E141" t="n">
        <v>92.758633</v>
      </c>
      <c r="F141" t="n">
        <v>79.432823</v>
      </c>
      <c r="G141" t="n">
        <v>35.22555</v>
      </c>
      <c r="H141" t="n">
        <v>36.979496</v>
      </c>
      <c r="I141" t="n">
        <v>22.609246</v>
      </c>
      <c r="J141" t="n">
        <v>22.609246</v>
      </c>
      <c r="K141" t="n">
        <v>21.478784</v>
      </c>
      <c r="L141" t="n">
        <v>30.239099</v>
      </c>
      <c r="M141" t="n">
        <v>30.239099</v>
      </c>
      <c r="N141" t="n">
        <v>31.345103</v>
      </c>
      <c r="O141" t="n">
        <v>25.592867</v>
      </c>
      <c r="P141" t="n">
        <v>15.901406</v>
      </c>
      <c r="W141" t="n">
        <v>26.701358</v>
      </c>
      <c r="X141" t="n">
        <v>32.392065</v>
      </c>
      <c r="Y141" t="n">
        <v>16.922772</v>
      </c>
      <c r="Z141" t="n">
        <v>17.234838</v>
      </c>
    </row>
    <row r="142" ht="21" customHeight="1">
      <c r="A142" t="inlineStr">
        <is>
          <t>Paralichthyidae</t>
        </is>
      </c>
      <c r="B142" t="n">
        <v>4.06</v>
      </c>
      <c r="C142" t="n">
        <v>1148.153621</v>
      </c>
      <c r="D142" s="11" t="inlineStr">
        <is>
          <t>Flatfish</t>
        </is>
      </c>
      <c r="E142" t="n">
        <v>92.758633</v>
      </c>
      <c r="F142" t="n">
        <v>198.898533</v>
      </c>
      <c r="G142" t="n">
        <v>74.370034</v>
      </c>
      <c r="H142" t="n">
        <v>143.388298</v>
      </c>
      <c r="I142" t="n">
        <v>137.630101</v>
      </c>
      <c r="J142" t="n">
        <v>137.630101</v>
      </c>
      <c r="K142" t="n">
        <v>132.468972</v>
      </c>
      <c r="L142" t="n">
        <v>418.824939</v>
      </c>
      <c r="M142" t="n">
        <v>418.824939</v>
      </c>
      <c r="N142" t="n">
        <v>443.184514</v>
      </c>
      <c r="O142" t="n">
        <v>74.286663</v>
      </c>
      <c r="P142" t="n">
        <v>38.351856</v>
      </c>
      <c r="W142" t="n">
        <v>77.14257600000001</v>
      </c>
      <c r="X142" t="n">
        <v>501.55581</v>
      </c>
      <c r="Y142" t="n">
        <v>30.634607</v>
      </c>
      <c r="Z142" t="n">
        <v>45.33149</v>
      </c>
    </row>
    <row r="143" ht="21" customHeight="1">
      <c r="A143" t="inlineStr">
        <is>
          <t>Siganus canaliculatus</t>
        </is>
      </c>
      <c r="B143" t="n">
        <v>2.76</v>
      </c>
      <c r="C143" t="n">
        <v>57.543994</v>
      </c>
      <c r="D143" s="11" t="inlineStr">
        <is>
          <t>O.fish</t>
        </is>
      </c>
      <c r="E143" t="n">
        <v>92.758633</v>
      </c>
      <c r="F143" t="n">
        <v>41.788101</v>
      </c>
      <c r="G143" t="n">
        <v>20.881264</v>
      </c>
      <c r="H143" t="n">
        <v>52.028891</v>
      </c>
      <c r="I143" t="n">
        <v>48.21537</v>
      </c>
      <c r="J143" t="n">
        <v>48.21537</v>
      </c>
      <c r="K143" t="n">
        <v>48.150458</v>
      </c>
      <c r="L143" t="n">
        <v>135.960121</v>
      </c>
      <c r="M143" t="n">
        <v>135.960121</v>
      </c>
      <c r="N143" t="n">
        <v>143.850985</v>
      </c>
      <c r="O143" t="n">
        <v>31.644149</v>
      </c>
      <c r="P143" t="n">
        <v>18.19469</v>
      </c>
      <c r="W143" t="n">
        <v>32.429472</v>
      </c>
      <c r="X143" t="n">
        <v>163.410873</v>
      </c>
      <c r="Y143" t="n">
        <v>11.171569</v>
      </c>
      <c r="Z143" t="n">
        <v>19.389776</v>
      </c>
    </row>
    <row r="144" ht="21" customHeight="1">
      <c r="A144" t="inlineStr">
        <is>
          <t>Plotosus</t>
        </is>
      </c>
      <c r="B144" t="n">
        <v>3.49</v>
      </c>
      <c r="C144" t="n">
        <v>309.029543</v>
      </c>
      <c r="D144" s="11" t="inlineStr">
        <is>
          <t>Med.dem.benth.</t>
        </is>
      </c>
      <c r="E144" t="n">
        <v>92.758633</v>
      </c>
      <c r="F144" t="n">
        <v>274.243815</v>
      </c>
      <c r="G144" t="n">
        <v>96.59934699999999</v>
      </c>
      <c r="H144" t="n">
        <v>166.63869</v>
      </c>
      <c r="I144" t="n">
        <v>215.944796</v>
      </c>
      <c r="J144" t="n">
        <v>215.944796</v>
      </c>
      <c r="K144" t="n">
        <v>193.300587</v>
      </c>
      <c r="L144" t="n">
        <v>664.022909</v>
      </c>
      <c r="M144" t="n">
        <v>664.022909</v>
      </c>
      <c r="N144" t="n">
        <v>702.550582</v>
      </c>
      <c r="O144" t="n">
        <v>105.870272</v>
      </c>
      <c r="P144" t="n">
        <v>53.740614</v>
      </c>
      <c r="W144" t="n">
        <v>108.869834</v>
      </c>
      <c r="X144" t="n">
        <v>799.677877</v>
      </c>
      <c r="Y144" t="n">
        <v>37.70608</v>
      </c>
      <c r="Z144" t="n">
        <v>51.4265</v>
      </c>
    </row>
    <row r="145" ht="21" customHeight="1">
      <c r="A145" t="inlineStr">
        <is>
          <t>Siganidae</t>
        </is>
      </c>
      <c r="B145" t="n">
        <v>2.11</v>
      </c>
      <c r="C145" t="n">
        <v>12.882496</v>
      </c>
      <c r="D145" s="11" t="inlineStr">
        <is>
          <t>O.fish</t>
        </is>
      </c>
      <c r="E145" t="n">
        <v>92.758633</v>
      </c>
      <c r="F145" t="n">
        <v>41.788101</v>
      </c>
      <c r="G145" t="n">
        <v>20.881264</v>
      </c>
      <c r="H145" t="n">
        <v>52.028891</v>
      </c>
      <c r="I145" t="n">
        <v>48.21537</v>
      </c>
      <c r="J145" t="n">
        <v>48.21537</v>
      </c>
      <c r="K145" t="n">
        <v>48.150458</v>
      </c>
      <c r="L145" t="n">
        <v>135.960121</v>
      </c>
      <c r="M145" t="n">
        <v>135.960121</v>
      </c>
      <c r="N145" t="n">
        <v>143.850985</v>
      </c>
      <c r="O145" t="n">
        <v>31.644149</v>
      </c>
      <c r="P145" t="n">
        <v>18.19469</v>
      </c>
      <c r="W145" t="n">
        <v>32.429472</v>
      </c>
      <c r="X145" t="n">
        <v>163.410873</v>
      </c>
      <c r="Y145" t="n">
        <v>11.171569</v>
      </c>
      <c r="Z145" t="n">
        <v>19.389776</v>
      </c>
    </row>
    <row r="146" ht="21" customHeight="1">
      <c r="A146" t="inlineStr">
        <is>
          <t>Panulirus longipes</t>
        </is>
      </c>
      <c r="B146" t="n">
        <v>2.6</v>
      </c>
      <c r="C146" t="n">
        <v>39.810717</v>
      </c>
      <c r="D146" s="11" t="inlineStr">
        <is>
          <t>Crab, lobster</t>
        </is>
      </c>
      <c r="E146" t="n">
        <v>92.758633</v>
      </c>
      <c r="F146" t="n">
        <v>55.221127</v>
      </c>
      <c r="G146" t="n">
        <v>26.200528</v>
      </c>
      <c r="H146" t="n">
        <v>80.616586</v>
      </c>
      <c r="I146" t="n">
        <v>96.283275</v>
      </c>
      <c r="J146" t="n">
        <v>96.283275</v>
      </c>
      <c r="K146" t="n">
        <v>82.59048</v>
      </c>
      <c r="L146" t="n">
        <v>295.897518</v>
      </c>
      <c r="M146" t="n">
        <v>295.897518</v>
      </c>
      <c r="N146" t="n">
        <v>313.590452</v>
      </c>
      <c r="O146" t="n">
        <v>47.292261</v>
      </c>
      <c r="P146" t="n">
        <v>26.133043</v>
      </c>
      <c r="W146" t="n">
        <v>48.215972</v>
      </c>
      <c r="X146" t="n">
        <v>354.467589</v>
      </c>
      <c r="Y146" t="n">
        <v>13.377731</v>
      </c>
      <c r="Z146" t="n">
        <v>27.235027</v>
      </c>
    </row>
    <row r="147" ht="21" customHeight="1">
      <c r="A147" t="inlineStr">
        <is>
          <t>Solenocera crassicornis</t>
        </is>
      </c>
      <c r="B147" t="n">
        <v>2.2</v>
      </c>
      <c r="C147" t="n">
        <v>15.848932</v>
      </c>
      <c r="D147" s="11" t="inlineStr">
        <is>
          <t>Shrimps</t>
        </is>
      </c>
      <c r="E147" t="n">
        <v>92.758633</v>
      </c>
      <c r="F147" t="n">
        <v>24.936879</v>
      </c>
      <c r="G147" t="n">
        <v>13.715732</v>
      </c>
      <c r="H147" t="n">
        <v>39.542201</v>
      </c>
      <c r="I147" t="n">
        <v>39.345557</v>
      </c>
      <c r="J147" t="n">
        <v>39.345557</v>
      </c>
      <c r="K147" t="n">
        <v>37.378279</v>
      </c>
      <c r="L147" t="n">
        <v>110.883242</v>
      </c>
      <c r="M147" t="n">
        <v>110.883242</v>
      </c>
      <c r="N147" t="n">
        <v>118.086052</v>
      </c>
      <c r="O147" t="n">
        <v>26.876504</v>
      </c>
      <c r="P147" t="n">
        <v>16.79886</v>
      </c>
      <c r="W147" t="n">
        <v>27.610867</v>
      </c>
      <c r="X147" t="n">
        <v>134.234083</v>
      </c>
      <c r="Y147" t="n">
        <v>8.001064</v>
      </c>
      <c r="Z147" t="n">
        <v>14.97557</v>
      </c>
    </row>
    <row r="148" ht="21" customHeight="1">
      <c r="A148" t="inlineStr">
        <is>
          <t>Rhizostomeae</t>
        </is>
      </c>
      <c r="B148" t="n">
        <v>3.46</v>
      </c>
      <c r="C148" t="n">
        <v>288.40315</v>
      </c>
      <c r="D148" s="11" t="inlineStr">
        <is>
          <t>Jellyfish</t>
        </is>
      </c>
      <c r="E148" t="n">
        <v>92.758633</v>
      </c>
      <c r="F148" t="n">
        <v>100</v>
      </c>
      <c r="G148" t="n">
        <v>42.488496</v>
      </c>
      <c r="H148" t="n">
        <v>40.364071</v>
      </c>
      <c r="I148" t="n">
        <v>0</v>
      </c>
      <c r="J148" t="n">
        <v>5.855218</v>
      </c>
      <c r="L148" t="n">
        <v>0</v>
      </c>
      <c r="M148" t="n">
        <v>0</v>
      </c>
      <c r="N148" t="n">
        <v>0</v>
      </c>
      <c r="O148" t="n">
        <v>27.992074</v>
      </c>
      <c r="P148" t="n">
        <v>17.312674</v>
      </c>
      <c r="W148" t="n">
        <v>28.633264</v>
      </c>
      <c r="X148" t="n">
        <v>0</v>
      </c>
      <c r="Y148" t="n">
        <v>19.639386</v>
      </c>
      <c r="Z148" t="n">
        <v>18.657416</v>
      </c>
    </row>
    <row r="149" ht="21" customHeight="1">
      <c r="A149" t="inlineStr">
        <is>
          <t>Elagatis bipinnulata</t>
        </is>
      </c>
      <c r="B149" t="n">
        <v>4.27</v>
      </c>
      <c r="C149" t="n">
        <v>1862.087137</v>
      </c>
      <c r="D149" s="11" t="inlineStr">
        <is>
          <t>Lg. piscivores | Juv.Lg.Pisciv.</t>
        </is>
      </c>
      <c r="E149" t="n">
        <v>92.758633</v>
      </c>
      <c r="F149" t="n">
        <v>629.8141419999999</v>
      </c>
      <c r="G149" t="n">
        <v>190.080993</v>
      </c>
      <c r="H149" t="n">
        <v>480.632956</v>
      </c>
      <c r="I149" t="n">
        <v>315.097689</v>
      </c>
      <c r="J149" t="n">
        <v>315.097689</v>
      </c>
      <c r="K149" t="n">
        <v>292.632358</v>
      </c>
      <c r="L149" t="n">
        <v>806.383997</v>
      </c>
      <c r="M149" t="n">
        <v>806.383997</v>
      </c>
      <c r="N149" t="n">
        <v>851.766221</v>
      </c>
      <c r="O149" t="n">
        <v>204.799662</v>
      </c>
      <c r="P149" t="n">
        <v>89.620936</v>
      </c>
      <c r="W149" t="n">
        <v>213.690011</v>
      </c>
      <c r="X149" t="n">
        <v>962.931199</v>
      </c>
      <c r="Y149" t="n">
        <v>64.546074</v>
      </c>
      <c r="Z149" t="n">
        <v>110.616316</v>
      </c>
    </row>
    <row r="150" ht="21" customHeight="1">
      <c r="A150" t="inlineStr">
        <is>
          <t>Istiophorus</t>
        </is>
      </c>
      <c r="B150" t="n">
        <v>4.5</v>
      </c>
      <c r="C150" t="n">
        <v>3162.27766</v>
      </c>
      <c r="D150" s="11" t="inlineStr">
        <is>
          <t>Unresolved</t>
        </is>
      </c>
    </row>
    <row r="151" ht="21" customHeight="1">
      <c r="A151" t="inlineStr">
        <is>
          <t>Thunnus obesus</t>
        </is>
      </c>
      <c r="B151" t="n">
        <v>4.49</v>
      </c>
      <c r="C151" t="n">
        <v>3090.295433</v>
      </c>
      <c r="D151" s="11" t="inlineStr">
        <is>
          <t>Tuna</t>
        </is>
      </c>
      <c r="E151" t="n">
        <v>92.758633</v>
      </c>
      <c r="F151" t="n">
        <v>1217.891849</v>
      </c>
      <c r="G151" t="n">
        <v>325.165267</v>
      </c>
      <c r="H151" t="n">
        <v>703.930824</v>
      </c>
      <c r="I151" t="n">
        <v>327.693492</v>
      </c>
      <c r="J151" t="n">
        <v>327.693492</v>
      </c>
      <c r="K151" t="n">
        <v>311.308817</v>
      </c>
      <c r="L151" t="n">
        <v>675.870038</v>
      </c>
      <c r="M151" t="n">
        <v>675.870038</v>
      </c>
      <c r="N151" t="n">
        <v>710.633419</v>
      </c>
      <c r="O151" t="n">
        <v>254.942405</v>
      </c>
      <c r="P151" t="n">
        <v>107.862693</v>
      </c>
      <c r="W151" t="n">
        <v>271.503704</v>
      </c>
      <c r="X151" t="n">
        <v>791.598393</v>
      </c>
      <c r="Y151" t="n">
        <v>98.86518</v>
      </c>
      <c r="Z151" t="n">
        <v>153.001145</v>
      </c>
    </row>
    <row r="152" ht="21" customHeight="1">
      <c r="A152" t="inlineStr">
        <is>
          <t>Lates calcarifer</t>
        </is>
      </c>
      <c r="B152" t="n">
        <v>4.35</v>
      </c>
      <c r="C152" t="n">
        <v>2238.721139</v>
      </c>
      <c r="D152" s="11" t="inlineStr">
        <is>
          <t>Lg. piscivores | Juv.Lg.Pisciv.</t>
        </is>
      </c>
      <c r="E152" t="n">
        <v>92.758633</v>
      </c>
      <c r="F152" t="n">
        <v>629.8141419999999</v>
      </c>
      <c r="G152" t="n">
        <v>190.080993</v>
      </c>
      <c r="H152" t="n">
        <v>480.632956</v>
      </c>
      <c r="I152" t="n">
        <v>315.097689</v>
      </c>
      <c r="J152" t="n">
        <v>315.097689</v>
      </c>
      <c r="K152" t="n">
        <v>292.632358</v>
      </c>
      <c r="L152" t="n">
        <v>806.383997</v>
      </c>
      <c r="M152" t="n">
        <v>806.383997</v>
      </c>
      <c r="N152" t="n">
        <v>851.766221</v>
      </c>
      <c r="O152" t="n">
        <v>204.799662</v>
      </c>
      <c r="P152" t="n">
        <v>89.620936</v>
      </c>
      <c r="W152" t="n">
        <v>213.690011</v>
      </c>
      <c r="X152" t="n">
        <v>962.931199</v>
      </c>
      <c r="Y152" t="n">
        <v>64.546074</v>
      </c>
      <c r="Z152" t="n">
        <v>110.616316</v>
      </c>
    </row>
    <row r="153" ht="21" customHeight="1">
      <c r="A153" t="inlineStr">
        <is>
          <t>Monacanthidae</t>
        </is>
      </c>
      <c r="B153" t="n">
        <v>3</v>
      </c>
      <c r="C153" t="n">
        <v>100</v>
      </c>
      <c r="D153" s="11" t="inlineStr">
        <is>
          <t>Med.dem.benth.</t>
        </is>
      </c>
      <c r="E153" t="n">
        <v>92.758633</v>
      </c>
      <c r="F153" t="n">
        <v>274.243815</v>
      </c>
      <c r="G153" t="n">
        <v>96.59934699999999</v>
      </c>
      <c r="H153" t="n">
        <v>166.63869</v>
      </c>
      <c r="I153" t="n">
        <v>215.944796</v>
      </c>
      <c r="J153" t="n">
        <v>215.944796</v>
      </c>
      <c r="K153" t="n">
        <v>193.300587</v>
      </c>
      <c r="L153" t="n">
        <v>664.022909</v>
      </c>
      <c r="M153" t="n">
        <v>664.022909</v>
      </c>
      <c r="N153" t="n">
        <v>702.550582</v>
      </c>
      <c r="O153" t="n">
        <v>105.870272</v>
      </c>
      <c r="P153" t="n">
        <v>53.740614</v>
      </c>
      <c r="W153" t="n">
        <v>108.869834</v>
      </c>
      <c r="X153" t="n">
        <v>799.677877</v>
      </c>
      <c r="Y153" t="n">
        <v>37.70608</v>
      </c>
      <c r="Z153" t="n">
        <v>51.4265</v>
      </c>
    </row>
    <row r="154" ht="21" customHeight="1">
      <c r="A154" t="inlineStr">
        <is>
          <t>Thunnus</t>
        </is>
      </c>
      <c r="D154" s="11" t="inlineStr">
        <is>
          <t>Tuna</t>
        </is>
      </c>
      <c r="E154" t="n">
        <v>92.758633</v>
      </c>
      <c r="F154" t="n">
        <v>1217.891849</v>
      </c>
      <c r="G154" t="n">
        <v>325.165267</v>
      </c>
      <c r="H154" t="n">
        <v>703.930824</v>
      </c>
      <c r="I154" t="n">
        <v>327.693492</v>
      </c>
      <c r="J154" t="n">
        <v>327.693492</v>
      </c>
      <c r="K154" t="n">
        <v>311.308817</v>
      </c>
      <c r="L154" t="n">
        <v>675.870038</v>
      </c>
      <c r="M154" t="n">
        <v>675.870038</v>
      </c>
      <c r="N154" t="n">
        <v>710.633419</v>
      </c>
      <c r="O154" t="n">
        <v>254.942405</v>
      </c>
      <c r="P154" t="n">
        <v>107.862693</v>
      </c>
      <c r="W154" t="n">
        <v>271.503704</v>
      </c>
      <c r="X154" t="n">
        <v>791.598393</v>
      </c>
      <c r="Y154" t="n">
        <v>98.86518</v>
      </c>
      <c r="Z154" t="n">
        <v>153.001145</v>
      </c>
    </row>
    <row r="155" ht="21" customHeight="1">
      <c r="A155" t="inlineStr">
        <is>
          <t>Bivalvia</t>
        </is>
      </c>
      <c r="D155" s="11" t="inlineStr">
        <is>
          <t>Molluscs</t>
        </is>
      </c>
      <c r="E155" t="n">
        <v>92.758633</v>
      </c>
      <c r="F155" t="n">
        <v>15.848932</v>
      </c>
      <c r="G155" t="n">
        <v>9.483373</v>
      </c>
      <c r="H155" t="n">
        <v>13.28747</v>
      </c>
      <c r="I155" t="n">
        <v>8.760194</v>
      </c>
      <c r="J155" t="n">
        <v>8.760194</v>
      </c>
      <c r="K155" t="n">
        <v>7.884174</v>
      </c>
      <c r="L155" t="n">
        <v>10.549912</v>
      </c>
      <c r="M155" t="n">
        <v>10.549912</v>
      </c>
      <c r="N155" t="n">
        <v>10.809345</v>
      </c>
      <c r="O155" t="n">
        <v>8.798415</v>
      </c>
      <c r="P155" t="n">
        <v>6.022535</v>
      </c>
      <c r="W155" t="n">
        <v>8.947789999999999</v>
      </c>
      <c r="X155" t="n">
        <v>11.156289</v>
      </c>
      <c r="Y155" t="n">
        <v>5.968659</v>
      </c>
      <c r="Z155" t="n">
        <v>7.276791</v>
      </c>
    </row>
    <row r="156" ht="21" customHeight="1">
      <c r="A156" t="inlineStr">
        <is>
          <t>Scarus</t>
        </is>
      </c>
      <c r="B156" t="n">
        <v>2</v>
      </c>
      <c r="C156" t="n">
        <v>10</v>
      </c>
      <c r="D156" s="11" t="inlineStr">
        <is>
          <t>O.fish</t>
        </is>
      </c>
      <c r="E156" t="n">
        <v>92.758633</v>
      </c>
      <c r="F156" t="n">
        <v>41.788101</v>
      </c>
      <c r="G156" t="n">
        <v>20.881264</v>
      </c>
      <c r="H156" t="n">
        <v>52.028891</v>
      </c>
      <c r="I156" t="n">
        <v>48.21537</v>
      </c>
      <c r="J156" t="n">
        <v>48.21537</v>
      </c>
      <c r="K156" t="n">
        <v>48.150458</v>
      </c>
      <c r="L156" t="n">
        <v>135.960121</v>
      </c>
      <c r="M156" t="n">
        <v>135.960121</v>
      </c>
      <c r="N156" t="n">
        <v>143.850985</v>
      </c>
      <c r="O156" t="n">
        <v>31.644149</v>
      </c>
      <c r="P156" t="n">
        <v>18.19469</v>
      </c>
      <c r="W156" t="n">
        <v>32.429472</v>
      </c>
      <c r="X156" t="n">
        <v>163.410873</v>
      </c>
      <c r="Y156" t="n">
        <v>11.171569</v>
      </c>
      <c r="Z156" t="n">
        <v>19.389776</v>
      </c>
    </row>
    <row r="157" ht="21" customHeight="1">
      <c r="A157" t="inlineStr">
        <is>
          <t>Lactarius lactarius</t>
        </is>
      </c>
      <c r="B157" t="n">
        <v>3.97</v>
      </c>
      <c r="C157" t="n">
        <v>933.2543010000001</v>
      </c>
      <c r="D157" s="11" t="inlineStr">
        <is>
          <t>Med.dem.pisc.</t>
        </is>
      </c>
      <c r="E157" t="n">
        <v>92.758633</v>
      </c>
      <c r="F157" t="n">
        <v>213.954708</v>
      </c>
      <c r="G157" t="n">
        <v>78.922014</v>
      </c>
      <c r="H157" t="n">
        <v>192.983472</v>
      </c>
      <c r="I157" t="n">
        <v>158.091504</v>
      </c>
      <c r="J157" t="n">
        <v>158.091504</v>
      </c>
      <c r="K157" t="n">
        <v>155.980707</v>
      </c>
      <c r="L157" t="n">
        <v>445.224589</v>
      </c>
      <c r="M157" t="n">
        <v>445.224589</v>
      </c>
      <c r="N157" t="n">
        <v>471.516338</v>
      </c>
      <c r="O157" t="n">
        <v>104.595857</v>
      </c>
      <c r="P157" t="n">
        <v>51.592439</v>
      </c>
      <c r="W157" t="n">
        <v>108.487387</v>
      </c>
      <c r="X157" t="n">
        <v>535.009173</v>
      </c>
      <c r="Y157" t="n">
        <v>32.114569</v>
      </c>
      <c r="Z157" t="n">
        <v>52.467555</v>
      </c>
    </row>
    <row r="158" ht="21" customHeight="1">
      <c r="A158" t="inlineStr">
        <is>
          <t>Drepane</t>
        </is>
      </c>
      <c r="B158" t="n">
        <v>3.32</v>
      </c>
      <c r="C158" t="n">
        <v>208.929613</v>
      </c>
      <c r="D158" s="11" t="inlineStr">
        <is>
          <t>Med.dem.benth.</t>
        </is>
      </c>
      <c r="E158" t="n">
        <v>92.758633</v>
      </c>
      <c r="F158" t="n">
        <v>274.243815</v>
      </c>
      <c r="G158" t="n">
        <v>96.59934699999999</v>
      </c>
      <c r="H158" t="n">
        <v>166.63869</v>
      </c>
      <c r="I158" t="n">
        <v>215.944796</v>
      </c>
      <c r="J158" t="n">
        <v>215.944796</v>
      </c>
      <c r="K158" t="n">
        <v>193.300587</v>
      </c>
      <c r="L158" t="n">
        <v>664.022909</v>
      </c>
      <c r="M158" t="n">
        <v>664.022909</v>
      </c>
      <c r="N158" t="n">
        <v>702.550582</v>
      </c>
      <c r="O158" t="n">
        <v>105.870272</v>
      </c>
      <c r="P158" t="n">
        <v>53.740614</v>
      </c>
      <c r="W158" t="n">
        <v>108.869834</v>
      </c>
      <c r="X158" t="n">
        <v>799.677877</v>
      </c>
      <c r="Y158" t="n">
        <v>37.70608</v>
      </c>
      <c r="Z158" t="n">
        <v>51.4265</v>
      </c>
    </row>
    <row r="159" ht="21" customHeight="1">
      <c r="A159" t="inlineStr">
        <is>
          <t>Lethrinus</t>
        </is>
      </c>
      <c r="B159" t="n">
        <v>3.75</v>
      </c>
      <c r="C159" t="n">
        <v>562.341325</v>
      </c>
      <c r="D159" s="11" t="inlineStr">
        <is>
          <t>Med.dem.pisc.</t>
        </is>
      </c>
      <c r="E159" t="n">
        <v>92.758633</v>
      </c>
      <c r="F159" t="n">
        <v>213.954708</v>
      </c>
      <c r="G159" t="n">
        <v>78.922014</v>
      </c>
      <c r="H159" t="n">
        <v>192.983472</v>
      </c>
      <c r="I159" t="n">
        <v>158.091504</v>
      </c>
      <c r="J159" t="n">
        <v>158.091504</v>
      </c>
      <c r="K159" t="n">
        <v>155.980707</v>
      </c>
      <c r="L159" t="n">
        <v>445.224589</v>
      </c>
      <c r="M159" t="n">
        <v>445.224589</v>
      </c>
      <c r="N159" t="n">
        <v>471.516338</v>
      </c>
      <c r="O159" t="n">
        <v>104.595857</v>
      </c>
      <c r="P159" t="n">
        <v>51.592439</v>
      </c>
      <c r="W159" t="n">
        <v>108.487387</v>
      </c>
      <c r="X159" t="n">
        <v>535.009173</v>
      </c>
      <c r="Y159" t="n">
        <v>32.114569</v>
      </c>
      <c r="Z159" t="n">
        <v>52.467555</v>
      </c>
    </row>
    <row r="160" ht="21" customHeight="1">
      <c r="A160" t="inlineStr">
        <is>
          <t>Dussumieria elopsoides</t>
        </is>
      </c>
      <c r="B160" t="n">
        <v>3.4</v>
      </c>
      <c r="C160" t="n">
        <v>251.188643</v>
      </c>
      <c r="D160" s="11" t="inlineStr">
        <is>
          <t>Sm. pelagics</t>
        </is>
      </c>
      <c r="E160" t="n">
        <v>92.758633</v>
      </c>
      <c r="F160" t="n">
        <v>79.432823</v>
      </c>
      <c r="G160" t="n">
        <v>35.22555</v>
      </c>
      <c r="H160" t="n">
        <v>36.979496</v>
      </c>
      <c r="I160" t="n">
        <v>22.609246</v>
      </c>
      <c r="J160" t="n">
        <v>22.609246</v>
      </c>
      <c r="K160" t="n">
        <v>21.478784</v>
      </c>
      <c r="L160" t="n">
        <v>30.239099</v>
      </c>
      <c r="M160" t="n">
        <v>30.239099</v>
      </c>
      <c r="N160" t="n">
        <v>31.345103</v>
      </c>
      <c r="O160" t="n">
        <v>25.592867</v>
      </c>
      <c r="P160" t="n">
        <v>15.901406</v>
      </c>
      <c r="W160" t="n">
        <v>26.701358</v>
      </c>
      <c r="X160" t="n">
        <v>32.392065</v>
      </c>
      <c r="Y160" t="n">
        <v>16.922772</v>
      </c>
      <c r="Z160" t="n">
        <v>17.234838</v>
      </c>
    </row>
    <row r="161" ht="21" customHeight="1">
      <c r="A161" t="inlineStr">
        <is>
          <t>Rastrelliger brachysoma</t>
        </is>
      </c>
      <c r="B161" t="n">
        <v>2.72</v>
      </c>
      <c r="C161" t="n">
        <v>52.480746</v>
      </c>
      <c r="D161" s="11" t="inlineStr">
        <is>
          <t>Mackerel</t>
        </is>
      </c>
      <c r="E161" t="n">
        <v>92.758633</v>
      </c>
      <c r="F161" t="n">
        <v>79.432823</v>
      </c>
      <c r="G161" t="n">
        <v>35.22555</v>
      </c>
      <c r="H161" t="n">
        <v>36.979496</v>
      </c>
      <c r="I161" t="n">
        <v>22.609246</v>
      </c>
      <c r="J161" t="n">
        <v>22.609246</v>
      </c>
      <c r="K161" t="n">
        <v>21.478784</v>
      </c>
      <c r="L161" t="n">
        <v>30.239099</v>
      </c>
      <c r="M161" t="n">
        <v>30.239099</v>
      </c>
      <c r="N161" t="n">
        <v>31.345103</v>
      </c>
      <c r="O161" t="n">
        <v>25.592867</v>
      </c>
      <c r="P161" t="n">
        <v>15.901406</v>
      </c>
      <c r="W161" t="n">
        <v>26.679379</v>
      </c>
      <c r="X161" t="n">
        <v>32.242101</v>
      </c>
      <c r="Y161" t="n">
        <v>16.922772</v>
      </c>
      <c r="Z161" t="n">
        <v>17.234838</v>
      </c>
    </row>
    <row r="162" ht="21" customHeight="1">
      <c r="A162" t="inlineStr">
        <is>
          <t>Photopectoralis bindus</t>
        </is>
      </c>
      <c r="B162" t="n">
        <v>2.93</v>
      </c>
      <c r="C162" t="n">
        <v>85.113804</v>
      </c>
      <c r="D162" s="11" t="inlineStr">
        <is>
          <t>Ponyfishes</t>
        </is>
      </c>
      <c r="E162" t="n">
        <v>92.758633</v>
      </c>
      <c r="F162" t="n">
        <v>55.624121</v>
      </c>
      <c r="G162" t="n">
        <v>26.356091</v>
      </c>
      <c r="H162" t="n">
        <v>61.131005</v>
      </c>
      <c r="I162" t="n">
        <v>58.637366</v>
      </c>
      <c r="J162" t="n">
        <v>58.637366</v>
      </c>
      <c r="K162" t="n">
        <v>56.980549</v>
      </c>
      <c r="L162" t="n">
        <v>167.671166</v>
      </c>
      <c r="M162" t="n">
        <v>167.671166</v>
      </c>
      <c r="N162" t="n">
        <v>176.99785</v>
      </c>
      <c r="O162" t="n">
        <v>35.276744</v>
      </c>
      <c r="P162" t="n">
        <v>19.385003</v>
      </c>
      <c r="W162" t="n">
        <v>36.372559</v>
      </c>
      <c r="X162" t="n">
        <v>200.137074</v>
      </c>
      <c r="Y162" t="n">
        <v>13.440773</v>
      </c>
      <c r="Z162" t="n">
        <v>22.381404</v>
      </c>
    </row>
    <row r="163" ht="21" customHeight="1">
      <c r="A163" t="inlineStr">
        <is>
          <t>Istiophoridae</t>
        </is>
      </c>
      <c r="B163" t="n">
        <v>4.48</v>
      </c>
      <c r="C163" t="n">
        <v>3019.95172</v>
      </c>
      <c r="D163" s="11" t="inlineStr">
        <is>
          <t>Unresolved</t>
        </is>
      </c>
    </row>
    <row r="164" ht="21" customHeight="1">
      <c r="A164" t="inlineStr">
        <is>
          <t>Palinuridae</t>
        </is>
      </c>
      <c r="B164" t="n">
        <v>3.14</v>
      </c>
      <c r="C164" t="n">
        <v>138.038426</v>
      </c>
      <c r="D164" s="11" t="inlineStr">
        <is>
          <t>Crab, lobster</t>
        </is>
      </c>
      <c r="E164" t="n">
        <v>92.758633</v>
      </c>
      <c r="F164" t="n">
        <v>55.221127</v>
      </c>
      <c r="G164" t="n">
        <v>26.200528</v>
      </c>
      <c r="H164" t="n">
        <v>80.616586</v>
      </c>
      <c r="I164" t="n">
        <v>96.283275</v>
      </c>
      <c r="J164" t="n">
        <v>96.283275</v>
      </c>
      <c r="K164" t="n">
        <v>82.59048</v>
      </c>
      <c r="L164" t="n">
        <v>295.897518</v>
      </c>
      <c r="M164" t="n">
        <v>295.897518</v>
      </c>
      <c r="N164" t="n">
        <v>313.590452</v>
      </c>
      <c r="O164" t="n">
        <v>47.292261</v>
      </c>
      <c r="P164" t="n">
        <v>26.133043</v>
      </c>
      <c r="W164" t="n">
        <v>48.215972</v>
      </c>
      <c r="X164" t="n">
        <v>354.467589</v>
      </c>
      <c r="Y164" t="n">
        <v>13.377731</v>
      </c>
      <c r="Z164" t="n">
        <v>27.235027</v>
      </c>
    </row>
    <row r="165" ht="21" customHeight="1">
      <c r="A165" t="inlineStr">
        <is>
          <t>Gazza minuta</t>
        </is>
      </c>
      <c r="B165" t="n">
        <v>4.19</v>
      </c>
      <c r="C165" t="n">
        <v>1548.816619</v>
      </c>
      <c r="D165" s="11" t="inlineStr">
        <is>
          <t>Ponyfishes</t>
        </is>
      </c>
      <c r="E165" t="n">
        <v>92.758633</v>
      </c>
      <c r="F165" t="n">
        <v>55.624121</v>
      </c>
      <c r="G165" t="n">
        <v>26.356091</v>
      </c>
      <c r="H165" t="n">
        <v>61.131005</v>
      </c>
      <c r="I165" t="n">
        <v>58.637366</v>
      </c>
      <c r="J165" t="n">
        <v>58.637366</v>
      </c>
      <c r="K165" t="n">
        <v>56.980549</v>
      </c>
      <c r="L165" t="n">
        <v>167.671166</v>
      </c>
      <c r="M165" t="n">
        <v>167.671166</v>
      </c>
      <c r="N165" t="n">
        <v>176.99785</v>
      </c>
      <c r="O165" t="n">
        <v>35.276744</v>
      </c>
      <c r="P165" t="n">
        <v>19.385003</v>
      </c>
      <c r="W165" t="n">
        <v>36.372559</v>
      </c>
      <c r="X165" t="n">
        <v>200.137074</v>
      </c>
      <c r="Y165" t="n">
        <v>13.440773</v>
      </c>
      <c r="Z165" t="n">
        <v>22.381404</v>
      </c>
    </row>
    <row r="166" ht="21" customHeight="1">
      <c r="A166" t="inlineStr">
        <is>
          <t>Sardinella fimbriata</t>
        </is>
      </c>
      <c r="B166" t="n">
        <v>2.7</v>
      </c>
      <c r="C166" t="n">
        <v>50.118723</v>
      </c>
      <c r="D166" s="11" t="inlineStr">
        <is>
          <t>Sm. pelagics</t>
        </is>
      </c>
      <c r="E166" t="n">
        <v>92.758633</v>
      </c>
      <c r="F166" t="n">
        <v>79.432823</v>
      </c>
      <c r="G166" t="n">
        <v>35.22555</v>
      </c>
      <c r="H166" t="n">
        <v>36.979496</v>
      </c>
      <c r="I166" t="n">
        <v>22.609246</v>
      </c>
      <c r="J166" t="n">
        <v>22.609246</v>
      </c>
      <c r="K166" t="n">
        <v>21.478784</v>
      </c>
      <c r="L166" t="n">
        <v>30.239099</v>
      </c>
      <c r="M166" t="n">
        <v>30.239099</v>
      </c>
      <c r="N166" t="n">
        <v>31.345103</v>
      </c>
      <c r="O166" t="n">
        <v>25.592867</v>
      </c>
      <c r="P166" t="n">
        <v>15.901406</v>
      </c>
      <c r="W166" t="n">
        <v>26.701358</v>
      </c>
      <c r="X166" t="n">
        <v>32.392065</v>
      </c>
      <c r="Y166" t="n">
        <v>16.922772</v>
      </c>
      <c r="Z166" t="n">
        <v>17.234838</v>
      </c>
    </row>
    <row r="167" ht="21" customHeight="1">
      <c r="A167" t="inlineStr">
        <is>
          <t>Terapon theraps</t>
        </is>
      </c>
      <c r="B167" t="n">
        <v>3.49</v>
      </c>
      <c r="C167" t="n">
        <v>309.029543</v>
      </c>
      <c r="D167" s="11" t="inlineStr">
        <is>
          <t>Sm.dem.benth.</t>
        </is>
      </c>
      <c r="E167" t="n">
        <v>92.758633</v>
      </c>
      <c r="F167" t="n">
        <v>135.946622</v>
      </c>
      <c r="G167" t="n">
        <v>54.557109</v>
      </c>
      <c r="H167" t="n">
        <v>104.458273</v>
      </c>
      <c r="I167" t="n">
        <v>106.771533</v>
      </c>
      <c r="J167" t="n">
        <v>106.771533</v>
      </c>
      <c r="K167" t="n">
        <v>89.978955</v>
      </c>
      <c r="L167" t="n">
        <v>308.045854</v>
      </c>
      <c r="M167" t="n">
        <v>308.045854</v>
      </c>
      <c r="N167" t="n">
        <v>325.959633</v>
      </c>
      <c r="O167" t="n">
        <v>56.685005</v>
      </c>
      <c r="P167" t="n">
        <v>30.438514</v>
      </c>
      <c r="W167" t="n">
        <v>58.087916</v>
      </c>
      <c r="X167" t="n">
        <v>369.109424</v>
      </c>
      <c r="Y167" t="n">
        <v>23.952956</v>
      </c>
      <c r="Z167" t="n">
        <v>34.558123</v>
      </c>
    </row>
    <row r="168" ht="21" customHeight="1">
      <c r="A168" t="inlineStr">
        <is>
          <t>Psettodidae</t>
        </is>
      </c>
      <c r="B168" t="n">
        <v>3.83</v>
      </c>
      <c r="C168" t="n">
        <v>676.082975</v>
      </c>
      <c r="D168" s="11" t="inlineStr">
        <is>
          <t>Med.dem.pisc.</t>
        </is>
      </c>
      <c r="E168" t="n">
        <v>92.758633</v>
      </c>
      <c r="F168" t="n">
        <v>213.954708</v>
      </c>
      <c r="G168" t="n">
        <v>78.922014</v>
      </c>
      <c r="H168" t="n">
        <v>192.983472</v>
      </c>
      <c r="I168" t="n">
        <v>158.091504</v>
      </c>
      <c r="J168" t="n">
        <v>158.091504</v>
      </c>
      <c r="K168" t="n">
        <v>155.980707</v>
      </c>
      <c r="L168" t="n">
        <v>445.224589</v>
      </c>
      <c r="M168" t="n">
        <v>445.224589</v>
      </c>
      <c r="N168" t="n">
        <v>471.516338</v>
      </c>
      <c r="O168" t="n">
        <v>104.595857</v>
      </c>
      <c r="P168" t="n">
        <v>51.592439</v>
      </c>
      <c r="W168" t="n">
        <v>108.487387</v>
      </c>
      <c r="X168" t="n">
        <v>535.009173</v>
      </c>
      <c r="Y168" t="n">
        <v>32.114569</v>
      </c>
      <c r="Z168" t="n">
        <v>52.467555</v>
      </c>
    </row>
    <row r="169" ht="21" customHeight="1">
      <c r="A169" t="inlineStr">
        <is>
          <t>Pampus chinensis</t>
        </is>
      </c>
      <c r="B169" t="n">
        <v>3.6</v>
      </c>
      <c r="C169" t="n">
        <v>398.107171</v>
      </c>
      <c r="D169" s="11" t="inlineStr">
        <is>
          <t>Med.dem.benth.</t>
        </is>
      </c>
      <c r="E169" t="n">
        <v>92.758633</v>
      </c>
      <c r="F169" t="n">
        <v>274.243815</v>
      </c>
      <c r="G169" t="n">
        <v>96.59934699999999</v>
      </c>
      <c r="H169" t="n">
        <v>166.63869</v>
      </c>
      <c r="I169" t="n">
        <v>215.944796</v>
      </c>
      <c r="J169" t="n">
        <v>215.944796</v>
      </c>
      <c r="K169" t="n">
        <v>193.300587</v>
      </c>
      <c r="L169" t="n">
        <v>664.022909</v>
      </c>
      <c r="M169" t="n">
        <v>664.022909</v>
      </c>
      <c r="N169" t="n">
        <v>702.550582</v>
      </c>
      <c r="O169" t="n">
        <v>105.870272</v>
      </c>
      <c r="P169" t="n">
        <v>53.740614</v>
      </c>
      <c r="W169" t="n">
        <v>108.869834</v>
      </c>
      <c r="X169" t="n">
        <v>799.677877</v>
      </c>
      <c r="Y169" t="n">
        <v>37.70608</v>
      </c>
      <c r="Z169" t="n">
        <v>51.4265</v>
      </c>
    </row>
    <row r="170" ht="66" customHeight="1">
      <c r="A170" t="inlineStr">
        <is>
          <t>Perciformes</t>
        </is>
      </c>
      <c r="B170" t="n">
        <v>3.53</v>
      </c>
      <c r="C170" t="n">
        <v>338.844156</v>
      </c>
      <c r="D170" s="11" t="inlineStr">
        <is>
          <t>Grouper/snapper | Juv. groupers | Med.dem.benth. | Med.dem.pisc. | O.fish | Sm.dem.benth. | Sm.dem.pisc.</t>
        </is>
      </c>
      <c r="E170" t="n">
        <v>92.758633</v>
      </c>
      <c r="F170" t="n">
        <v>141.288559</v>
      </c>
      <c r="G170" t="n">
        <v>53.23792</v>
      </c>
      <c r="H170" t="n">
        <v>121.074449</v>
      </c>
      <c r="I170" t="n">
        <v>107.225923</v>
      </c>
      <c r="J170" t="n">
        <v>107.225923</v>
      </c>
      <c r="K170" t="n">
        <v>100.553383</v>
      </c>
      <c r="L170" t="n">
        <v>307.384185</v>
      </c>
      <c r="M170" t="n">
        <v>307.384185</v>
      </c>
      <c r="N170" t="n">
        <v>325.392932</v>
      </c>
      <c r="O170" t="n">
        <v>64.43221800000001</v>
      </c>
      <c r="P170" t="n">
        <v>33.063908</v>
      </c>
      <c r="W170" t="n">
        <v>66.503328</v>
      </c>
      <c r="X170" t="n">
        <v>371.351551</v>
      </c>
      <c r="Y170" t="n">
        <v>22.558521</v>
      </c>
      <c r="Z170" t="n">
        <v>36.057889</v>
      </c>
    </row>
    <row r="171" ht="21" customHeight="1">
      <c r="A171" t="inlineStr">
        <is>
          <t>Priacanthus tayenus</t>
        </is>
      </c>
      <c r="B171" t="n">
        <v>3.79</v>
      </c>
      <c r="C171" t="n">
        <v>616.595002</v>
      </c>
      <c r="D171" s="11" t="inlineStr">
        <is>
          <t>Sm.dem.pisc.</t>
        </is>
      </c>
      <c r="E171" t="n">
        <v>92.758633</v>
      </c>
      <c r="F171" t="n">
        <v>197.409669</v>
      </c>
      <c r="G171" t="n">
        <v>73.916488</v>
      </c>
      <c r="H171" t="n">
        <v>154.823545</v>
      </c>
      <c r="I171" t="n">
        <v>115.690597</v>
      </c>
      <c r="J171" t="n">
        <v>115.690597</v>
      </c>
      <c r="K171" t="n">
        <v>113.409335</v>
      </c>
      <c r="L171" t="n">
        <v>329.659655</v>
      </c>
      <c r="M171" t="n">
        <v>329.659655</v>
      </c>
      <c r="N171" t="n">
        <v>349.391819</v>
      </c>
      <c r="O171" t="n">
        <v>73.656982</v>
      </c>
      <c r="P171" t="n">
        <v>38.008692</v>
      </c>
      <c r="W171" t="n">
        <v>76.063031</v>
      </c>
      <c r="X171" t="n">
        <v>403.967718</v>
      </c>
      <c r="Y171" t="n">
        <v>30.486142</v>
      </c>
      <c r="Z171" t="n">
        <v>45.747918</v>
      </c>
    </row>
    <row r="172" ht="21" customHeight="1">
      <c r="A172" t="inlineStr">
        <is>
          <t>Eubleekeria splendens</t>
        </is>
      </c>
      <c r="B172" t="n">
        <v>2.94</v>
      </c>
      <c r="C172" t="n">
        <v>87.09635900000001</v>
      </c>
      <c r="D172" s="11" t="inlineStr">
        <is>
          <t>Ponyfishes</t>
        </is>
      </c>
      <c r="E172" t="n">
        <v>92.758633</v>
      </c>
      <c r="F172" t="n">
        <v>55.624121</v>
      </c>
      <c r="G172" t="n">
        <v>26.356091</v>
      </c>
      <c r="H172" t="n">
        <v>61.131005</v>
      </c>
      <c r="I172" t="n">
        <v>58.637366</v>
      </c>
      <c r="J172" t="n">
        <v>58.637366</v>
      </c>
      <c r="K172" t="n">
        <v>56.980549</v>
      </c>
      <c r="L172" t="n">
        <v>167.671166</v>
      </c>
      <c r="M172" t="n">
        <v>167.671166</v>
      </c>
      <c r="N172" t="n">
        <v>176.99785</v>
      </c>
      <c r="O172" t="n">
        <v>35.276744</v>
      </c>
      <c r="P172" t="n">
        <v>19.385003</v>
      </c>
      <c r="W172" t="n">
        <v>36.372559</v>
      </c>
      <c r="X172" t="n">
        <v>200.137074</v>
      </c>
      <c r="Y172" t="n">
        <v>13.440773</v>
      </c>
      <c r="Z172" t="n">
        <v>22.381404</v>
      </c>
    </row>
    <row r="173" ht="21" customHeight="1">
      <c r="A173" t="inlineStr">
        <is>
          <t>Scyllaridae</t>
        </is>
      </c>
      <c r="B173" t="n">
        <v>2.87</v>
      </c>
      <c r="C173" t="n">
        <v>74.131024</v>
      </c>
      <c r="D173" s="11" t="inlineStr">
        <is>
          <t>Crab, lobster</t>
        </is>
      </c>
      <c r="E173" t="n">
        <v>92.758633</v>
      </c>
      <c r="F173" t="n">
        <v>55.221127</v>
      </c>
      <c r="G173" t="n">
        <v>26.200528</v>
      </c>
      <c r="H173" t="n">
        <v>80.616586</v>
      </c>
      <c r="I173" t="n">
        <v>96.283275</v>
      </c>
      <c r="J173" t="n">
        <v>96.283275</v>
      </c>
      <c r="K173" t="n">
        <v>82.59048</v>
      </c>
      <c r="L173" t="n">
        <v>295.897518</v>
      </c>
      <c r="M173" t="n">
        <v>295.897518</v>
      </c>
      <c r="N173" t="n">
        <v>313.590452</v>
      </c>
      <c r="O173" t="n">
        <v>47.292261</v>
      </c>
      <c r="P173" t="n">
        <v>26.133043</v>
      </c>
      <c r="W173" t="n">
        <v>48.215972</v>
      </c>
      <c r="X173" t="n">
        <v>354.467589</v>
      </c>
      <c r="Y173" t="n">
        <v>13.377731</v>
      </c>
      <c r="Z173" t="n">
        <v>27.235027</v>
      </c>
    </row>
    <row r="174" ht="21" customHeight="1">
      <c r="A174" t="inlineStr">
        <is>
          <t>Sphyraenidae</t>
        </is>
      </c>
      <c r="B174" t="n">
        <v>4.4</v>
      </c>
      <c r="C174" t="n">
        <v>2511.886432</v>
      </c>
      <c r="D174" s="11" t="inlineStr">
        <is>
          <t>Juv.Lg.Pisciv. | Lg. piscivores</t>
        </is>
      </c>
      <c r="E174" t="n">
        <v>92.758633</v>
      </c>
      <c r="F174" t="n">
        <v>629.8141419999999</v>
      </c>
      <c r="G174" t="n">
        <v>190.080993</v>
      </c>
      <c r="H174" t="n">
        <v>480.632956</v>
      </c>
      <c r="I174" t="n">
        <v>315.097689</v>
      </c>
      <c r="J174" t="n">
        <v>315.097689</v>
      </c>
      <c r="K174" t="n">
        <v>292.632358</v>
      </c>
      <c r="L174" t="n">
        <v>806.383997</v>
      </c>
      <c r="M174" t="n">
        <v>806.383997</v>
      </c>
      <c r="N174" t="n">
        <v>851.766221</v>
      </c>
      <c r="O174" t="n">
        <v>204.799662</v>
      </c>
      <c r="P174" t="n">
        <v>89.620936</v>
      </c>
      <c r="W174" t="n">
        <v>213.690011</v>
      </c>
      <c r="X174" t="n">
        <v>962.931199</v>
      </c>
      <c r="Y174" t="n">
        <v>64.546074</v>
      </c>
      <c r="Z174" t="n">
        <v>110.616316</v>
      </c>
    </row>
    <row r="175" ht="21" customHeight="1">
      <c r="A175" t="inlineStr">
        <is>
          <t>Gerres</t>
        </is>
      </c>
      <c r="B175" t="n">
        <v>3.27</v>
      </c>
      <c r="C175" t="n">
        <v>186.208714</v>
      </c>
      <c r="D175" s="11" t="inlineStr">
        <is>
          <t>Sm.dem.benth.</t>
        </is>
      </c>
      <c r="E175" t="n">
        <v>92.758633</v>
      </c>
      <c r="F175" t="n">
        <v>135.946622</v>
      </c>
      <c r="G175" t="n">
        <v>54.557109</v>
      </c>
      <c r="H175" t="n">
        <v>104.458273</v>
      </c>
      <c r="I175" t="n">
        <v>106.771533</v>
      </c>
      <c r="J175" t="n">
        <v>106.771533</v>
      </c>
      <c r="K175" t="n">
        <v>89.978955</v>
      </c>
      <c r="L175" t="n">
        <v>308.045854</v>
      </c>
      <c r="M175" t="n">
        <v>308.045854</v>
      </c>
      <c r="N175" t="n">
        <v>325.959633</v>
      </c>
      <c r="O175" t="n">
        <v>56.685005</v>
      </c>
      <c r="P175" t="n">
        <v>30.438514</v>
      </c>
      <c r="W175" t="n">
        <v>58.087916</v>
      </c>
      <c r="X175" t="n">
        <v>369.109424</v>
      </c>
      <c r="Y175" t="n">
        <v>23.952956</v>
      </c>
      <c r="Z175" t="n">
        <v>34.558123</v>
      </c>
    </row>
    <row r="176" ht="21" customHeight="1">
      <c r="A176" t="inlineStr">
        <is>
          <t>Xiphias gladius</t>
        </is>
      </c>
      <c r="B176" t="n">
        <v>4.53</v>
      </c>
      <c r="C176" t="n">
        <v>3388.441561</v>
      </c>
      <c r="D176" s="11" t="inlineStr">
        <is>
          <t>Unresolved</t>
        </is>
      </c>
    </row>
    <row r="177" ht="21" customHeight="1">
      <c r="A177" t="inlineStr">
        <is>
          <t>Haemulidae</t>
        </is>
      </c>
      <c r="B177" t="n">
        <v>3.36</v>
      </c>
      <c r="C177" t="n">
        <v>229.086765</v>
      </c>
      <c r="D177" s="11" t="inlineStr">
        <is>
          <t>Med.dem.benth.</t>
        </is>
      </c>
      <c r="E177" t="n">
        <v>92.758633</v>
      </c>
      <c r="F177" t="n">
        <v>274.243815</v>
      </c>
      <c r="G177" t="n">
        <v>96.59934699999999</v>
      </c>
      <c r="H177" t="n">
        <v>166.63869</v>
      </c>
      <c r="I177" t="n">
        <v>215.944796</v>
      </c>
      <c r="J177" t="n">
        <v>215.944796</v>
      </c>
      <c r="K177" t="n">
        <v>193.300587</v>
      </c>
      <c r="L177" t="n">
        <v>664.022909</v>
      </c>
      <c r="M177" t="n">
        <v>664.022909</v>
      </c>
      <c r="N177" t="n">
        <v>702.550582</v>
      </c>
      <c r="O177" t="n">
        <v>105.870272</v>
      </c>
      <c r="P177" t="n">
        <v>53.740614</v>
      </c>
      <c r="W177" t="n">
        <v>108.869834</v>
      </c>
      <c r="X177" t="n">
        <v>799.677877</v>
      </c>
      <c r="Y177" t="n">
        <v>37.70608</v>
      </c>
      <c r="Z177" t="n">
        <v>51.4265</v>
      </c>
    </row>
    <row r="178" ht="21" customHeight="1">
      <c r="A178" t="inlineStr">
        <is>
          <t>Thryssa</t>
        </is>
      </c>
      <c r="B178" t="n">
        <v>3.34</v>
      </c>
      <c r="C178" t="n">
        <v>218.776162</v>
      </c>
      <c r="D178" s="11" t="inlineStr">
        <is>
          <t>Sm. pelagics</t>
        </is>
      </c>
      <c r="E178" t="n">
        <v>92.758633</v>
      </c>
      <c r="F178" t="n">
        <v>79.432823</v>
      </c>
      <c r="G178" t="n">
        <v>35.22555</v>
      </c>
      <c r="H178" t="n">
        <v>36.979496</v>
      </c>
      <c r="I178" t="n">
        <v>22.609246</v>
      </c>
      <c r="J178" t="n">
        <v>22.609246</v>
      </c>
      <c r="K178" t="n">
        <v>21.478784</v>
      </c>
      <c r="L178" t="n">
        <v>30.239099</v>
      </c>
      <c r="M178" t="n">
        <v>30.239099</v>
      </c>
      <c r="N178" t="n">
        <v>31.345103</v>
      </c>
      <c r="O178" t="n">
        <v>25.592867</v>
      </c>
      <c r="P178" t="n">
        <v>15.901406</v>
      </c>
      <c r="W178" t="n">
        <v>26.701358</v>
      </c>
      <c r="X178" t="n">
        <v>32.392065</v>
      </c>
      <c r="Y178" t="n">
        <v>16.922772</v>
      </c>
      <c r="Z178" t="n">
        <v>17.234838</v>
      </c>
    </row>
    <row r="179" ht="21" customHeight="1">
      <c r="A179" t="inlineStr">
        <is>
          <t>Hilsa kelee</t>
        </is>
      </c>
      <c r="B179" t="n">
        <v>3.25</v>
      </c>
      <c r="C179" t="n">
        <v>177.827941</v>
      </c>
      <c r="D179" s="11" t="inlineStr">
        <is>
          <t>Sm. pelagics</t>
        </is>
      </c>
      <c r="E179" t="n">
        <v>92.758633</v>
      </c>
      <c r="F179" t="n">
        <v>79.432823</v>
      </c>
      <c r="G179" t="n">
        <v>35.22555</v>
      </c>
      <c r="H179" t="n">
        <v>36.979496</v>
      </c>
      <c r="I179" t="n">
        <v>22.609246</v>
      </c>
      <c r="J179" t="n">
        <v>22.609246</v>
      </c>
      <c r="K179" t="n">
        <v>21.478784</v>
      </c>
      <c r="L179" t="n">
        <v>30.239099</v>
      </c>
      <c r="M179" t="n">
        <v>30.239099</v>
      </c>
      <c r="N179" t="n">
        <v>31.345103</v>
      </c>
      <c r="O179" t="n">
        <v>25.592867</v>
      </c>
      <c r="P179" t="n">
        <v>15.901406</v>
      </c>
      <c r="W179" t="n">
        <v>26.701358</v>
      </c>
      <c r="X179" t="n">
        <v>32.392065</v>
      </c>
      <c r="Y179" t="n">
        <v>16.922772</v>
      </c>
      <c r="Z179" t="n">
        <v>17.234838</v>
      </c>
    </row>
    <row r="180" ht="21" customHeight="1">
      <c r="A180" t="inlineStr">
        <is>
          <t>Octopus</t>
        </is>
      </c>
      <c r="B180" t="n">
        <v>3.8</v>
      </c>
      <c r="C180" t="n">
        <v>630.957344</v>
      </c>
      <c r="D180" s="11" t="inlineStr">
        <is>
          <t>Cephalopods</t>
        </is>
      </c>
      <c r="E180" t="n">
        <v>92.758633</v>
      </c>
      <c r="F180" t="n">
        <v>207.108363</v>
      </c>
      <c r="G180" t="n">
        <v>76.859779</v>
      </c>
      <c r="H180" t="n">
        <v>153.276012</v>
      </c>
      <c r="I180" t="n">
        <v>121.77284</v>
      </c>
      <c r="J180" t="n">
        <v>121.77284</v>
      </c>
      <c r="K180" t="n">
        <v>118.23963</v>
      </c>
      <c r="L180" t="n">
        <v>349.557692</v>
      </c>
      <c r="M180" t="n">
        <v>349.557692</v>
      </c>
      <c r="N180" t="n">
        <v>370.254323</v>
      </c>
      <c r="O180" t="n">
        <v>98.097358</v>
      </c>
      <c r="P180" t="n">
        <v>49.643681</v>
      </c>
      <c r="W180" t="n">
        <v>100.957994</v>
      </c>
      <c r="X180" t="n">
        <v>407.059034</v>
      </c>
      <c r="Y180" t="n">
        <v>31.446324</v>
      </c>
      <c r="Z180" t="n">
        <v>45.753688</v>
      </c>
    </row>
    <row r="181" ht="21" customHeight="1">
      <c r="A181" t="inlineStr">
        <is>
          <t>Lethrinidae</t>
        </is>
      </c>
      <c r="B181" t="n">
        <v>3.59</v>
      </c>
      <c r="C181" t="n">
        <v>389.045145</v>
      </c>
      <c r="D181" s="11" t="inlineStr">
        <is>
          <t>Med.dem.pisc.</t>
        </is>
      </c>
      <c r="E181" t="n">
        <v>92.758633</v>
      </c>
      <c r="F181" t="n">
        <v>213.954708</v>
      </c>
      <c r="G181" t="n">
        <v>78.922014</v>
      </c>
      <c r="H181" t="n">
        <v>192.983472</v>
      </c>
      <c r="I181" t="n">
        <v>158.091504</v>
      </c>
      <c r="J181" t="n">
        <v>158.091504</v>
      </c>
      <c r="K181" t="n">
        <v>155.980707</v>
      </c>
      <c r="L181" t="n">
        <v>445.224589</v>
      </c>
      <c r="M181" t="n">
        <v>445.224589</v>
      </c>
      <c r="N181" t="n">
        <v>471.516338</v>
      </c>
      <c r="O181" t="n">
        <v>104.595857</v>
      </c>
      <c r="P181" t="n">
        <v>51.592439</v>
      </c>
      <c r="W181" t="n">
        <v>108.487387</v>
      </c>
      <c r="X181" t="n">
        <v>535.009173</v>
      </c>
      <c r="Y181" t="n">
        <v>32.114569</v>
      </c>
      <c r="Z181" t="n">
        <v>52.467555</v>
      </c>
    </row>
    <row r="182" ht="21" customHeight="1">
      <c r="A182" t="inlineStr">
        <is>
          <t>Pampus</t>
        </is>
      </c>
      <c r="B182" t="n">
        <v>3.41</v>
      </c>
      <c r="C182" t="n">
        <v>257.039578</v>
      </c>
      <c r="D182" s="11" t="inlineStr">
        <is>
          <t>Med.dem.benth.</t>
        </is>
      </c>
      <c r="E182" t="n">
        <v>92.758633</v>
      </c>
      <c r="F182" t="n">
        <v>274.243815</v>
      </c>
      <c r="G182" t="n">
        <v>96.59934699999999</v>
      </c>
      <c r="H182" t="n">
        <v>166.63869</v>
      </c>
      <c r="I182" t="n">
        <v>215.944796</v>
      </c>
      <c r="J182" t="n">
        <v>215.944796</v>
      </c>
      <c r="K182" t="n">
        <v>193.300587</v>
      </c>
      <c r="L182" t="n">
        <v>664.022909</v>
      </c>
      <c r="M182" t="n">
        <v>664.022909</v>
      </c>
      <c r="N182" t="n">
        <v>702.550582</v>
      </c>
      <c r="O182" t="n">
        <v>105.870272</v>
      </c>
      <c r="P182" t="n">
        <v>53.740614</v>
      </c>
      <c r="W182" t="n">
        <v>108.869834</v>
      </c>
      <c r="X182" t="n">
        <v>799.677877</v>
      </c>
      <c r="Y182" t="n">
        <v>37.70608</v>
      </c>
      <c r="Z182" t="n">
        <v>51.4265</v>
      </c>
    </row>
    <row r="183" ht="21" customHeight="1">
      <c r="A183" t="inlineStr">
        <is>
          <t>Platycaranx malabaricus</t>
        </is>
      </c>
      <c r="B183" t="n">
        <v>3.88</v>
      </c>
      <c r="C183" t="n">
        <v>758.577575</v>
      </c>
      <c r="D183" s="11" t="inlineStr">
        <is>
          <t>Lg. piscivores | Juv.Lg.Pisciv.</t>
        </is>
      </c>
      <c r="E183" t="n">
        <v>92.758633</v>
      </c>
      <c r="F183" t="n">
        <v>629.8141419999999</v>
      </c>
      <c r="G183" t="n">
        <v>190.080993</v>
      </c>
      <c r="H183" t="n">
        <v>480.632956</v>
      </c>
      <c r="I183" t="n">
        <v>315.097689</v>
      </c>
      <c r="J183" t="n">
        <v>315.097689</v>
      </c>
      <c r="K183" t="n">
        <v>292.632358</v>
      </c>
      <c r="L183" t="n">
        <v>806.383997</v>
      </c>
      <c r="M183" t="n">
        <v>806.383997</v>
      </c>
      <c r="N183" t="n">
        <v>851.766221</v>
      </c>
      <c r="O183" t="n">
        <v>204.799662</v>
      </c>
      <c r="P183" t="n">
        <v>89.620936</v>
      </c>
      <c r="W183" t="n">
        <v>213.690011</v>
      </c>
      <c r="X183" t="n">
        <v>962.931199</v>
      </c>
      <c r="Y183" t="n">
        <v>64.546074</v>
      </c>
      <c r="Z183" t="n">
        <v>110.616316</v>
      </c>
    </row>
    <row r="184" ht="21" customHeight="1">
      <c r="A184" t="inlineStr">
        <is>
          <t>Crassostrea</t>
        </is>
      </c>
      <c r="D184" s="11" t="inlineStr">
        <is>
          <t>Molluscs</t>
        </is>
      </c>
      <c r="E184" t="n">
        <v>92.758633</v>
      </c>
      <c r="F184" t="n">
        <v>15.848932</v>
      </c>
      <c r="G184" t="n">
        <v>9.483373</v>
      </c>
      <c r="H184" t="n">
        <v>13.28747</v>
      </c>
      <c r="I184" t="n">
        <v>8.760194</v>
      </c>
      <c r="J184" t="n">
        <v>8.760194</v>
      </c>
      <c r="K184" t="n">
        <v>7.884174</v>
      </c>
      <c r="L184" t="n">
        <v>10.549912</v>
      </c>
      <c r="M184" t="n">
        <v>10.549912</v>
      </c>
      <c r="N184" t="n">
        <v>10.809345</v>
      </c>
      <c r="O184" t="n">
        <v>8.798415</v>
      </c>
      <c r="P184" t="n">
        <v>6.022535</v>
      </c>
      <c r="W184" t="n">
        <v>8.947789999999999</v>
      </c>
      <c r="X184" t="n">
        <v>11.156289</v>
      </c>
      <c r="Y184" t="n">
        <v>5.968659</v>
      </c>
      <c r="Z184" t="n">
        <v>7.276791</v>
      </c>
    </row>
    <row r="185" ht="21" customHeight="1">
      <c r="A185" t="inlineStr">
        <is>
          <t>Gnathanodon speciosus</t>
        </is>
      </c>
      <c r="B185" t="n">
        <v>3.84</v>
      </c>
      <c r="C185" t="n">
        <v>691.830971</v>
      </c>
      <c r="D185" s="11" t="inlineStr">
        <is>
          <t>Lg. piscivores | Juv.Lg.Pisciv.</t>
        </is>
      </c>
      <c r="E185" t="n">
        <v>92.758633</v>
      </c>
      <c r="F185" t="n">
        <v>629.8141419999999</v>
      </c>
      <c r="G185" t="n">
        <v>190.080993</v>
      </c>
      <c r="H185" t="n">
        <v>480.632956</v>
      </c>
      <c r="I185" t="n">
        <v>315.097689</v>
      </c>
      <c r="J185" t="n">
        <v>315.097689</v>
      </c>
      <c r="K185" t="n">
        <v>292.632358</v>
      </c>
      <c r="L185" t="n">
        <v>806.383997</v>
      </c>
      <c r="M185" t="n">
        <v>806.383997</v>
      </c>
      <c r="N185" t="n">
        <v>851.766221</v>
      </c>
      <c r="O185" t="n">
        <v>204.799662</v>
      </c>
      <c r="P185" t="n">
        <v>89.620936</v>
      </c>
      <c r="W185" t="n">
        <v>213.690011</v>
      </c>
      <c r="X185" t="n">
        <v>962.931199</v>
      </c>
      <c r="Y185" t="n">
        <v>64.546074</v>
      </c>
      <c r="Z185" t="n">
        <v>110.616316</v>
      </c>
    </row>
    <row r="186" ht="21" customHeight="1">
      <c r="A186" t="inlineStr">
        <is>
          <t>Aluterus</t>
        </is>
      </c>
      <c r="B186" t="n">
        <v>2.81</v>
      </c>
      <c r="C186" t="n">
        <v>64.565423</v>
      </c>
      <c r="D186" s="11" t="inlineStr">
        <is>
          <t>Med.dem.benth.</t>
        </is>
      </c>
      <c r="E186" t="n">
        <v>92.758633</v>
      </c>
      <c r="F186" t="n">
        <v>274.243815</v>
      </c>
      <c r="G186" t="n">
        <v>96.59934699999999</v>
      </c>
      <c r="H186" t="n">
        <v>166.63869</v>
      </c>
      <c r="I186" t="n">
        <v>215.944796</v>
      </c>
      <c r="J186" t="n">
        <v>215.944796</v>
      </c>
      <c r="K186" t="n">
        <v>193.300587</v>
      </c>
      <c r="L186" t="n">
        <v>664.022909</v>
      </c>
      <c r="M186" t="n">
        <v>664.022909</v>
      </c>
      <c r="N186" t="n">
        <v>702.550582</v>
      </c>
      <c r="O186" t="n">
        <v>105.870272</v>
      </c>
      <c r="P186" t="n">
        <v>53.740614</v>
      </c>
      <c r="W186" t="n">
        <v>108.869834</v>
      </c>
      <c r="X186" t="n">
        <v>799.677877</v>
      </c>
      <c r="Y186" t="n">
        <v>37.70608</v>
      </c>
      <c r="Z186" t="n">
        <v>51.4265</v>
      </c>
    </row>
    <row r="187" ht="21" customHeight="1">
      <c r="A187" t="inlineStr">
        <is>
          <t>Scatophagus</t>
        </is>
      </c>
      <c r="B187" t="n">
        <v>2.75</v>
      </c>
      <c r="C187" t="n">
        <v>56.234133</v>
      </c>
      <c r="D187" s="11" t="inlineStr">
        <is>
          <t>O.fish</t>
        </is>
      </c>
      <c r="E187" t="n">
        <v>92.758633</v>
      </c>
      <c r="F187" t="n">
        <v>41.788101</v>
      </c>
      <c r="G187" t="n">
        <v>20.881264</v>
      </c>
      <c r="H187" t="n">
        <v>52.028891</v>
      </c>
      <c r="I187" t="n">
        <v>48.21537</v>
      </c>
      <c r="J187" t="n">
        <v>48.21537</v>
      </c>
      <c r="K187" t="n">
        <v>48.150458</v>
      </c>
      <c r="L187" t="n">
        <v>135.960121</v>
      </c>
      <c r="M187" t="n">
        <v>135.960121</v>
      </c>
      <c r="N187" t="n">
        <v>143.850985</v>
      </c>
      <c r="O187" t="n">
        <v>31.644149</v>
      </c>
      <c r="P187" t="n">
        <v>18.19469</v>
      </c>
      <c r="W187" t="n">
        <v>32.429472</v>
      </c>
      <c r="X187" t="n">
        <v>163.410873</v>
      </c>
      <c r="Y187" t="n">
        <v>11.171569</v>
      </c>
      <c r="Z187" t="n">
        <v>19.389776</v>
      </c>
    </row>
    <row r="188" ht="21" customHeight="1">
      <c r="A188" t="inlineStr">
        <is>
          <t>Panulirus polyphagus</t>
        </is>
      </c>
      <c r="B188" t="n">
        <v>2.94</v>
      </c>
      <c r="C188" t="n">
        <v>87.09635900000001</v>
      </c>
      <c r="D188" s="11" t="inlineStr">
        <is>
          <t>Crab, lobster</t>
        </is>
      </c>
      <c r="E188" t="n">
        <v>92.758633</v>
      </c>
      <c r="F188" t="n">
        <v>55.221127</v>
      </c>
      <c r="G188" t="n">
        <v>26.200528</v>
      </c>
      <c r="H188" t="n">
        <v>80.616586</v>
      </c>
      <c r="I188" t="n">
        <v>96.283275</v>
      </c>
      <c r="J188" t="n">
        <v>96.283275</v>
      </c>
      <c r="K188" t="n">
        <v>82.59048</v>
      </c>
      <c r="L188" t="n">
        <v>295.897518</v>
      </c>
      <c r="M188" t="n">
        <v>295.897518</v>
      </c>
      <c r="N188" t="n">
        <v>313.590452</v>
      </c>
      <c r="O188" t="n">
        <v>47.292261</v>
      </c>
      <c r="P188" t="n">
        <v>26.133043</v>
      </c>
      <c r="W188" t="n">
        <v>48.215972</v>
      </c>
      <c r="X188" t="n">
        <v>354.467589</v>
      </c>
      <c r="Y188" t="n">
        <v>13.377731</v>
      </c>
      <c r="Z188" t="n">
        <v>27.235027</v>
      </c>
    </row>
    <row r="189" ht="21" customHeight="1">
      <c r="A189" t="inlineStr">
        <is>
          <t>Makaira mazara</t>
        </is>
      </c>
      <c r="B189" t="n">
        <v>4.46</v>
      </c>
      <c r="C189" t="n">
        <v>2884.031503</v>
      </c>
      <c r="D189" s="11" t="inlineStr">
        <is>
          <t>Unresolved</t>
        </is>
      </c>
    </row>
    <row r="190" ht="21" customHeight="1">
      <c r="A190" t="inlineStr">
        <is>
          <t>Miscellaneous marine crustaceans</t>
        </is>
      </c>
      <c r="B190" t="n">
        <v>2.7</v>
      </c>
      <c r="C190" t="n">
        <v>50.118723</v>
      </c>
      <c r="D190" s="11" t="inlineStr">
        <is>
          <t>Shrimps</t>
        </is>
      </c>
      <c r="E190" t="n">
        <v>92.758633</v>
      </c>
      <c r="F190" t="n">
        <v>24.936879</v>
      </c>
      <c r="G190" t="n">
        <v>13.715732</v>
      </c>
      <c r="H190" t="n">
        <v>39.542201</v>
      </c>
      <c r="I190" t="n">
        <v>39.345557</v>
      </c>
      <c r="J190" t="n">
        <v>39.345557</v>
      </c>
      <c r="K190" t="n">
        <v>37.378279</v>
      </c>
      <c r="L190" t="n">
        <v>110.883242</v>
      </c>
      <c r="M190" t="n">
        <v>110.883242</v>
      </c>
      <c r="N190" t="n">
        <v>118.086052</v>
      </c>
      <c r="O190" t="n">
        <v>26.876504</v>
      </c>
      <c r="P190" t="n">
        <v>16.79886</v>
      </c>
      <c r="W190" t="n">
        <v>27.610867</v>
      </c>
      <c r="X190" t="n">
        <v>134.234083</v>
      </c>
      <c r="Y190" t="n">
        <v>8.001064</v>
      </c>
      <c r="Z190" t="n">
        <v>14.97557</v>
      </c>
    </row>
    <row r="191" ht="21" customHeight="1">
      <c r="A191" t="inlineStr">
        <is>
          <t>Platycephalus indicus</t>
        </is>
      </c>
      <c r="B191" t="n">
        <v>3.6</v>
      </c>
      <c r="C191" t="n">
        <v>398.107171</v>
      </c>
      <c r="D191" s="11" t="inlineStr">
        <is>
          <t>Med.dem.pisc.</t>
        </is>
      </c>
      <c r="E191" t="n">
        <v>92.758633</v>
      </c>
      <c r="F191" t="n">
        <v>213.954708</v>
      </c>
      <c r="G191" t="n">
        <v>78.922014</v>
      </c>
      <c r="H191" t="n">
        <v>192.983472</v>
      </c>
      <c r="I191" t="n">
        <v>158.091504</v>
      </c>
      <c r="J191" t="n">
        <v>158.091504</v>
      </c>
      <c r="K191" t="n">
        <v>155.980707</v>
      </c>
      <c r="L191" t="n">
        <v>445.224589</v>
      </c>
      <c r="M191" t="n">
        <v>445.224589</v>
      </c>
      <c r="N191" t="n">
        <v>471.516338</v>
      </c>
      <c r="O191" t="n">
        <v>104.595857</v>
      </c>
      <c r="P191" t="n">
        <v>51.592439</v>
      </c>
      <c r="W191" t="n">
        <v>108.487387</v>
      </c>
      <c r="X191" t="n">
        <v>535.009173</v>
      </c>
      <c r="Y191" t="n">
        <v>32.114569</v>
      </c>
      <c r="Z191" t="n">
        <v>52.467555</v>
      </c>
    </row>
    <row r="192" ht="21" customHeight="1">
      <c r="A192" t="inlineStr">
        <is>
          <t>Holothuriidae</t>
        </is>
      </c>
      <c r="D192" s="11" t="inlineStr">
        <is>
          <t>Benthos</t>
        </is>
      </c>
      <c r="E192" t="n">
        <v>92.758633</v>
      </c>
      <c r="F192" t="n">
        <v>30.493728</v>
      </c>
      <c r="G192" t="n">
        <v>16.156554</v>
      </c>
      <c r="H192" t="n">
        <v>23.735388</v>
      </c>
      <c r="I192" t="n">
        <v>40.29524</v>
      </c>
      <c r="J192" t="n">
        <v>40.29524</v>
      </c>
      <c r="K192" t="n">
        <v>13.120387</v>
      </c>
      <c r="L192" t="n">
        <v>126.575988</v>
      </c>
      <c r="M192" t="n">
        <v>126.575988</v>
      </c>
      <c r="N192" t="n">
        <v>133.836756</v>
      </c>
      <c r="O192" t="n">
        <v>21.065935</v>
      </c>
      <c r="P192" t="n">
        <v>13.449167</v>
      </c>
      <c r="W192" t="n">
        <v>21.490914</v>
      </c>
      <c r="X192" t="n">
        <v>150.538596</v>
      </c>
      <c r="Y192" t="n">
        <v>9.112489</v>
      </c>
      <c r="Z192" t="n">
        <v>11.291188</v>
      </c>
    </row>
    <row r="193" ht="21" customHeight="1">
      <c r="A193" t="inlineStr">
        <is>
          <t>Istiompax indica</t>
        </is>
      </c>
      <c r="B193" t="n">
        <v>4.5</v>
      </c>
      <c r="C193" t="n">
        <v>3162.27766</v>
      </c>
      <c r="D193" s="11" t="inlineStr">
        <is>
          <t>Unresolved</t>
        </is>
      </c>
    </row>
    <row r="194" ht="21" customHeight="1">
      <c r="A194" t="inlineStr">
        <is>
          <t>Menidae</t>
        </is>
      </c>
      <c r="B194" t="n">
        <v>3.45</v>
      </c>
      <c r="C194" t="n">
        <v>281.838293</v>
      </c>
      <c r="D194" s="11" t="inlineStr">
        <is>
          <t>Med.dem.benth.</t>
        </is>
      </c>
      <c r="E194" t="n">
        <v>92.758633</v>
      </c>
      <c r="F194" t="n">
        <v>274.243815</v>
      </c>
      <c r="G194" t="n">
        <v>96.59934699999999</v>
      </c>
      <c r="H194" t="n">
        <v>166.63869</v>
      </c>
      <c r="I194" t="n">
        <v>215.944796</v>
      </c>
      <c r="J194" t="n">
        <v>215.944796</v>
      </c>
      <c r="K194" t="n">
        <v>193.300587</v>
      </c>
      <c r="L194" t="n">
        <v>664.022909</v>
      </c>
      <c r="M194" t="n">
        <v>664.022909</v>
      </c>
      <c r="N194" t="n">
        <v>702.550582</v>
      </c>
      <c r="O194" t="n">
        <v>105.870272</v>
      </c>
      <c r="P194" t="n">
        <v>53.740614</v>
      </c>
      <c r="W194" t="n">
        <v>108.869834</v>
      </c>
      <c r="X194" t="n">
        <v>799.677877</v>
      </c>
      <c r="Y194" t="n">
        <v>37.70608</v>
      </c>
      <c r="Z194" t="n">
        <v>51.4265</v>
      </c>
    </row>
    <row r="195" ht="21" customHeight="1">
      <c r="A195" t="inlineStr">
        <is>
          <t>Hyporhamphus</t>
        </is>
      </c>
      <c r="B195" t="n">
        <v>3.3</v>
      </c>
      <c r="C195" t="n">
        <v>199.526231</v>
      </c>
      <c r="D195" s="11" t="inlineStr">
        <is>
          <t>Sm. pelagics</t>
        </is>
      </c>
      <c r="E195" t="n">
        <v>92.758633</v>
      </c>
      <c r="F195" t="n">
        <v>79.432823</v>
      </c>
      <c r="G195" t="n">
        <v>35.22555</v>
      </c>
      <c r="H195" t="n">
        <v>36.979496</v>
      </c>
      <c r="I195" t="n">
        <v>22.609246</v>
      </c>
      <c r="J195" t="n">
        <v>22.609246</v>
      </c>
      <c r="K195" t="n">
        <v>21.478784</v>
      </c>
      <c r="L195" t="n">
        <v>30.239099</v>
      </c>
      <c r="M195" t="n">
        <v>30.239099</v>
      </c>
      <c r="N195" t="n">
        <v>31.345103</v>
      </c>
      <c r="O195" t="n">
        <v>25.592867</v>
      </c>
      <c r="P195" t="n">
        <v>15.901406</v>
      </c>
      <c r="W195" t="n">
        <v>26.701358</v>
      </c>
      <c r="X195" t="n">
        <v>32.392065</v>
      </c>
      <c r="Y195" t="n">
        <v>16.922772</v>
      </c>
      <c r="Z195" t="n">
        <v>17.234838</v>
      </c>
    </row>
    <row r="196" ht="21" customHeight="1">
      <c r="A196" t="inlineStr">
        <is>
          <t>Caranx sexfasciatus</t>
        </is>
      </c>
      <c r="B196" t="n">
        <v>4.5</v>
      </c>
      <c r="C196" t="n">
        <v>3162.27766</v>
      </c>
      <c r="D196" s="11" t="inlineStr">
        <is>
          <t>Lg. piscivores | Juv.Lg.Pisciv.</t>
        </is>
      </c>
      <c r="E196" t="n">
        <v>92.758633</v>
      </c>
      <c r="F196" t="n">
        <v>629.8141419999999</v>
      </c>
      <c r="G196" t="n">
        <v>190.080993</v>
      </c>
      <c r="H196" t="n">
        <v>480.632956</v>
      </c>
      <c r="I196" t="n">
        <v>315.097689</v>
      </c>
      <c r="J196" t="n">
        <v>315.097689</v>
      </c>
      <c r="K196" t="n">
        <v>292.632358</v>
      </c>
      <c r="L196" t="n">
        <v>806.383997</v>
      </c>
      <c r="M196" t="n">
        <v>806.383997</v>
      </c>
      <c r="N196" t="n">
        <v>851.766221</v>
      </c>
      <c r="O196" t="n">
        <v>204.799662</v>
      </c>
      <c r="P196" t="n">
        <v>89.620936</v>
      </c>
      <c r="W196" t="n">
        <v>213.690011</v>
      </c>
      <c r="X196" t="n">
        <v>962.931199</v>
      </c>
      <c r="Y196" t="n">
        <v>64.546074</v>
      </c>
      <c r="Z196" t="n">
        <v>110.616316</v>
      </c>
    </row>
    <row r="197" ht="21" customHeight="1">
      <c r="A197" t="inlineStr">
        <is>
          <t>Megalops cyprinoides</t>
        </is>
      </c>
      <c r="B197" t="n">
        <v>3.48</v>
      </c>
      <c r="C197" t="n">
        <v>301.995172</v>
      </c>
      <c r="D197" s="11" t="inlineStr">
        <is>
          <t>Lg. piscivores | Juv.Lg.Pisciv.</t>
        </is>
      </c>
      <c r="E197" t="n">
        <v>92.758633</v>
      </c>
      <c r="F197" t="n">
        <v>629.8141419999999</v>
      </c>
      <c r="G197" t="n">
        <v>190.080993</v>
      </c>
      <c r="H197" t="n">
        <v>480.632956</v>
      </c>
      <c r="I197" t="n">
        <v>315.097689</v>
      </c>
      <c r="J197" t="n">
        <v>315.097689</v>
      </c>
      <c r="K197" t="n">
        <v>292.632358</v>
      </c>
      <c r="L197" t="n">
        <v>806.383997</v>
      </c>
      <c r="M197" t="n">
        <v>806.383997</v>
      </c>
      <c r="N197" t="n">
        <v>851.766221</v>
      </c>
      <c r="O197" t="n">
        <v>204.799662</v>
      </c>
      <c r="P197" t="n">
        <v>89.620936</v>
      </c>
      <c r="W197" t="n">
        <v>213.690011</v>
      </c>
      <c r="X197" t="n">
        <v>962.931199</v>
      </c>
      <c r="Y197" t="n">
        <v>64.546074</v>
      </c>
      <c r="Z197" t="n">
        <v>110.616316</v>
      </c>
    </row>
    <row r="198" ht="21" customHeight="1">
      <c r="A198" t="inlineStr">
        <is>
          <t>Spratelloides</t>
        </is>
      </c>
      <c r="D198" s="11" t="inlineStr">
        <is>
          <t>Sm. pelagics</t>
        </is>
      </c>
      <c r="E198" t="n">
        <v>92.758633</v>
      </c>
      <c r="F198" t="n">
        <v>79.432823</v>
      </c>
      <c r="G198" t="n">
        <v>35.22555</v>
      </c>
      <c r="H198" t="n">
        <v>36.979496</v>
      </c>
      <c r="I198" t="n">
        <v>22.609246</v>
      </c>
      <c r="J198" t="n">
        <v>22.609246</v>
      </c>
      <c r="K198" t="n">
        <v>21.478784</v>
      </c>
      <c r="L198" t="n">
        <v>30.239099</v>
      </c>
      <c r="M198" t="n">
        <v>30.239099</v>
      </c>
      <c r="N198" t="n">
        <v>31.345103</v>
      </c>
      <c r="O198" t="n">
        <v>25.592867</v>
      </c>
      <c r="P198" t="n">
        <v>15.901406</v>
      </c>
      <c r="W198" t="n">
        <v>26.701358</v>
      </c>
      <c r="X198" t="n">
        <v>32.392065</v>
      </c>
      <c r="Y198" t="n">
        <v>16.922772</v>
      </c>
      <c r="Z198" t="n">
        <v>17.234838</v>
      </c>
    </row>
    <row r="199" ht="21" customHeight="1">
      <c r="A199" t="inlineStr">
        <is>
          <t>Marine pelagic fishes not identified</t>
        </is>
      </c>
      <c r="D199" s="11" t="inlineStr">
        <is>
          <t>Sm. pelagics | Scad</t>
        </is>
      </c>
      <c r="E199" t="n">
        <v>92.758633</v>
      </c>
      <c r="F199" t="n">
        <v>151.090119</v>
      </c>
      <c r="G199" t="n">
        <v>57.530433</v>
      </c>
      <c r="H199" t="n">
        <v>79.516319</v>
      </c>
      <c r="I199" t="n">
        <v>44.490129</v>
      </c>
      <c r="J199" t="n">
        <v>44.490129</v>
      </c>
      <c r="K199" t="n">
        <v>42.265623</v>
      </c>
      <c r="L199" t="n">
        <v>82.177165</v>
      </c>
      <c r="M199" t="n">
        <v>82.177165</v>
      </c>
      <c r="N199" t="n">
        <v>86.168481</v>
      </c>
      <c r="O199" t="n">
        <v>41.946198</v>
      </c>
      <c r="P199" t="n">
        <v>23.359158</v>
      </c>
      <c r="W199" t="n">
        <v>43.771361</v>
      </c>
      <c r="X199" t="n">
        <v>93.067706</v>
      </c>
      <c r="Y199" t="n">
        <v>24.39843</v>
      </c>
      <c r="Z199" t="n">
        <v>28.786252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Unresolved</t>
        </is>
      </c>
    </row>
    <row r="201" ht="21" customHeight="1">
      <c r="A201" t="inlineStr">
        <is>
          <t>Thunnus alalunga</t>
        </is>
      </c>
      <c r="B201" t="n">
        <v>4.3</v>
      </c>
      <c r="C201" t="n">
        <v>1995.262315</v>
      </c>
      <c r="D201" s="11" t="inlineStr">
        <is>
          <t>Tuna</t>
        </is>
      </c>
      <c r="E201" t="n">
        <v>92.758633</v>
      </c>
      <c r="F201" t="n">
        <v>1217.891849</v>
      </c>
      <c r="G201" t="n">
        <v>325.165267</v>
      </c>
      <c r="H201" t="n">
        <v>703.930824</v>
      </c>
      <c r="I201" t="n">
        <v>327.693492</v>
      </c>
      <c r="J201" t="n">
        <v>327.693492</v>
      </c>
      <c r="K201" t="n">
        <v>311.308817</v>
      </c>
      <c r="L201" t="n">
        <v>675.870038</v>
      </c>
      <c r="M201" t="n">
        <v>675.870038</v>
      </c>
      <c r="N201" t="n">
        <v>710.633419</v>
      </c>
      <c r="O201" t="n">
        <v>254.942405</v>
      </c>
      <c r="P201" t="n">
        <v>107.862693</v>
      </c>
      <c r="W201" t="n">
        <v>271.503704</v>
      </c>
      <c r="X201" t="n">
        <v>791.598393</v>
      </c>
      <c r="Y201" t="n">
        <v>98.86518</v>
      </c>
      <c r="Z201" t="n">
        <v>153.001145</v>
      </c>
    </row>
    <row r="202" ht="21" customHeight="1">
      <c r="A202" t="inlineStr">
        <is>
          <t>Scatophagus argus</t>
        </is>
      </c>
      <c r="B202" t="n">
        <v>2.99</v>
      </c>
      <c r="C202" t="n">
        <v>97.723722</v>
      </c>
      <c r="D202" s="11" t="inlineStr">
        <is>
          <t>O.fish</t>
        </is>
      </c>
      <c r="E202" t="n">
        <v>92.758633</v>
      </c>
      <c r="F202" t="n">
        <v>41.788101</v>
      </c>
      <c r="G202" t="n">
        <v>20.881264</v>
      </c>
      <c r="H202" t="n">
        <v>52.028891</v>
      </c>
      <c r="I202" t="n">
        <v>48.21537</v>
      </c>
      <c r="J202" t="n">
        <v>48.21537</v>
      </c>
      <c r="K202" t="n">
        <v>48.150458</v>
      </c>
      <c r="L202" t="n">
        <v>135.960121</v>
      </c>
      <c r="M202" t="n">
        <v>135.960121</v>
      </c>
      <c r="N202" t="n">
        <v>143.850985</v>
      </c>
      <c r="O202" t="n">
        <v>31.644149</v>
      </c>
      <c r="P202" t="n">
        <v>18.19469</v>
      </c>
      <c r="W202" t="n">
        <v>32.429472</v>
      </c>
      <c r="X202" t="n">
        <v>163.410873</v>
      </c>
      <c r="Y202" t="n">
        <v>11.171569</v>
      </c>
      <c r="Z202" t="n">
        <v>19.389776</v>
      </c>
    </row>
    <row r="203" ht="21" customHeight="1">
      <c r="A203" t="inlineStr">
        <is>
          <t>Panulirus</t>
        </is>
      </c>
      <c r="D203" s="11" t="inlineStr">
        <is>
          <t>Crab, lobster</t>
        </is>
      </c>
      <c r="E203" t="n">
        <v>92.758633</v>
      </c>
      <c r="F203" t="n">
        <v>55.221127</v>
      </c>
      <c r="G203" t="n">
        <v>26.200528</v>
      </c>
      <c r="H203" t="n">
        <v>80.616586</v>
      </c>
      <c r="I203" t="n">
        <v>96.283275</v>
      </c>
      <c r="J203" t="n">
        <v>96.283275</v>
      </c>
      <c r="K203" t="n">
        <v>82.59048</v>
      </c>
      <c r="L203" t="n">
        <v>295.897518</v>
      </c>
      <c r="M203" t="n">
        <v>295.897518</v>
      </c>
      <c r="N203" t="n">
        <v>313.590452</v>
      </c>
      <c r="O203" t="n">
        <v>47.292261</v>
      </c>
      <c r="P203" t="n">
        <v>26.133043</v>
      </c>
      <c r="W203" t="n">
        <v>48.215972</v>
      </c>
      <c r="X203" t="n">
        <v>354.467589</v>
      </c>
      <c r="Y203" t="n">
        <v>13.377731</v>
      </c>
      <c r="Z203" t="n">
        <v>27.235027</v>
      </c>
    </row>
    <row r="204" ht="21" customHeight="1">
      <c r="A204" t="inlineStr">
        <is>
          <t>Istiophorus platypterus</t>
        </is>
      </c>
      <c r="D204" s="11" t="inlineStr">
        <is>
          <t>Unresolved</t>
        </is>
      </c>
    </row>
    <row r="205" ht="21" customHeight="1">
      <c r="A205" t="inlineStr">
        <is>
          <t>Ostreidae</t>
        </is>
      </c>
      <c r="B205" t="n">
        <v>2</v>
      </c>
      <c r="C205" t="n">
        <v>10</v>
      </c>
      <c r="D205" s="11" t="inlineStr">
        <is>
          <t>Molluscs</t>
        </is>
      </c>
      <c r="E205" t="n">
        <v>92.758633</v>
      </c>
      <c r="F205" t="n">
        <v>15.848932</v>
      </c>
      <c r="G205" t="n">
        <v>9.483373</v>
      </c>
      <c r="H205" t="n">
        <v>13.28747</v>
      </c>
      <c r="I205" t="n">
        <v>8.760194</v>
      </c>
      <c r="J205" t="n">
        <v>8.760194</v>
      </c>
      <c r="K205" t="n">
        <v>7.884174</v>
      </c>
      <c r="L205" t="n">
        <v>10.549912</v>
      </c>
      <c r="M205" t="n">
        <v>10.549912</v>
      </c>
      <c r="N205" t="n">
        <v>10.809345</v>
      </c>
      <c r="O205" t="n">
        <v>8.798415</v>
      </c>
      <c r="P205" t="n">
        <v>6.022535</v>
      </c>
      <c r="W205" t="n">
        <v>8.947789999999999</v>
      </c>
      <c r="X205" t="n">
        <v>11.156289</v>
      </c>
      <c r="Y205" t="n">
        <v>5.968659</v>
      </c>
      <c r="Z205" t="n">
        <v>7.276791</v>
      </c>
    </row>
    <row r="206" ht="21" customHeight="1">
      <c r="A206" t="inlineStr">
        <is>
          <t>Stromateidae</t>
        </is>
      </c>
      <c r="D206" s="11" t="inlineStr">
        <is>
          <t>Med.dem.benth.</t>
        </is>
      </c>
      <c r="E206" t="n">
        <v>92.758633</v>
      </c>
      <c r="F206" t="n">
        <v>274.243815</v>
      </c>
      <c r="G206" t="n">
        <v>96.59934699999999</v>
      </c>
      <c r="H206" t="n">
        <v>166.63869</v>
      </c>
      <c r="I206" t="n">
        <v>215.944796</v>
      </c>
      <c r="J206" t="n">
        <v>215.944796</v>
      </c>
      <c r="K206" t="n">
        <v>193.300587</v>
      </c>
      <c r="L206" t="n">
        <v>664.022909</v>
      </c>
      <c r="M206" t="n">
        <v>664.022909</v>
      </c>
      <c r="N206" t="n">
        <v>702.550582</v>
      </c>
      <c r="O206" t="n">
        <v>105.870272</v>
      </c>
      <c r="P206" t="n">
        <v>53.740614</v>
      </c>
      <c r="W206" t="n">
        <v>108.869834</v>
      </c>
      <c r="X206" t="n">
        <v>799.677877</v>
      </c>
      <c r="Y206" t="n">
        <v>37.70608</v>
      </c>
      <c r="Z206" t="n">
        <v>51.4265</v>
      </c>
    </row>
    <row r="207" ht="21" customHeight="1">
      <c r="A207" t="inlineStr">
        <is>
          <t>Aluterus monoceros</t>
        </is>
      </c>
      <c r="B207" t="n">
        <v>3.84</v>
      </c>
      <c r="C207" t="n">
        <v>691.830971</v>
      </c>
      <c r="D207" s="11" t="inlineStr">
        <is>
          <t>Med.dem.benth.</t>
        </is>
      </c>
      <c r="E207" t="n">
        <v>92.758633</v>
      </c>
      <c r="F207" t="n">
        <v>274.243815</v>
      </c>
      <c r="G207" t="n">
        <v>96.59934699999999</v>
      </c>
      <c r="H207" t="n">
        <v>166.63869</v>
      </c>
      <c r="I207" t="n">
        <v>215.944796</v>
      </c>
      <c r="J207" t="n">
        <v>215.944796</v>
      </c>
      <c r="K207" t="n">
        <v>193.300587</v>
      </c>
      <c r="L207" t="n">
        <v>664.022909</v>
      </c>
      <c r="M207" t="n">
        <v>664.022909</v>
      </c>
      <c r="N207" t="n">
        <v>702.550582</v>
      </c>
      <c r="O207" t="n">
        <v>105.870272</v>
      </c>
      <c r="P207" t="n">
        <v>53.740614</v>
      </c>
      <c r="W207" t="n">
        <v>108.869834</v>
      </c>
      <c r="X207" t="n">
        <v>799.677877</v>
      </c>
      <c r="Y207" t="n">
        <v>37.70608</v>
      </c>
      <c r="Z207" t="n">
        <v>51.4265</v>
      </c>
    </row>
    <row r="208" ht="21" customHeight="1">
      <c r="A208" t="inlineStr">
        <is>
          <t>Chondrichthyes</t>
        </is>
      </c>
      <c r="B208" t="n">
        <v>4</v>
      </c>
      <c r="C208" t="n">
        <v>1000</v>
      </c>
      <c r="D208" s="11" t="inlineStr">
        <is>
          <t>Sharks | Juv. sharks | Rays</t>
        </is>
      </c>
      <c r="E208" t="n">
        <v>92.758633</v>
      </c>
      <c r="F208" t="n">
        <v>212.350179</v>
      </c>
      <c r="G208" t="n">
        <v>78.43981700000001</v>
      </c>
      <c r="H208" t="n">
        <v>150.198585</v>
      </c>
      <c r="I208" t="n">
        <v>190.421399</v>
      </c>
      <c r="J208" t="n">
        <v>190.421399</v>
      </c>
      <c r="K208" t="n">
        <v>181.353722</v>
      </c>
      <c r="L208" t="n">
        <v>590.0073</v>
      </c>
      <c r="M208" t="n">
        <v>590.0073</v>
      </c>
      <c r="N208" t="n">
        <v>624.45599</v>
      </c>
      <c r="O208" t="n">
        <v>98.99208</v>
      </c>
      <c r="P208" t="n">
        <v>50.910468</v>
      </c>
      <c r="W208" t="n">
        <v>103.810463</v>
      </c>
      <c r="X208" t="n">
        <v>714.522996</v>
      </c>
      <c r="Y208" t="n">
        <v>31.958644</v>
      </c>
      <c r="Z208" t="n">
        <v>47.110524</v>
      </c>
    </row>
    <row r="209" ht="21" customHeight="1">
      <c r="A209" t="inlineStr">
        <is>
          <t>Echinodermata</t>
        </is>
      </c>
      <c r="B209" t="n">
        <v>2.3</v>
      </c>
      <c r="C209" t="n">
        <v>19.952623</v>
      </c>
      <c r="D209" s="11" t="inlineStr">
        <is>
          <t>Benthos</t>
        </is>
      </c>
      <c r="E209" t="n">
        <v>92.758633</v>
      </c>
      <c r="F209" t="n">
        <v>30.493728</v>
      </c>
      <c r="G209" t="n">
        <v>16.156554</v>
      </c>
      <c r="H209" t="n">
        <v>23.735388</v>
      </c>
      <c r="I209" t="n">
        <v>40.29524</v>
      </c>
      <c r="J209" t="n">
        <v>40.29524</v>
      </c>
      <c r="K209" t="n">
        <v>13.120387</v>
      </c>
      <c r="L209" t="n">
        <v>126.575988</v>
      </c>
      <c r="M209" t="n">
        <v>126.575988</v>
      </c>
      <c r="N209" t="n">
        <v>133.836756</v>
      </c>
      <c r="O209" t="n">
        <v>21.065935</v>
      </c>
      <c r="P209" t="n">
        <v>13.449167</v>
      </c>
      <c r="W209" t="n">
        <v>21.490914</v>
      </c>
      <c r="X209" t="n">
        <v>150.538596</v>
      </c>
      <c r="Y209" t="n">
        <v>9.112489</v>
      </c>
      <c r="Z209" t="n">
        <v>11.291188</v>
      </c>
    </row>
    <row r="210" ht="21" customHeight="1">
      <c r="A210" t="inlineStr">
        <is>
          <t>Caranx</t>
        </is>
      </c>
      <c r="D210" s="11" t="inlineStr">
        <is>
          <t>Lg. piscivores | Juv.Lg.Pisciv.</t>
        </is>
      </c>
      <c r="E210" t="n">
        <v>92.758633</v>
      </c>
      <c r="F210" t="n">
        <v>629.8141419999999</v>
      </c>
      <c r="G210" t="n">
        <v>190.080993</v>
      </c>
      <c r="H210" t="n">
        <v>480.632956</v>
      </c>
      <c r="I210" t="n">
        <v>315.097689</v>
      </c>
      <c r="J210" t="n">
        <v>315.097689</v>
      </c>
      <c r="K210" t="n">
        <v>292.632358</v>
      </c>
      <c r="L210" t="n">
        <v>806.383997</v>
      </c>
      <c r="M210" t="n">
        <v>806.383997</v>
      </c>
      <c r="N210" t="n">
        <v>851.766221</v>
      </c>
      <c r="O210" t="n">
        <v>204.799662</v>
      </c>
      <c r="P210" t="n">
        <v>89.620936</v>
      </c>
      <c r="W210" t="n">
        <v>213.690011</v>
      </c>
      <c r="X210" t="n">
        <v>962.931199</v>
      </c>
      <c r="Y210" t="n">
        <v>64.546074</v>
      </c>
      <c r="Z210" t="n">
        <v>110.616316</v>
      </c>
    </row>
    <row r="211" ht="21" customHeight="1">
      <c r="A211" t="inlineStr">
        <is>
          <t>Pellona ditchela</t>
        </is>
      </c>
      <c r="B211" t="n">
        <v>3.37</v>
      </c>
      <c r="C211" t="n">
        <v>234.422882</v>
      </c>
      <c r="D211" s="11" t="inlineStr">
        <is>
          <t>Sm. pelagics</t>
        </is>
      </c>
      <c r="E211" t="n">
        <v>92.758633</v>
      </c>
      <c r="F211" t="n">
        <v>79.432823</v>
      </c>
      <c r="G211" t="n">
        <v>35.22555</v>
      </c>
      <c r="H211" t="n">
        <v>36.979496</v>
      </c>
      <c r="I211" t="n">
        <v>22.609246</v>
      </c>
      <c r="J211" t="n">
        <v>22.609246</v>
      </c>
      <c r="K211" t="n">
        <v>21.478784</v>
      </c>
      <c r="L211" t="n">
        <v>30.239099</v>
      </c>
      <c r="M211" t="n">
        <v>30.239099</v>
      </c>
      <c r="N211" t="n">
        <v>31.345103</v>
      </c>
      <c r="O211" t="n">
        <v>25.592867</v>
      </c>
      <c r="P211" t="n">
        <v>15.901406</v>
      </c>
      <c r="W211" t="n">
        <v>26.701358</v>
      </c>
      <c r="X211" t="n">
        <v>32.392065</v>
      </c>
      <c r="Y211" t="n">
        <v>16.922772</v>
      </c>
      <c r="Z211" t="n">
        <v>17.234838</v>
      </c>
    </row>
    <row r="212" ht="21" customHeight="1">
      <c r="A212" t="inlineStr">
        <is>
          <t>Carcharhinus falciformis</t>
        </is>
      </c>
      <c r="D212" s="11" t="inlineStr">
        <is>
          <t>Sharks | Juv. sharks</t>
        </is>
      </c>
      <c r="E212" t="n">
        <v>92.758633</v>
      </c>
      <c r="F212" t="n">
        <v>2211.896778</v>
      </c>
      <c r="G212" t="n">
        <v>528.557699</v>
      </c>
      <c r="H212" t="n">
        <v>1694.662427</v>
      </c>
      <c r="I212" t="n">
        <v>829.165832</v>
      </c>
      <c r="J212" t="n">
        <v>829.165832</v>
      </c>
      <c r="K212" t="n">
        <v>789.681785</v>
      </c>
      <c r="L212" t="n">
        <v>2016.586739</v>
      </c>
      <c r="M212" t="n">
        <v>2016.586739</v>
      </c>
      <c r="N212" t="n">
        <v>2128.697228</v>
      </c>
      <c r="O212" t="n">
        <v>561.286115</v>
      </c>
      <c r="P212" t="n">
        <v>207.956274</v>
      </c>
      <c r="W212" t="n">
        <v>606.9739060000001</v>
      </c>
      <c r="X212" t="n">
        <v>2393.658993</v>
      </c>
      <c r="Y212" t="n">
        <v>145.413381</v>
      </c>
      <c r="Z212" t="n">
        <v>289.661473</v>
      </c>
    </row>
    <row r="213" ht="21" customHeight="1">
      <c r="A213" t="inlineStr">
        <is>
          <t>Scyphozoa</t>
        </is>
      </c>
      <c r="D213" s="11" t="inlineStr">
        <is>
          <t>Jellyfish</t>
        </is>
      </c>
      <c r="E213" t="n">
        <v>92.758633</v>
      </c>
      <c r="F213" t="n">
        <v>100</v>
      </c>
      <c r="G213" t="n">
        <v>42.488496</v>
      </c>
      <c r="H213" t="n">
        <v>40.364071</v>
      </c>
      <c r="I213" t="n">
        <v>0</v>
      </c>
      <c r="J213" t="n">
        <v>5.855218</v>
      </c>
      <c r="L213" t="n">
        <v>0</v>
      </c>
      <c r="M213" t="n">
        <v>0</v>
      </c>
      <c r="N213" t="n">
        <v>0</v>
      </c>
      <c r="O213" t="n">
        <v>27.992074</v>
      </c>
      <c r="P213" t="n">
        <v>17.312674</v>
      </c>
      <c r="W213" t="n">
        <v>28.633264</v>
      </c>
      <c r="X213" t="n">
        <v>0</v>
      </c>
      <c r="Y213" t="n">
        <v>19.639386</v>
      </c>
      <c r="Z213" t="n">
        <v>18.657416</v>
      </c>
    </row>
    <row r="214" ht="21" customHeight="1">
      <c r="A214" t="inlineStr">
        <is>
          <t>Coryphaena hippurus</t>
        </is>
      </c>
      <c r="D214" s="11" t="inlineStr">
        <is>
          <t>Lg. piscivores | Juv.Lg.Pisciv.</t>
        </is>
      </c>
      <c r="E214" t="n">
        <v>92.758633</v>
      </c>
      <c r="F214" t="n">
        <v>629.8141419999999</v>
      </c>
      <c r="G214" t="n">
        <v>190.080993</v>
      </c>
      <c r="H214" t="n">
        <v>480.632956</v>
      </c>
      <c r="I214" t="n">
        <v>315.097689</v>
      </c>
      <c r="J214" t="n">
        <v>315.097689</v>
      </c>
      <c r="K214" t="n">
        <v>292.632358</v>
      </c>
      <c r="L214" t="n">
        <v>806.383997</v>
      </c>
      <c r="M214" t="n">
        <v>806.383997</v>
      </c>
      <c r="N214" t="n">
        <v>851.766221</v>
      </c>
      <c r="O214" t="n">
        <v>204.799662</v>
      </c>
      <c r="P214" t="n">
        <v>89.620936</v>
      </c>
      <c r="W214" t="n">
        <v>213.690011</v>
      </c>
      <c r="X214" t="n">
        <v>962.931199</v>
      </c>
      <c r="Y214" t="n">
        <v>64.546074</v>
      </c>
      <c r="Z214" t="n">
        <v>110.616316</v>
      </c>
    </row>
    <row r="215" ht="21" customHeight="1">
      <c r="A215" t="inlineStr">
        <is>
          <t>Labridae</t>
        </is>
      </c>
      <c r="B215" t="n">
        <v>3.46</v>
      </c>
      <c r="C215" t="n">
        <v>288.40315</v>
      </c>
      <c r="D215" s="11" t="inlineStr">
        <is>
          <t>Med.dem.benth.</t>
        </is>
      </c>
      <c r="E215" t="n">
        <v>92.758633</v>
      </c>
      <c r="F215" t="n">
        <v>274.243815</v>
      </c>
      <c r="G215" t="n">
        <v>96.59934699999999</v>
      </c>
      <c r="H215" t="n">
        <v>166.63869</v>
      </c>
      <c r="I215" t="n">
        <v>215.944796</v>
      </c>
      <c r="J215" t="n">
        <v>215.944796</v>
      </c>
      <c r="K215" t="n">
        <v>193.300587</v>
      </c>
      <c r="L215" t="n">
        <v>664.022909</v>
      </c>
      <c r="M215" t="n">
        <v>664.022909</v>
      </c>
      <c r="N215" t="n">
        <v>702.550582</v>
      </c>
      <c r="O215" t="n">
        <v>105.870272</v>
      </c>
      <c r="P215" t="n">
        <v>53.740614</v>
      </c>
      <c r="W215" t="n">
        <v>108.869834</v>
      </c>
      <c r="X215" t="n">
        <v>799.677877</v>
      </c>
      <c r="Y215" t="n">
        <v>37.70608</v>
      </c>
      <c r="Z215" t="n">
        <v>51.4265</v>
      </c>
    </row>
    <row r="216" ht="21" customHeight="1">
      <c r="A216" t="inlineStr">
        <is>
          <t>Decapoda</t>
        </is>
      </c>
      <c r="B216" t="n">
        <v>3.43</v>
      </c>
      <c r="C216" t="n">
        <v>269.15348</v>
      </c>
      <c r="D216" s="11" t="inlineStr">
        <is>
          <t>Shrimps | Crab, lobster</t>
        </is>
      </c>
      <c r="E216" t="n">
        <v>92.758633</v>
      </c>
      <c r="F216" t="n">
        <v>31.823213</v>
      </c>
      <c r="G216" t="n">
        <v>16.554649</v>
      </c>
      <c r="H216" t="n">
        <v>48.882103</v>
      </c>
      <c r="I216" t="n">
        <v>52.292621</v>
      </c>
      <c r="J216" t="n">
        <v>52.292621</v>
      </c>
      <c r="K216" t="n">
        <v>47.659079</v>
      </c>
      <c r="L216" t="n">
        <v>152.953628</v>
      </c>
      <c r="M216" t="n">
        <v>152.953628</v>
      </c>
      <c r="N216" t="n">
        <v>162.541786</v>
      </c>
      <c r="O216" t="n">
        <v>31.518842</v>
      </c>
      <c r="P216" t="n">
        <v>18.921359</v>
      </c>
      <c r="W216" t="n">
        <v>32.29626</v>
      </c>
      <c r="X216" t="n">
        <v>184.312967</v>
      </c>
      <c r="Y216" t="n">
        <v>9.223663999999999</v>
      </c>
      <c r="Z216" t="n">
        <v>17.763247</v>
      </c>
    </row>
    <row r="217" ht="21" customHeight="1">
      <c r="A217" t="inlineStr">
        <is>
          <t>Netuma thalassina</t>
        </is>
      </c>
      <c r="B217" t="n">
        <v>3.54</v>
      </c>
      <c r="C217" t="n">
        <v>346.73685</v>
      </c>
      <c r="D217" s="11" t="inlineStr">
        <is>
          <t>Med.dem.benth.</t>
        </is>
      </c>
      <c r="E217" t="n">
        <v>92.758633</v>
      </c>
      <c r="F217" t="n">
        <v>274.243815</v>
      </c>
      <c r="G217" t="n">
        <v>96.59934699999999</v>
      </c>
      <c r="H217" t="n">
        <v>166.63869</v>
      </c>
      <c r="I217" t="n">
        <v>215.944796</v>
      </c>
      <c r="J217" t="n">
        <v>215.944796</v>
      </c>
      <c r="K217" t="n">
        <v>193.300587</v>
      </c>
      <c r="L217" t="n">
        <v>664.022909</v>
      </c>
      <c r="M217" t="n">
        <v>664.022909</v>
      </c>
      <c r="N217" t="n">
        <v>702.550582</v>
      </c>
      <c r="O217" t="n">
        <v>105.870272</v>
      </c>
      <c r="P217" t="n">
        <v>53.740614</v>
      </c>
      <c r="W217" t="n">
        <v>108.869834</v>
      </c>
      <c r="X217" t="n">
        <v>799.677877</v>
      </c>
      <c r="Y217" t="n">
        <v>37.70608</v>
      </c>
      <c r="Z217" t="n">
        <v>51.4265</v>
      </c>
    </row>
    <row r="218" ht="21" customHeight="1">
      <c r="A218" t="inlineStr">
        <is>
          <t>Sardinella lemuru</t>
        </is>
      </c>
      <c r="B218" t="n">
        <v>2.48</v>
      </c>
      <c r="C218" t="n">
        <v>30.199517</v>
      </c>
      <c r="D218" s="11" t="inlineStr">
        <is>
          <t>Sm. pelagics</t>
        </is>
      </c>
      <c r="E218" t="n">
        <v>92.758633</v>
      </c>
      <c r="F218" t="n">
        <v>79.432823</v>
      </c>
      <c r="G218" t="n">
        <v>35.22555</v>
      </c>
      <c r="H218" t="n">
        <v>36.979496</v>
      </c>
      <c r="I218" t="n">
        <v>22.609246</v>
      </c>
      <c r="J218" t="n">
        <v>22.609246</v>
      </c>
      <c r="K218" t="n">
        <v>21.478784</v>
      </c>
      <c r="L218" t="n">
        <v>30.239099</v>
      </c>
      <c r="M218" t="n">
        <v>30.239099</v>
      </c>
      <c r="N218" t="n">
        <v>31.345103</v>
      </c>
      <c r="O218" t="n">
        <v>25.592867</v>
      </c>
      <c r="P218" t="n">
        <v>15.901406</v>
      </c>
      <c r="W218" t="n">
        <v>26.701358</v>
      </c>
      <c r="X218" t="n">
        <v>32.392065</v>
      </c>
      <c r="Y218" t="n">
        <v>16.922772</v>
      </c>
      <c r="Z218" t="n">
        <v>17.234838</v>
      </c>
    </row>
    <row r="219" ht="21" customHeight="1">
      <c r="A219" t="inlineStr">
        <is>
          <t>Teuthida</t>
        </is>
      </c>
      <c r="B219" t="n">
        <v>4.13</v>
      </c>
      <c r="C219" t="n">
        <v>1348.962883</v>
      </c>
      <c r="D219" s="11" t="inlineStr">
        <is>
          <t>Cephalopods</t>
        </is>
      </c>
      <c r="E219" t="n">
        <v>92.758633</v>
      </c>
      <c r="F219" t="n">
        <v>207.108363</v>
      </c>
      <c r="G219" t="n">
        <v>76.859779</v>
      </c>
      <c r="H219" t="n">
        <v>153.276012</v>
      </c>
      <c r="I219" t="n">
        <v>121.77284</v>
      </c>
      <c r="J219" t="n">
        <v>121.77284</v>
      </c>
      <c r="K219" t="n">
        <v>118.23963</v>
      </c>
      <c r="L219" t="n">
        <v>349.557692</v>
      </c>
      <c r="M219" t="n">
        <v>349.557692</v>
      </c>
      <c r="N219" t="n">
        <v>370.254323</v>
      </c>
      <c r="O219" t="n">
        <v>98.097358</v>
      </c>
      <c r="P219" t="n">
        <v>49.643681</v>
      </c>
      <c r="W219" t="n">
        <v>100.957994</v>
      </c>
      <c r="X219" t="n">
        <v>407.059034</v>
      </c>
      <c r="Y219" t="n">
        <v>31.446324</v>
      </c>
      <c r="Z219" t="n">
        <v>45.753688</v>
      </c>
    </row>
    <row r="220" ht="21" customHeight="1">
      <c r="A220" t="inlineStr">
        <is>
          <t>Acetes japonicus</t>
        </is>
      </c>
      <c r="B220" t="n">
        <v>2.54</v>
      </c>
      <c r="C220" t="n">
        <v>34.673685</v>
      </c>
      <c r="D220" s="11" t="inlineStr">
        <is>
          <t>Shrimps</t>
        </is>
      </c>
      <c r="E220" t="n">
        <v>92.758633</v>
      </c>
      <c r="F220" t="n">
        <v>24.936879</v>
      </c>
      <c r="G220" t="n">
        <v>13.715732</v>
      </c>
      <c r="H220" t="n">
        <v>39.542201</v>
      </c>
      <c r="I220" t="n">
        <v>39.345557</v>
      </c>
      <c r="J220" t="n">
        <v>39.345557</v>
      </c>
      <c r="K220" t="n">
        <v>37.378279</v>
      </c>
      <c r="L220" t="n">
        <v>110.883242</v>
      </c>
      <c r="M220" t="n">
        <v>110.883242</v>
      </c>
      <c r="N220" t="n">
        <v>118.086052</v>
      </c>
      <c r="O220" t="n">
        <v>26.876504</v>
      </c>
      <c r="P220" t="n">
        <v>16.79886</v>
      </c>
      <c r="W220" t="n">
        <v>27.610867</v>
      </c>
      <c r="X220" t="n">
        <v>134.234083</v>
      </c>
      <c r="Y220" t="n">
        <v>8.001064</v>
      </c>
      <c r="Z220" t="n">
        <v>14.97557</v>
      </c>
    </row>
    <row r="221" ht="21" customHeight="1">
      <c r="A221" t="inlineStr">
        <is>
          <t>Lutjanus argentimaculatus</t>
        </is>
      </c>
      <c r="D221" s="11" t="inlineStr">
        <is>
          <t>Grouper/snapper | Juv. groupers</t>
        </is>
      </c>
      <c r="E221" t="n">
        <v>92.758633</v>
      </c>
      <c r="F221" t="n">
        <v>729.665396</v>
      </c>
      <c r="G221" t="n">
        <v>214.274848</v>
      </c>
      <c r="H221" t="n">
        <v>601.521613</v>
      </c>
      <c r="I221" t="n">
        <v>458.291515</v>
      </c>
      <c r="J221" t="n">
        <v>458.291515</v>
      </c>
      <c r="K221" t="n">
        <v>404.883308</v>
      </c>
      <c r="L221" t="n">
        <v>1297.204135</v>
      </c>
      <c r="M221" t="n">
        <v>1297.204135</v>
      </c>
      <c r="N221" t="n">
        <v>1373.024947</v>
      </c>
      <c r="O221" t="n">
        <v>262.162033</v>
      </c>
      <c r="P221" t="n">
        <v>111.742313</v>
      </c>
      <c r="W221" t="n">
        <v>273.908931</v>
      </c>
      <c r="X221" t="n">
        <v>1584.887607</v>
      </c>
      <c r="Y221" t="n">
        <v>70.98925199999999</v>
      </c>
      <c r="Z221" t="n">
        <v>131.686727</v>
      </c>
    </row>
    <row r="222" ht="21" customHeight="1">
      <c r="A222" t="inlineStr">
        <is>
          <t>Penaeus indicus</t>
        </is>
      </c>
      <c r="B222" t="n">
        <v>2.7</v>
      </c>
      <c r="C222" t="n">
        <v>50.118723</v>
      </c>
      <c r="D222" s="11" t="inlineStr">
        <is>
          <t>Shrimps</t>
        </is>
      </c>
      <c r="E222" t="n">
        <v>92.758633</v>
      </c>
      <c r="F222" t="n">
        <v>24.936879</v>
      </c>
      <c r="G222" t="n">
        <v>13.715732</v>
      </c>
      <c r="H222" t="n">
        <v>39.542201</v>
      </c>
      <c r="I222" t="n">
        <v>39.345557</v>
      </c>
      <c r="J222" t="n">
        <v>39.345557</v>
      </c>
      <c r="K222" t="n">
        <v>37.378279</v>
      </c>
      <c r="L222" t="n">
        <v>110.883242</v>
      </c>
      <c r="M222" t="n">
        <v>110.883242</v>
      </c>
      <c r="N222" t="n">
        <v>118.086052</v>
      </c>
      <c r="O222" t="n">
        <v>26.876504</v>
      </c>
      <c r="P222" t="n">
        <v>16.79886</v>
      </c>
      <c r="W222" t="n">
        <v>27.610867</v>
      </c>
      <c r="X222" t="n">
        <v>134.234083</v>
      </c>
      <c r="Y222" t="n">
        <v>8.001064</v>
      </c>
      <c r="Z222" t="n">
        <v>14.97557</v>
      </c>
    </row>
    <row r="223" ht="21" customHeight="1">
      <c r="A223" t="inlineStr">
        <is>
          <t>Nemipterus hexodon</t>
        </is>
      </c>
      <c r="B223" t="n">
        <v>3.93</v>
      </c>
      <c r="C223" t="n">
        <v>851.1380380000001</v>
      </c>
      <c r="D223" s="11" t="inlineStr">
        <is>
          <t>Sm.dem.benth.</t>
        </is>
      </c>
      <c r="E223" t="n">
        <v>92.758633</v>
      </c>
      <c r="F223" t="n">
        <v>135.946622</v>
      </c>
      <c r="G223" t="n">
        <v>54.557109</v>
      </c>
      <c r="H223" t="n">
        <v>104.458273</v>
      </c>
      <c r="I223" t="n">
        <v>106.771533</v>
      </c>
      <c r="J223" t="n">
        <v>106.771533</v>
      </c>
      <c r="K223" t="n">
        <v>89.978955</v>
      </c>
      <c r="L223" t="n">
        <v>308.045854</v>
      </c>
      <c r="M223" t="n">
        <v>308.045854</v>
      </c>
      <c r="N223" t="n">
        <v>325.959633</v>
      </c>
      <c r="O223" t="n">
        <v>56.685005</v>
      </c>
      <c r="P223" t="n">
        <v>30.438514</v>
      </c>
      <c r="W223" t="n">
        <v>58.087916</v>
      </c>
      <c r="X223" t="n">
        <v>369.109424</v>
      </c>
      <c r="Y223" t="n">
        <v>23.952956</v>
      </c>
      <c r="Z223" t="n">
        <v>34.558123</v>
      </c>
    </row>
    <row r="224" ht="21" customHeight="1">
      <c r="A224" t="inlineStr">
        <is>
          <t>Cephalopholis boenak</t>
        </is>
      </c>
      <c r="B224" t="n">
        <v>4.07</v>
      </c>
      <c r="C224" t="n">
        <v>1174.897555</v>
      </c>
      <c r="D224" s="11" t="inlineStr">
        <is>
          <t>Grouper/snapper | Juv. groupers</t>
        </is>
      </c>
      <c r="E224" t="n">
        <v>92.758633</v>
      </c>
      <c r="F224" t="n">
        <v>729.665396</v>
      </c>
      <c r="G224" t="n">
        <v>214.274848</v>
      </c>
      <c r="H224" t="n">
        <v>601.521613</v>
      </c>
      <c r="I224" t="n">
        <v>458.291515</v>
      </c>
      <c r="J224" t="n">
        <v>458.291515</v>
      </c>
      <c r="K224" t="n">
        <v>404.883308</v>
      </c>
      <c r="L224" t="n">
        <v>1297.204135</v>
      </c>
      <c r="M224" t="n">
        <v>1297.204135</v>
      </c>
      <c r="N224" t="n">
        <v>1373.024947</v>
      </c>
      <c r="O224" t="n">
        <v>262.162033</v>
      </c>
      <c r="P224" t="n">
        <v>111.742313</v>
      </c>
      <c r="W224" t="n">
        <v>273.908931</v>
      </c>
      <c r="X224" t="n">
        <v>1584.887607</v>
      </c>
      <c r="Y224" t="n">
        <v>70.98925199999999</v>
      </c>
      <c r="Z224" t="n">
        <v>131.686727</v>
      </c>
    </row>
    <row r="225" ht="21" customHeight="1">
      <c r="A225" t="inlineStr">
        <is>
          <t>Dussumieria acuta</t>
        </is>
      </c>
      <c r="B225" t="n">
        <v>3.4</v>
      </c>
      <c r="C225" t="n">
        <v>251.188643</v>
      </c>
      <c r="D225" s="11" t="inlineStr">
        <is>
          <t>Sm. pelagics</t>
        </is>
      </c>
      <c r="E225" t="n">
        <v>92.758633</v>
      </c>
      <c r="F225" t="n">
        <v>79.432823</v>
      </c>
      <c r="G225" t="n">
        <v>35.22555</v>
      </c>
      <c r="H225" t="n">
        <v>36.979496</v>
      </c>
      <c r="I225" t="n">
        <v>22.609246</v>
      </c>
      <c r="J225" t="n">
        <v>22.609246</v>
      </c>
      <c r="K225" t="n">
        <v>21.478784</v>
      </c>
      <c r="L225" t="n">
        <v>30.239099</v>
      </c>
      <c r="M225" t="n">
        <v>30.239099</v>
      </c>
      <c r="N225" t="n">
        <v>31.345103</v>
      </c>
      <c r="O225" t="n">
        <v>25.592867</v>
      </c>
      <c r="P225" t="n">
        <v>15.901406</v>
      </c>
      <c r="W225" t="n">
        <v>26.701358</v>
      </c>
      <c r="X225" t="n">
        <v>32.392065</v>
      </c>
      <c r="Y225" t="n">
        <v>16.922772</v>
      </c>
      <c r="Z225" t="n">
        <v>17.234838</v>
      </c>
    </row>
    <row r="226" ht="21" customHeight="1">
      <c r="A226" t="inlineStr">
        <is>
          <t>Sphyrna lewini</t>
        </is>
      </c>
      <c r="D226" s="11" t="inlineStr">
        <is>
          <t>Sharks | Juv. sharks</t>
        </is>
      </c>
      <c r="E226" t="n">
        <v>92.758633</v>
      </c>
      <c r="F226" t="n">
        <v>2211.896778</v>
      </c>
      <c r="G226" t="n">
        <v>528.557699</v>
      </c>
      <c r="H226" t="n">
        <v>1694.662427</v>
      </c>
      <c r="I226" t="n">
        <v>829.165832</v>
      </c>
      <c r="J226" t="n">
        <v>829.165832</v>
      </c>
      <c r="K226" t="n">
        <v>789.681785</v>
      </c>
      <c r="L226" t="n">
        <v>2016.586739</v>
      </c>
      <c r="M226" t="n">
        <v>2016.586739</v>
      </c>
      <c r="N226" t="n">
        <v>2128.697228</v>
      </c>
      <c r="O226" t="n">
        <v>561.286115</v>
      </c>
      <c r="P226" t="n">
        <v>207.956274</v>
      </c>
      <c r="W226" t="n">
        <v>606.9739060000001</v>
      </c>
      <c r="X226" t="n">
        <v>2393.658993</v>
      </c>
      <c r="Y226" t="n">
        <v>145.413381</v>
      </c>
      <c r="Z226" t="n">
        <v>289.661473</v>
      </c>
    </row>
    <row r="227" ht="21" customHeight="1">
      <c r="A227" t="inlineStr">
        <is>
          <t>Trichiuridae</t>
        </is>
      </c>
      <c r="B227" t="n">
        <v>4.15</v>
      </c>
      <c r="C227" t="n">
        <v>1412.537545</v>
      </c>
      <c r="D227" s="11" t="inlineStr">
        <is>
          <t>Juv.Lg.Pisciv. | Lg. piscivores</t>
        </is>
      </c>
      <c r="E227" t="n">
        <v>92.758633</v>
      </c>
      <c r="F227" t="n">
        <v>629.8141419999999</v>
      </c>
      <c r="G227" t="n">
        <v>190.080993</v>
      </c>
      <c r="H227" t="n">
        <v>480.632956</v>
      </c>
      <c r="I227" t="n">
        <v>315.097689</v>
      </c>
      <c r="J227" t="n">
        <v>315.097689</v>
      </c>
      <c r="K227" t="n">
        <v>292.632358</v>
      </c>
      <c r="L227" t="n">
        <v>806.383997</v>
      </c>
      <c r="M227" t="n">
        <v>806.383997</v>
      </c>
      <c r="N227" t="n">
        <v>851.766221</v>
      </c>
      <c r="O227" t="n">
        <v>204.799662</v>
      </c>
      <c r="P227" t="n">
        <v>89.620936</v>
      </c>
      <c r="W227" t="n">
        <v>213.690011</v>
      </c>
      <c r="X227" t="n">
        <v>962.931199</v>
      </c>
      <c r="Y227" t="n">
        <v>64.546074</v>
      </c>
      <c r="Z227" t="n">
        <v>110.616316</v>
      </c>
    </row>
    <row r="228" ht="21" customHeight="1">
      <c r="A228" t="inlineStr">
        <is>
          <t>Auxis rochei</t>
        </is>
      </c>
      <c r="D228" s="11" t="inlineStr">
        <is>
          <t>Tuna</t>
        </is>
      </c>
      <c r="E228" t="n">
        <v>92.758633</v>
      </c>
      <c r="F228" t="n">
        <v>1217.891849</v>
      </c>
      <c r="G228" t="n">
        <v>325.165267</v>
      </c>
      <c r="H228" t="n">
        <v>703.930824</v>
      </c>
      <c r="I228" t="n">
        <v>327.693492</v>
      </c>
      <c r="J228" t="n">
        <v>327.693492</v>
      </c>
      <c r="K228" t="n">
        <v>311.308817</v>
      </c>
      <c r="L228" t="n">
        <v>675.870038</v>
      </c>
      <c r="M228" t="n">
        <v>675.870038</v>
      </c>
      <c r="N228" t="n">
        <v>710.633419</v>
      </c>
      <c r="O228" t="n">
        <v>254.942405</v>
      </c>
      <c r="P228" t="n">
        <v>107.862693</v>
      </c>
      <c r="W228" t="n">
        <v>271.503704</v>
      </c>
      <c r="X228" t="n">
        <v>791.598393</v>
      </c>
      <c r="Y228" t="n">
        <v>98.86518</v>
      </c>
      <c r="Z228" t="n">
        <v>153.001145</v>
      </c>
    </row>
    <row r="229" ht="21" customHeight="1">
      <c r="A229" t="inlineStr">
        <is>
          <t>Hemiramphus</t>
        </is>
      </c>
      <c r="B229" t="n">
        <v>3.05</v>
      </c>
      <c r="C229" t="n">
        <v>112.201845</v>
      </c>
      <c r="D229" s="11" t="inlineStr">
        <is>
          <t>Sm. pelagics</t>
        </is>
      </c>
      <c r="E229" t="n">
        <v>92.758633</v>
      </c>
      <c r="F229" t="n">
        <v>79.432823</v>
      </c>
      <c r="G229" t="n">
        <v>35.22555</v>
      </c>
      <c r="H229" t="n">
        <v>36.979496</v>
      </c>
      <c r="I229" t="n">
        <v>22.609246</v>
      </c>
      <c r="J229" t="n">
        <v>22.609246</v>
      </c>
      <c r="K229" t="n">
        <v>21.478784</v>
      </c>
      <c r="L229" t="n">
        <v>30.239099</v>
      </c>
      <c r="M229" t="n">
        <v>30.239099</v>
      </c>
      <c r="N229" t="n">
        <v>31.345103</v>
      </c>
      <c r="O229" t="n">
        <v>25.592867</v>
      </c>
      <c r="P229" t="n">
        <v>15.901406</v>
      </c>
      <c r="W229" t="n">
        <v>26.701358</v>
      </c>
      <c r="X229" t="n">
        <v>32.392065</v>
      </c>
      <c r="Y229" t="n">
        <v>16.922772</v>
      </c>
      <c r="Z229" t="n">
        <v>17.234838</v>
      </c>
    </row>
    <row r="230" ht="21" customHeight="1">
      <c r="A230" t="inlineStr">
        <is>
          <t>Tetrapturus angustirostris</t>
        </is>
      </c>
      <c r="D230" s="11" t="inlineStr">
        <is>
          <t>Unresolved</t>
        </is>
      </c>
    </row>
    <row r="231" ht="21" customHeight="1">
      <c r="A231" t="inlineStr">
        <is>
          <t>Kajikia audax</t>
        </is>
      </c>
      <c r="D231" s="11" t="inlineStr">
        <is>
          <t>Unresolved</t>
        </is>
      </c>
    </row>
    <row r="232" ht="21" customHeight="1">
      <c r="A232" t="inlineStr">
        <is>
          <t>Prionace glauca</t>
        </is>
      </c>
      <c r="B232" t="n">
        <v>4.35</v>
      </c>
      <c r="C232" t="n">
        <v>2238.721139</v>
      </c>
      <c r="D232" s="11" t="inlineStr">
        <is>
          <t>Sharks | Juv. sharks</t>
        </is>
      </c>
      <c r="E232" t="n">
        <v>92.758633</v>
      </c>
      <c r="F232" t="n">
        <v>2211.896778</v>
      </c>
      <c r="G232" t="n">
        <v>528.557699</v>
      </c>
      <c r="H232" t="n">
        <v>1694.662427</v>
      </c>
      <c r="I232" t="n">
        <v>829.165832</v>
      </c>
      <c r="J232" t="n">
        <v>829.165832</v>
      </c>
      <c r="K232" t="n">
        <v>789.681785</v>
      </c>
      <c r="L232" t="n">
        <v>2016.586739</v>
      </c>
      <c r="M232" t="n">
        <v>2016.586739</v>
      </c>
      <c r="N232" t="n">
        <v>2128.697228</v>
      </c>
      <c r="O232" t="n">
        <v>561.286115</v>
      </c>
      <c r="P232" t="n">
        <v>207.956274</v>
      </c>
      <c r="W232" t="n">
        <v>606.9739060000001</v>
      </c>
      <c r="X232" t="n">
        <v>2393.658993</v>
      </c>
      <c r="Y232" t="n">
        <v>145.413381</v>
      </c>
      <c r="Z232" t="n">
        <v>289.661473</v>
      </c>
    </row>
    <row r="233" ht="21" customHeight="1">
      <c r="A233" t="inlineStr">
        <is>
          <t>Dasyatidae</t>
        </is>
      </c>
      <c r="B233" t="n">
        <v>3.38</v>
      </c>
      <c r="C233" t="n">
        <v>239.883292</v>
      </c>
      <c r="D233" s="11" t="inlineStr">
        <is>
          <t>Rays</t>
        </is>
      </c>
      <c r="E233" t="n">
        <v>92.758633</v>
      </c>
      <c r="F233" t="n">
        <v>212.350179</v>
      </c>
      <c r="G233" t="n">
        <v>78.43981700000001</v>
      </c>
      <c r="H233" t="n">
        <v>150.198585</v>
      </c>
      <c r="I233" t="n">
        <v>190.421399</v>
      </c>
      <c r="J233" t="n">
        <v>190.421399</v>
      </c>
      <c r="K233" t="n">
        <v>181.353722</v>
      </c>
      <c r="L233" t="n">
        <v>590.0073</v>
      </c>
      <c r="M233" t="n">
        <v>590.0073</v>
      </c>
      <c r="N233" t="n">
        <v>624.45599</v>
      </c>
      <c r="O233" t="n">
        <v>98.99208</v>
      </c>
      <c r="P233" t="n">
        <v>50.910468</v>
      </c>
      <c r="W233" t="n">
        <v>103.810463</v>
      </c>
      <c r="X233" t="n">
        <v>714.522996</v>
      </c>
      <c r="Y233" t="n">
        <v>31.958644</v>
      </c>
      <c r="Z233" t="n">
        <v>47.110524</v>
      </c>
    </row>
    <row r="234" ht="21" customHeight="1">
      <c r="A234" t="inlineStr">
        <is>
          <t>Cypselurus poecilopterus</t>
        </is>
      </c>
      <c r="B234" t="n">
        <v>3.4</v>
      </c>
      <c r="C234" t="n">
        <v>251.188643</v>
      </c>
      <c r="D234" s="11" t="inlineStr">
        <is>
          <t>Sm. pelagics</t>
        </is>
      </c>
      <c r="E234" t="n">
        <v>92.758633</v>
      </c>
      <c r="F234" t="n">
        <v>79.432823</v>
      </c>
      <c r="G234" t="n">
        <v>35.22555</v>
      </c>
      <c r="H234" t="n">
        <v>36.979496</v>
      </c>
      <c r="I234" t="n">
        <v>22.609246</v>
      </c>
      <c r="J234" t="n">
        <v>22.609246</v>
      </c>
      <c r="K234" t="n">
        <v>21.478784</v>
      </c>
      <c r="L234" t="n">
        <v>30.239099</v>
      </c>
      <c r="M234" t="n">
        <v>30.239099</v>
      </c>
      <c r="N234" t="n">
        <v>31.345103</v>
      </c>
      <c r="O234" t="n">
        <v>25.592867</v>
      </c>
      <c r="P234" t="n">
        <v>15.901406</v>
      </c>
      <c r="W234" t="n">
        <v>26.701358</v>
      </c>
      <c r="X234" t="n">
        <v>32.392065</v>
      </c>
      <c r="Y234" t="n">
        <v>16.922772</v>
      </c>
      <c r="Z234" t="n">
        <v>17.234838</v>
      </c>
    </row>
    <row r="235" ht="21" customHeight="1">
      <c r="A235" t="inlineStr">
        <is>
          <t>Carcharhinus longimanus</t>
        </is>
      </c>
      <c r="B235" t="n">
        <v>4.16</v>
      </c>
      <c r="C235" t="n">
        <v>1445.439771</v>
      </c>
      <c r="D235" s="11" t="inlineStr">
        <is>
          <t>Sharks | Juv. sharks</t>
        </is>
      </c>
      <c r="E235" t="n">
        <v>92.758633</v>
      </c>
      <c r="F235" t="n">
        <v>2211.896778</v>
      </c>
      <c r="G235" t="n">
        <v>528.557699</v>
      </c>
      <c r="H235" t="n">
        <v>1694.662427</v>
      </c>
      <c r="I235" t="n">
        <v>829.165832</v>
      </c>
      <c r="J235" t="n">
        <v>829.165832</v>
      </c>
      <c r="K235" t="n">
        <v>789.681785</v>
      </c>
      <c r="L235" t="n">
        <v>2016.586739</v>
      </c>
      <c r="M235" t="n">
        <v>2016.586739</v>
      </c>
      <c r="N235" t="n">
        <v>2128.697228</v>
      </c>
      <c r="O235" t="n">
        <v>561.286115</v>
      </c>
      <c r="P235" t="n">
        <v>207.956274</v>
      </c>
      <c r="W235" t="n">
        <v>606.9739060000001</v>
      </c>
      <c r="X235" t="n">
        <v>2393.658993</v>
      </c>
      <c r="Y235" t="n">
        <v>145.413381</v>
      </c>
      <c r="Z235" t="n">
        <v>289.661473</v>
      </c>
    </row>
    <row r="236" ht="21" customHeight="1">
      <c r="A236" t="inlineStr">
        <is>
          <t>Latidae</t>
        </is>
      </c>
      <c r="D236" s="11" t="inlineStr">
        <is>
          <t>Lg. piscivores | Juv.Lg.Pisciv.</t>
        </is>
      </c>
      <c r="E236" t="n">
        <v>92.758633</v>
      </c>
      <c r="F236" t="n">
        <v>629.8141419999999</v>
      </c>
      <c r="G236" t="n">
        <v>190.080993</v>
      </c>
      <c r="H236" t="n">
        <v>480.632956</v>
      </c>
      <c r="I236" t="n">
        <v>315.097689</v>
      </c>
      <c r="J236" t="n">
        <v>315.097689</v>
      </c>
      <c r="K236" t="n">
        <v>292.632358</v>
      </c>
      <c r="L236" t="n">
        <v>806.383997</v>
      </c>
      <c r="M236" t="n">
        <v>806.383997</v>
      </c>
      <c r="N236" t="n">
        <v>851.766221</v>
      </c>
      <c r="O236" t="n">
        <v>204.799662</v>
      </c>
      <c r="P236" t="n">
        <v>89.620936</v>
      </c>
      <c r="W236" t="n">
        <v>213.690011</v>
      </c>
      <c r="X236" t="n">
        <v>962.931199</v>
      </c>
      <c r="Y236" t="n">
        <v>64.546074</v>
      </c>
      <c r="Z236" t="n">
        <v>110.616316</v>
      </c>
    </row>
    <row r="237" ht="21" customHeight="1">
      <c r="A237" t="inlineStr">
        <is>
          <t>Pleuronectiformes</t>
        </is>
      </c>
      <c r="D237" s="11" t="inlineStr">
        <is>
          <t>Flatfish | Med.dem.pisc.</t>
        </is>
      </c>
      <c r="E237" t="n">
        <v>92.758633</v>
      </c>
      <c r="F237" t="n">
        <v>213.878243</v>
      </c>
      <c r="G237" t="n">
        <v>78.89889599999999</v>
      </c>
      <c r="H237" t="n">
        <v>192.731596</v>
      </c>
      <c r="I237" t="n">
        <v>157.987588</v>
      </c>
      <c r="J237" t="n">
        <v>157.987588</v>
      </c>
      <c r="K237" t="n">
        <v>155.8613</v>
      </c>
      <c r="L237" t="n">
        <v>445.090515</v>
      </c>
      <c r="M237" t="n">
        <v>445.090515</v>
      </c>
      <c r="N237" t="n">
        <v>471.372451</v>
      </c>
      <c r="O237" t="n">
        <v>104.441928</v>
      </c>
      <c r="P237" t="n">
        <v>51.525195</v>
      </c>
      <c r="W237" t="n">
        <v>108.328199</v>
      </c>
      <c r="X237" t="n">
        <v>534.839276</v>
      </c>
      <c r="Y237" t="n">
        <v>32.107053</v>
      </c>
      <c r="Z237" t="n">
        <v>52.431313</v>
      </c>
    </row>
    <row r="238" ht="21" customHeight="1">
      <c r="A238" t="inlineStr">
        <is>
          <t>Octopoda</t>
        </is>
      </c>
      <c r="D238" s="11" t="inlineStr">
        <is>
          <t>Cephalopods</t>
        </is>
      </c>
      <c r="E238" t="n">
        <v>92.758633</v>
      </c>
      <c r="F238" t="n">
        <v>207.108363</v>
      </c>
      <c r="G238" t="n">
        <v>76.859779</v>
      </c>
      <c r="H238" t="n">
        <v>153.276012</v>
      </c>
      <c r="I238" t="n">
        <v>121.77284</v>
      </c>
      <c r="J238" t="n">
        <v>121.77284</v>
      </c>
      <c r="K238" t="n">
        <v>118.23963</v>
      </c>
      <c r="L238" t="n">
        <v>349.557692</v>
      </c>
      <c r="M238" t="n">
        <v>349.557692</v>
      </c>
      <c r="N238" t="n">
        <v>370.254323</v>
      </c>
      <c r="O238" t="n">
        <v>98.097358</v>
      </c>
      <c r="P238" t="n">
        <v>49.643681</v>
      </c>
      <c r="W238" t="n">
        <v>100.957994</v>
      </c>
      <c r="X238" t="n">
        <v>407.059034</v>
      </c>
      <c r="Y238" t="n">
        <v>31.446324</v>
      </c>
      <c r="Z238" t="n">
        <v>45.753688</v>
      </c>
    </row>
    <row r="239" ht="21" customHeight="1">
      <c r="A239" t="inlineStr">
        <is>
          <t>Isurus oxyrinchus</t>
        </is>
      </c>
      <c r="B239" t="n">
        <v>4.5</v>
      </c>
      <c r="C239" t="n">
        <v>3162.27766</v>
      </c>
      <c r="D239" s="11" t="inlineStr">
        <is>
          <t>Sharks | Juv. sharks</t>
        </is>
      </c>
      <c r="E239" t="n">
        <v>92.758633</v>
      </c>
      <c r="F239" t="n">
        <v>2211.896778</v>
      </c>
      <c r="G239" t="n">
        <v>528.557699</v>
      </c>
      <c r="H239" t="n">
        <v>1694.662427</v>
      </c>
      <c r="I239" t="n">
        <v>829.165832</v>
      </c>
      <c r="J239" t="n">
        <v>829.165832</v>
      </c>
      <c r="K239" t="n">
        <v>789.681785</v>
      </c>
      <c r="L239" t="n">
        <v>2016.586739</v>
      </c>
      <c r="M239" t="n">
        <v>2016.586739</v>
      </c>
      <c r="N239" t="n">
        <v>2128.697228</v>
      </c>
      <c r="O239" t="n">
        <v>561.286115</v>
      </c>
      <c r="P239" t="n">
        <v>207.956274</v>
      </c>
      <c r="W239" t="n">
        <v>606.9739060000001</v>
      </c>
      <c r="X239" t="n">
        <v>2393.658993</v>
      </c>
      <c r="Y239" t="n">
        <v>145.413381</v>
      </c>
      <c r="Z239" t="n">
        <v>289.661473</v>
      </c>
    </row>
    <row r="240" ht="21" customHeight="1">
      <c r="A240" t="inlineStr">
        <is>
          <t>Exocoetidae</t>
        </is>
      </c>
      <c r="B240" t="n">
        <v>3.57</v>
      </c>
      <c r="C240" t="n">
        <v>371.535229</v>
      </c>
      <c r="D240" s="11" t="inlineStr">
        <is>
          <t>Sm. pelagics</t>
        </is>
      </c>
      <c r="E240" t="n">
        <v>92.758633</v>
      </c>
      <c r="F240" t="n">
        <v>79.432823</v>
      </c>
      <c r="G240" t="n">
        <v>35.22555</v>
      </c>
      <c r="H240" t="n">
        <v>36.979496</v>
      </c>
      <c r="I240" t="n">
        <v>22.609246</v>
      </c>
      <c r="J240" t="n">
        <v>22.609246</v>
      </c>
      <c r="K240" t="n">
        <v>21.478784</v>
      </c>
      <c r="L240" t="n">
        <v>30.239099</v>
      </c>
      <c r="M240" t="n">
        <v>30.239099</v>
      </c>
      <c r="N240" t="n">
        <v>31.345103</v>
      </c>
      <c r="O240" t="n">
        <v>25.592867</v>
      </c>
      <c r="P240" t="n">
        <v>15.901406</v>
      </c>
      <c r="W240" t="n">
        <v>26.701358</v>
      </c>
      <c r="X240" t="n">
        <v>32.392065</v>
      </c>
      <c r="Y240" t="n">
        <v>16.922772</v>
      </c>
      <c r="Z240" t="n">
        <v>17.234838</v>
      </c>
    </row>
    <row r="241" ht="21" customHeight="1">
      <c r="A241" t="inlineStr">
        <is>
          <t>Hemiramphidae</t>
        </is>
      </c>
      <c r="B241" t="n">
        <v>2.82</v>
      </c>
      <c r="C241" t="n">
        <v>66.069345</v>
      </c>
      <c r="D241" s="11" t="inlineStr">
        <is>
          <t>Sm. pelagics</t>
        </is>
      </c>
      <c r="E241" t="n">
        <v>92.758633</v>
      </c>
      <c r="F241" t="n">
        <v>79.432823</v>
      </c>
      <c r="G241" t="n">
        <v>35.22555</v>
      </c>
      <c r="H241" t="n">
        <v>36.979496</v>
      </c>
      <c r="I241" t="n">
        <v>22.609246</v>
      </c>
      <c r="J241" t="n">
        <v>22.609246</v>
      </c>
      <c r="K241" t="n">
        <v>21.478784</v>
      </c>
      <c r="L241" t="n">
        <v>30.239099</v>
      </c>
      <c r="M241" t="n">
        <v>30.239099</v>
      </c>
      <c r="N241" t="n">
        <v>31.345103</v>
      </c>
      <c r="O241" t="n">
        <v>25.592867</v>
      </c>
      <c r="P241" t="n">
        <v>15.901406</v>
      </c>
      <c r="W241" t="n">
        <v>26.701358</v>
      </c>
      <c r="X241" t="n">
        <v>32.392065</v>
      </c>
      <c r="Y241" t="n">
        <v>16.922772</v>
      </c>
      <c r="Z241" t="n">
        <v>17.234838</v>
      </c>
    </row>
    <row r="242" ht="21" customHeight="1">
      <c r="A242" t="inlineStr">
        <is>
          <t>Sphyraena barracuda</t>
        </is>
      </c>
      <c r="D242" s="11" t="inlineStr">
        <is>
          <t>Lg. piscivores | Juv.Lg.Pisciv.</t>
        </is>
      </c>
      <c r="E242" t="n">
        <v>92.758633</v>
      </c>
      <c r="F242" t="n">
        <v>629.8141419999999</v>
      </c>
      <c r="G242" t="n">
        <v>190.080993</v>
      </c>
      <c r="H242" t="n">
        <v>480.632956</v>
      </c>
      <c r="I242" t="n">
        <v>315.097689</v>
      </c>
      <c r="J242" t="n">
        <v>315.097689</v>
      </c>
      <c r="K242" t="n">
        <v>292.632358</v>
      </c>
      <c r="L242" t="n">
        <v>806.383997</v>
      </c>
      <c r="M242" t="n">
        <v>806.383997</v>
      </c>
      <c r="N242" t="n">
        <v>851.766221</v>
      </c>
      <c r="O242" t="n">
        <v>204.799662</v>
      </c>
      <c r="P242" t="n">
        <v>89.620936</v>
      </c>
      <c r="W242" t="n">
        <v>213.690011</v>
      </c>
      <c r="X242" t="n">
        <v>962.931199</v>
      </c>
      <c r="Y242" t="n">
        <v>64.546074</v>
      </c>
      <c r="Z242" t="n">
        <v>110.616316</v>
      </c>
    </row>
    <row r="243" ht="21" customHeight="1">
      <c r="A243" t="inlineStr">
        <is>
          <t>Tenualosa toli</t>
        </is>
      </c>
      <c r="D243" s="11" t="inlineStr">
        <is>
          <t>Sm. pelagics</t>
        </is>
      </c>
      <c r="E243" t="n">
        <v>92.758633</v>
      </c>
      <c r="F243" t="n">
        <v>79.432823</v>
      </c>
      <c r="G243" t="n">
        <v>35.22555</v>
      </c>
      <c r="H243" t="n">
        <v>36.979496</v>
      </c>
      <c r="I243" t="n">
        <v>22.609246</v>
      </c>
      <c r="J243" t="n">
        <v>22.609246</v>
      </c>
      <c r="K243" t="n">
        <v>21.478784</v>
      </c>
      <c r="L243" t="n">
        <v>30.239099</v>
      </c>
      <c r="M243" t="n">
        <v>30.239099</v>
      </c>
      <c r="N243" t="n">
        <v>31.345103</v>
      </c>
      <c r="O243" t="n">
        <v>25.592867</v>
      </c>
      <c r="P243" t="n">
        <v>15.901406</v>
      </c>
      <c r="W243" t="n">
        <v>26.701358</v>
      </c>
      <c r="X243" t="n">
        <v>32.392065</v>
      </c>
      <c r="Y243" t="n">
        <v>16.922772</v>
      </c>
      <c r="Z243" t="n">
        <v>17.234838</v>
      </c>
    </row>
    <row r="244" ht="21" customHeight="1">
      <c r="A244" t="inlineStr">
        <is>
          <t>Alopias</t>
        </is>
      </c>
      <c r="D244" s="11" t="inlineStr">
        <is>
          <t>Sharks | Juv. sharks</t>
        </is>
      </c>
      <c r="E244" t="n">
        <v>92.758633</v>
      </c>
      <c r="F244" t="n">
        <v>2211.896778</v>
      </c>
      <c r="G244" t="n">
        <v>528.557699</v>
      </c>
      <c r="H244" t="n">
        <v>1694.662427</v>
      </c>
      <c r="I244" t="n">
        <v>829.165832</v>
      </c>
      <c r="J244" t="n">
        <v>829.165832</v>
      </c>
      <c r="K244" t="n">
        <v>789.681785</v>
      </c>
      <c r="L244" t="n">
        <v>2016.586739</v>
      </c>
      <c r="M244" t="n">
        <v>2016.586739</v>
      </c>
      <c r="N244" t="n">
        <v>2128.697228</v>
      </c>
      <c r="O244" t="n">
        <v>561.286115</v>
      </c>
      <c r="P244" t="n">
        <v>207.956274</v>
      </c>
      <c r="W244" t="n">
        <v>606.9739060000001</v>
      </c>
      <c r="X244" t="n">
        <v>2393.658993</v>
      </c>
      <c r="Y244" t="n">
        <v>145.413381</v>
      </c>
      <c r="Z244" t="n">
        <v>289.661473</v>
      </c>
    </row>
    <row r="245" ht="21" customHeight="1">
      <c r="A245" t="inlineStr">
        <is>
          <t>Isurus</t>
        </is>
      </c>
      <c r="D245" s="11" t="inlineStr">
        <is>
          <t>Sharks | Juv. sharks</t>
        </is>
      </c>
      <c r="E245" t="n">
        <v>92.758633</v>
      </c>
      <c r="F245" t="n">
        <v>2211.896778</v>
      </c>
      <c r="G245" t="n">
        <v>528.557699</v>
      </c>
      <c r="H245" t="n">
        <v>1694.662427</v>
      </c>
      <c r="I245" t="n">
        <v>829.165832</v>
      </c>
      <c r="J245" t="n">
        <v>829.165832</v>
      </c>
      <c r="K245" t="n">
        <v>789.681785</v>
      </c>
      <c r="L245" t="n">
        <v>2016.586739</v>
      </c>
      <c r="M245" t="n">
        <v>2016.586739</v>
      </c>
      <c r="N245" t="n">
        <v>2128.697228</v>
      </c>
      <c r="O245" t="n">
        <v>561.286115</v>
      </c>
      <c r="P245" t="n">
        <v>207.956274</v>
      </c>
      <c r="W245" t="n">
        <v>606.9739060000001</v>
      </c>
      <c r="X245" t="n">
        <v>2393.658993</v>
      </c>
      <c r="Y245" t="n">
        <v>145.413381</v>
      </c>
      <c r="Z245" t="n">
        <v>289.661473</v>
      </c>
    </row>
    <row r="246" ht="21" customHeight="1">
      <c r="A246" t="inlineStr">
        <is>
          <t>Trochus niloticus</t>
        </is>
      </c>
      <c r="D246" s="11" t="inlineStr">
        <is>
          <t>Molluscs</t>
        </is>
      </c>
      <c r="E246" t="n">
        <v>92.758633</v>
      </c>
      <c r="F246" t="n">
        <v>15.848932</v>
      </c>
      <c r="G246" t="n">
        <v>9.483373</v>
      </c>
      <c r="H246" t="n">
        <v>13.28747</v>
      </c>
      <c r="I246" t="n">
        <v>8.760194</v>
      </c>
      <c r="J246" t="n">
        <v>8.760194</v>
      </c>
      <c r="K246" t="n">
        <v>7.884174</v>
      </c>
      <c r="L246" t="n">
        <v>10.549912</v>
      </c>
      <c r="M246" t="n">
        <v>10.549912</v>
      </c>
      <c r="N246" t="n">
        <v>10.809345</v>
      </c>
      <c r="O246" t="n">
        <v>8.798415</v>
      </c>
      <c r="P246" t="n">
        <v>6.022535</v>
      </c>
      <c r="W246" t="n">
        <v>8.947789999999999</v>
      </c>
      <c r="X246" t="n">
        <v>11.156289</v>
      </c>
      <c r="Y246" t="n">
        <v>5.968659</v>
      </c>
      <c r="Z246" t="n">
        <v>7.276791</v>
      </c>
    </row>
    <row r="247" ht="21" customHeight="1">
      <c r="A247" t="inlineStr">
        <is>
          <t>Congridae</t>
        </is>
      </c>
      <c r="D247" s="11" t="inlineStr">
        <is>
          <t>Lg. piscivores | Juv.Lg.Pisciv.</t>
        </is>
      </c>
      <c r="E247" t="n">
        <v>92.758633</v>
      </c>
      <c r="F247" t="n">
        <v>629.8141419999999</v>
      </c>
      <c r="G247" t="n">
        <v>190.080993</v>
      </c>
      <c r="H247" t="n">
        <v>480.632956</v>
      </c>
      <c r="I247" t="n">
        <v>315.097689</v>
      </c>
      <c r="J247" t="n">
        <v>315.097689</v>
      </c>
      <c r="K247" t="n">
        <v>292.632358</v>
      </c>
      <c r="L247" t="n">
        <v>806.383997</v>
      </c>
      <c r="M247" t="n">
        <v>806.383997</v>
      </c>
      <c r="N247" t="n">
        <v>851.766221</v>
      </c>
      <c r="O247" t="n">
        <v>204.799662</v>
      </c>
      <c r="P247" t="n">
        <v>89.620936</v>
      </c>
      <c r="W247" t="n">
        <v>213.690011</v>
      </c>
      <c r="X247" t="n">
        <v>962.931199</v>
      </c>
      <c r="Y247" t="n">
        <v>64.546074</v>
      </c>
      <c r="Z247" t="n">
        <v>110.616316</v>
      </c>
    </row>
    <row r="248" ht="21" customHeight="1">
      <c r="A248" t="inlineStr">
        <is>
          <t>Pomadasys argenteus</t>
        </is>
      </c>
      <c r="B248" t="n">
        <v>3.47</v>
      </c>
      <c r="C248" t="n">
        <v>295.120923</v>
      </c>
      <c r="D248" s="11" t="inlineStr">
        <is>
          <t>Med.dem.benth.</t>
        </is>
      </c>
      <c r="E248" t="n">
        <v>92.758633</v>
      </c>
      <c r="F248" t="n">
        <v>274.243815</v>
      </c>
      <c r="G248" t="n">
        <v>96.59934699999999</v>
      </c>
      <c r="H248" t="n">
        <v>166.63869</v>
      </c>
      <c r="I248" t="n">
        <v>215.944796</v>
      </c>
      <c r="J248" t="n">
        <v>215.944796</v>
      </c>
      <c r="K248" t="n">
        <v>193.300587</v>
      </c>
      <c r="L248" t="n">
        <v>664.022909</v>
      </c>
      <c r="M248" t="n">
        <v>664.022909</v>
      </c>
      <c r="N248" t="n">
        <v>702.550582</v>
      </c>
      <c r="O248" t="n">
        <v>105.870272</v>
      </c>
      <c r="P248" t="n">
        <v>53.740614</v>
      </c>
      <c r="W248" t="n">
        <v>108.869834</v>
      </c>
      <c r="X248" t="n">
        <v>799.677877</v>
      </c>
      <c r="Y248" t="n">
        <v>37.70608</v>
      </c>
      <c r="Z248" t="n">
        <v>51.4265</v>
      </c>
    </row>
    <row r="249" ht="21" customHeight="1">
      <c r="A249" t="inlineStr">
        <is>
          <t>Seriola</t>
        </is>
      </c>
      <c r="D249" s="11" t="inlineStr">
        <is>
          <t>Lg. piscivores | Juv.Lg.Pisciv.</t>
        </is>
      </c>
      <c r="E249" t="n">
        <v>92.758633</v>
      </c>
      <c r="F249" t="n">
        <v>629.8141419999999</v>
      </c>
      <c r="G249" t="n">
        <v>190.080993</v>
      </c>
      <c r="H249" t="n">
        <v>480.632956</v>
      </c>
      <c r="I249" t="n">
        <v>315.097689</v>
      </c>
      <c r="J249" t="n">
        <v>315.097689</v>
      </c>
      <c r="K249" t="n">
        <v>292.632358</v>
      </c>
      <c r="L249" t="n">
        <v>806.383997</v>
      </c>
      <c r="M249" t="n">
        <v>806.383997</v>
      </c>
      <c r="N249" t="n">
        <v>851.766221</v>
      </c>
      <c r="O249" t="n">
        <v>204.799662</v>
      </c>
      <c r="P249" t="n">
        <v>89.620936</v>
      </c>
      <c r="W249" t="n">
        <v>213.690011</v>
      </c>
      <c r="X249" t="n">
        <v>962.931199</v>
      </c>
      <c r="Y249" t="n">
        <v>64.546074</v>
      </c>
      <c r="Z249" t="n">
        <v>110.616316</v>
      </c>
    </row>
    <row r="250" ht="21" customHeight="1">
      <c r="A250" t="inlineStr">
        <is>
          <t>Sphyrnidae</t>
        </is>
      </c>
      <c r="D250" s="11" t="inlineStr">
        <is>
          <t>Sharks | Juv. sharks</t>
        </is>
      </c>
      <c r="E250" t="n">
        <v>92.758633</v>
      </c>
      <c r="F250" t="n">
        <v>2211.896778</v>
      </c>
      <c r="G250" t="n">
        <v>528.557699</v>
      </c>
      <c r="H250" t="n">
        <v>1694.662427</v>
      </c>
      <c r="I250" t="n">
        <v>829.165832</v>
      </c>
      <c r="J250" t="n">
        <v>829.165832</v>
      </c>
      <c r="K250" t="n">
        <v>789.681785</v>
      </c>
      <c r="L250" t="n">
        <v>2016.586739</v>
      </c>
      <c r="M250" t="n">
        <v>2016.586739</v>
      </c>
      <c r="N250" t="n">
        <v>2128.697228</v>
      </c>
      <c r="O250" t="n">
        <v>561.286115</v>
      </c>
      <c r="P250" t="n">
        <v>207.956274</v>
      </c>
      <c r="W250" t="n">
        <v>606.9739060000001</v>
      </c>
      <c r="X250" t="n">
        <v>2393.658993</v>
      </c>
      <c r="Y250" t="n">
        <v>145.413381</v>
      </c>
      <c r="Z250" t="n">
        <v>289.661473</v>
      </c>
    </row>
    <row r="251" ht="21" customHeight="1">
      <c r="A251" t="inlineStr">
        <is>
          <t>Sphyrna</t>
        </is>
      </c>
      <c r="D251" s="11" t="inlineStr">
        <is>
          <t>Sharks | Juv. sharks</t>
        </is>
      </c>
      <c r="E251" t="n">
        <v>92.758633</v>
      </c>
      <c r="F251" t="n">
        <v>2211.896778</v>
      </c>
      <c r="G251" t="n">
        <v>528.557699</v>
      </c>
      <c r="H251" t="n">
        <v>1694.662427</v>
      </c>
      <c r="I251" t="n">
        <v>829.165832</v>
      </c>
      <c r="J251" t="n">
        <v>829.165832</v>
      </c>
      <c r="K251" t="n">
        <v>789.681785</v>
      </c>
      <c r="L251" t="n">
        <v>2016.586739</v>
      </c>
      <c r="M251" t="n">
        <v>2016.586739</v>
      </c>
      <c r="N251" t="n">
        <v>2128.697228</v>
      </c>
      <c r="O251" t="n">
        <v>561.286115</v>
      </c>
      <c r="P251" t="n">
        <v>207.956274</v>
      </c>
      <c r="W251" t="n">
        <v>606.9739060000001</v>
      </c>
      <c r="X251" t="n">
        <v>2393.658993</v>
      </c>
      <c r="Y251" t="n">
        <v>145.413381</v>
      </c>
      <c r="Z251" t="n">
        <v>289.661473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165954321.04</v>
      </c>
      <c r="D6" t="n">
        <v>167645100.018</v>
      </c>
      <c r="E6" t="n">
        <v>167960831.719</v>
      </c>
      <c r="F6" t="n">
        <v>169493530.158</v>
      </c>
      <c r="G6" t="n">
        <v>203944965.644</v>
      </c>
      <c r="H6" t="n">
        <v>235215293.271</v>
      </c>
      <c r="I6" t="n">
        <v>245909484.801</v>
      </c>
      <c r="J6" t="n">
        <v>253903329.794</v>
      </c>
      <c r="K6" t="n">
        <v>289097340.399</v>
      </c>
      <c r="L6" t="n">
        <v>325515691.108</v>
      </c>
      <c r="M6" t="n">
        <v>377465790.078</v>
      </c>
      <c r="N6" t="n">
        <v>436969273.218</v>
      </c>
      <c r="O6" t="n">
        <v>501383497.859</v>
      </c>
      <c r="P6" t="n">
        <v>599535420.02</v>
      </c>
      <c r="Q6" t="n">
        <v>690444478.941</v>
      </c>
      <c r="R6" t="n">
        <v>862040384.2029999</v>
      </c>
      <c r="S6" t="n">
        <v>902676158.234</v>
      </c>
      <c r="T6" t="n">
        <v>986924298.641</v>
      </c>
      <c r="U6" t="n">
        <v>1050353465.903</v>
      </c>
      <c r="V6" t="n">
        <v>1139816860.642</v>
      </c>
      <c r="W6" t="n">
        <v>1235461314.81</v>
      </c>
      <c r="X6" t="n">
        <v>1329645454.764</v>
      </c>
      <c r="Y6" t="n">
        <v>1563252815.71</v>
      </c>
      <c r="Z6" t="n">
        <v>1552833034.517</v>
      </c>
      <c r="AA6" t="n">
        <v>1380314618.141</v>
      </c>
      <c r="AB6" t="n">
        <v>1322619052.817</v>
      </c>
      <c r="AC6" t="n">
        <v>1340186243.941</v>
      </c>
      <c r="AD6" t="n">
        <v>1604335052.701</v>
      </c>
      <c r="AE6" t="n">
        <v>1589097801.986</v>
      </c>
      <c r="AF6" t="n">
        <v>1415461628.892</v>
      </c>
      <c r="AG6" t="n">
        <v>1417802537.092</v>
      </c>
      <c r="AH6" t="n">
        <v>1515916865.108</v>
      </c>
      <c r="AI6" t="n">
        <v>1541404823.465</v>
      </c>
      <c r="AJ6" t="n">
        <v>1694291449.265</v>
      </c>
      <c r="AK6" t="n">
        <v>1512520657.945</v>
      </c>
      <c r="AL6" t="n">
        <v>1578542778.18</v>
      </c>
      <c r="AM6" t="n">
        <v>1741338192.618</v>
      </c>
      <c r="AN6" t="n">
        <v>1911548020.949</v>
      </c>
      <c r="AO6" t="n">
        <v>1851170956.064</v>
      </c>
      <c r="AP6" t="n">
        <v>1776522815.484</v>
      </c>
      <c r="AQ6" t="n">
        <v>1830996148.409</v>
      </c>
      <c r="AR6" t="n">
        <v>1718196231.15</v>
      </c>
      <c r="AS6" t="n">
        <v>1849865275.088</v>
      </c>
      <c r="AT6" t="n">
        <v>1851877923.138</v>
      </c>
      <c r="AU6" t="n">
        <v>1928071510.067</v>
      </c>
      <c r="AV6" t="n">
        <v>1907930359.995</v>
      </c>
      <c r="AW6" t="n">
        <v>1828625425.159</v>
      </c>
      <c r="AX6" t="n">
        <v>1821349869.602</v>
      </c>
      <c r="AY6" t="n">
        <v>1831886668.509</v>
      </c>
      <c r="AZ6" t="n">
        <v>2062090770.438</v>
      </c>
      <c r="BA6" t="n">
        <v>2122317183.341</v>
      </c>
      <c r="BB6" t="n">
        <v>2022028682.891</v>
      </c>
      <c r="BC6" t="n">
        <v>1994489756.468</v>
      </c>
      <c r="BD6" t="n">
        <v>2044029604.158</v>
      </c>
      <c r="BE6" t="n">
        <v>1964975856.005</v>
      </c>
      <c r="BF6" t="n">
        <v>1990709686.164</v>
      </c>
      <c r="BG6" t="n">
        <v>1980077226.809</v>
      </c>
      <c r="BH6" t="n">
        <v>1826725015.355</v>
      </c>
      <c r="BI6" t="n">
        <v>1656512113.753</v>
      </c>
      <c r="BJ6" t="n">
        <v>1651430616.159</v>
      </c>
      <c r="BK6" t="n">
        <v>1686680473.087</v>
      </c>
      <c r="BL6" t="n">
        <v>1789665735.26</v>
      </c>
      <c r="BM6" t="n">
        <v>1847926162.559</v>
      </c>
      <c r="BN6" t="n">
        <v>1940026702.526</v>
      </c>
      <c r="BO6" t="n">
        <v>1873430026.294</v>
      </c>
      <c r="BP6" t="n">
        <v>1865970939.505</v>
      </c>
      <c r="BQ6" t="n">
        <v>1877969099.692</v>
      </c>
      <c r="BR6" t="n">
        <v>1861400912.24</v>
      </c>
      <c r="BS6" t="n">
        <v>1947833779.69</v>
      </c>
      <c r="BT6" t="n">
        <v>1868893902.312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98871274.33499999</v>
      </c>
      <c r="D7" t="n">
        <v>100197726.971</v>
      </c>
      <c r="E7" t="n">
        <v>99660011.656</v>
      </c>
      <c r="F7" t="n">
        <v>100048488.117</v>
      </c>
      <c r="G7" t="n">
        <v>119024012.481</v>
      </c>
      <c r="H7" t="n">
        <v>137750037.635</v>
      </c>
      <c r="I7" t="n">
        <v>144136521.842</v>
      </c>
      <c r="J7" t="n">
        <v>149525565.397</v>
      </c>
      <c r="K7" t="n">
        <v>171346741.943</v>
      </c>
      <c r="L7" t="n">
        <v>197269134.52</v>
      </c>
      <c r="M7" t="n">
        <v>239550646.236</v>
      </c>
      <c r="N7" t="n">
        <v>304622307.575</v>
      </c>
      <c r="O7" t="n">
        <v>341182774.63</v>
      </c>
      <c r="P7" t="n">
        <v>442008753.58</v>
      </c>
      <c r="Q7" t="n">
        <v>489270614.316</v>
      </c>
      <c r="R7" t="n">
        <v>608541711.651</v>
      </c>
      <c r="S7" t="n">
        <v>627367382.377</v>
      </c>
      <c r="T7" t="n">
        <v>697177718.1289999</v>
      </c>
      <c r="U7" t="n">
        <v>735223453.15</v>
      </c>
      <c r="V7" t="n">
        <v>821672921.191</v>
      </c>
      <c r="W7" t="n">
        <v>921300636.228</v>
      </c>
      <c r="X7" t="n">
        <v>996963796.715</v>
      </c>
      <c r="Y7" t="n">
        <v>1211899645.491</v>
      </c>
      <c r="Z7" t="n">
        <v>1198965996.148</v>
      </c>
      <c r="AA7" t="n">
        <v>1063988639.992</v>
      </c>
      <c r="AB7" t="n">
        <v>1015573273.152</v>
      </c>
      <c r="AC7" t="n">
        <v>1026466795.435</v>
      </c>
      <c r="AD7" t="n">
        <v>1253362977.228</v>
      </c>
      <c r="AE7" t="n">
        <v>1225640410.878</v>
      </c>
      <c r="AF7" t="n">
        <v>1075618851.529</v>
      </c>
      <c r="AG7" t="n">
        <v>1080781825.713</v>
      </c>
      <c r="AH7" t="n">
        <v>1156338341.376</v>
      </c>
      <c r="AI7" t="n">
        <v>1185121888.154</v>
      </c>
      <c r="AJ7" t="n">
        <v>1313289072.861</v>
      </c>
      <c r="AK7" t="n">
        <v>1162702217.219</v>
      </c>
      <c r="AL7" t="n">
        <v>1198174727.879</v>
      </c>
      <c r="AM7" t="n">
        <v>1333601591.062</v>
      </c>
      <c r="AN7" t="n">
        <v>1448807232.307</v>
      </c>
      <c r="AO7" t="n">
        <v>1404343798.726</v>
      </c>
      <c r="AP7" t="n">
        <v>1344551301.454</v>
      </c>
      <c r="AQ7" t="n">
        <v>1425086053.168</v>
      </c>
      <c r="AR7" t="n">
        <v>1334822015.742</v>
      </c>
      <c r="AS7" t="n">
        <v>1425457551.628</v>
      </c>
      <c r="AT7" t="n">
        <v>1417305206.803</v>
      </c>
      <c r="AU7" t="n">
        <v>1476867154.496</v>
      </c>
      <c r="AV7" t="n">
        <v>1458355823.981</v>
      </c>
      <c r="AW7" t="n">
        <v>1409212844.187</v>
      </c>
      <c r="AX7" t="n">
        <v>1402422084.57</v>
      </c>
      <c r="AY7" t="n">
        <v>1417783219.69</v>
      </c>
      <c r="AZ7" t="n">
        <v>1597520108.583</v>
      </c>
      <c r="BA7" t="n">
        <v>1666936678.916</v>
      </c>
      <c r="BB7" t="n">
        <v>1581897217.443</v>
      </c>
      <c r="BC7" t="n">
        <v>1562061017.073</v>
      </c>
      <c r="BD7" t="n">
        <v>1607468920.335</v>
      </c>
      <c r="BE7" t="n">
        <v>1549458776.171</v>
      </c>
      <c r="BF7" t="n">
        <v>1564644389.343</v>
      </c>
      <c r="BG7" t="n">
        <v>1556702331.433</v>
      </c>
      <c r="BH7" t="n">
        <v>1430623833.036</v>
      </c>
      <c r="BI7" t="n">
        <v>1268191493.653</v>
      </c>
      <c r="BJ7" t="n">
        <v>1269961226.616</v>
      </c>
      <c r="BK7" t="n">
        <v>1297410632.449</v>
      </c>
      <c r="BL7" t="n">
        <v>1367128900.729</v>
      </c>
      <c r="BM7" t="n">
        <v>1412918071.428</v>
      </c>
      <c r="BN7" t="n">
        <v>1484584852.958</v>
      </c>
      <c r="BO7" t="n">
        <v>1426503901.322</v>
      </c>
      <c r="BP7" t="n">
        <v>1437911897.078</v>
      </c>
      <c r="BQ7" t="n">
        <v>1465580885.712</v>
      </c>
      <c r="BR7" t="n">
        <v>1462813117.804</v>
      </c>
      <c r="BS7" t="n">
        <v>1538016492.622</v>
      </c>
      <c r="BT7" t="n">
        <v>1470605576.408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85799478.082</v>
      </c>
      <c r="D8" t="n">
        <v>88297613.68700001</v>
      </c>
      <c r="E8" t="n">
        <v>87500240.44599999</v>
      </c>
      <c r="F8" t="n">
        <v>87866041.36399999</v>
      </c>
      <c r="G8" t="n">
        <v>105194001.731</v>
      </c>
      <c r="H8" t="n">
        <v>121907532.062</v>
      </c>
      <c r="I8" t="n">
        <v>127701562.172</v>
      </c>
      <c r="J8" t="n">
        <v>133878547.361</v>
      </c>
      <c r="K8" t="n">
        <v>149971124.43</v>
      </c>
      <c r="L8" t="n">
        <v>168662677.612</v>
      </c>
      <c r="M8" t="n">
        <v>202214702.206</v>
      </c>
      <c r="N8" t="n">
        <v>233789996.463</v>
      </c>
      <c r="O8" t="n">
        <v>274780743.894</v>
      </c>
      <c r="P8" t="n">
        <v>339261943.579</v>
      </c>
      <c r="Q8" t="n">
        <v>393136165.638</v>
      </c>
      <c r="R8" t="n">
        <v>500768712.794</v>
      </c>
      <c r="S8" t="n">
        <v>541060668.386</v>
      </c>
      <c r="T8" t="n">
        <v>614236404.381</v>
      </c>
      <c r="U8" t="n">
        <v>677483019.744</v>
      </c>
      <c r="V8" t="n">
        <v>770914579.784</v>
      </c>
      <c r="W8" t="n">
        <v>849564833.432</v>
      </c>
      <c r="X8" t="n">
        <v>909467824.013</v>
      </c>
      <c r="Y8" t="n">
        <v>1118739256.625</v>
      </c>
      <c r="Z8" t="n">
        <v>1101873002.095</v>
      </c>
      <c r="AA8" t="n">
        <v>981014762.023</v>
      </c>
      <c r="AB8" t="n">
        <v>939898082.385</v>
      </c>
      <c r="AC8" t="n">
        <v>943909181.164</v>
      </c>
      <c r="AD8" t="n">
        <v>1139751072.418</v>
      </c>
      <c r="AE8" t="n">
        <v>1117752265.298</v>
      </c>
      <c r="AF8" t="n">
        <v>980091862.501</v>
      </c>
      <c r="AG8" t="n">
        <v>1009565877.525</v>
      </c>
      <c r="AH8" t="n">
        <v>1074441852.702</v>
      </c>
      <c r="AI8" t="n">
        <v>1114502060.318</v>
      </c>
      <c r="AJ8" t="n">
        <v>1223231530.635</v>
      </c>
      <c r="AK8" t="n">
        <v>1102544612.151</v>
      </c>
      <c r="AL8" t="n">
        <v>1129560845.214</v>
      </c>
      <c r="AM8" t="n">
        <v>1253299592.741</v>
      </c>
      <c r="AN8" t="n">
        <v>1364854497.528</v>
      </c>
      <c r="AO8" t="n">
        <v>1319082619.27</v>
      </c>
      <c r="AP8" t="n">
        <v>1268465003.952</v>
      </c>
      <c r="AQ8" t="n">
        <v>1333068556.614</v>
      </c>
      <c r="AR8" t="n">
        <v>1247116974.145</v>
      </c>
      <c r="AS8" t="n">
        <v>1338174592.752</v>
      </c>
      <c r="AT8" t="n">
        <v>1332862615.919</v>
      </c>
      <c r="AU8" t="n">
        <v>1371601804.25</v>
      </c>
      <c r="AV8" t="n">
        <v>1364785797.316</v>
      </c>
      <c r="AW8" t="n">
        <v>1325571674.267</v>
      </c>
      <c r="AX8" t="n">
        <v>1317937690.674</v>
      </c>
      <c r="AY8" t="n">
        <v>1326007120.801</v>
      </c>
      <c r="AZ8" t="n">
        <v>1481563188.317</v>
      </c>
      <c r="BA8" t="n">
        <v>1539986499.632</v>
      </c>
      <c r="BB8" t="n">
        <v>1470789376.14</v>
      </c>
      <c r="BC8" t="n">
        <v>1456758394.715</v>
      </c>
      <c r="BD8" t="n">
        <v>1499362551.614</v>
      </c>
      <c r="BE8" t="n">
        <v>1447019372.344</v>
      </c>
      <c r="BF8" t="n">
        <v>1433951219.672</v>
      </c>
      <c r="BG8" t="n">
        <v>1434983808.458</v>
      </c>
      <c r="BH8" t="n">
        <v>1318922113.122</v>
      </c>
      <c r="BI8" t="n">
        <v>1171797745.686</v>
      </c>
      <c r="BJ8" t="n">
        <v>1179061294.715</v>
      </c>
      <c r="BK8" t="n">
        <v>1198823177.581</v>
      </c>
      <c r="BL8" t="n">
        <v>1266878726.52</v>
      </c>
      <c r="BM8" t="n">
        <v>1307418936.47</v>
      </c>
      <c r="BN8" t="n">
        <v>1374305231.528</v>
      </c>
      <c r="BO8" t="n">
        <v>1326336859.017</v>
      </c>
      <c r="BP8" t="n">
        <v>1321851427.83</v>
      </c>
      <c r="BQ8" t="n">
        <v>1330273707.432</v>
      </c>
      <c r="BR8" t="n">
        <v>1330274963.627</v>
      </c>
      <c r="BS8" t="n">
        <v>1384421486.029</v>
      </c>
      <c r="BT8" t="n">
        <v>1321291452.969</v>
      </c>
    </row>
    <row r="9">
      <c r="A9" t="inlineStr">
        <is>
          <t>SPPR_1986</t>
        </is>
      </c>
      <c r="B9" t="inlineStr">
        <is>
          <t>ok</t>
        </is>
      </c>
      <c r="C9" t="n">
        <v>44862431.235</v>
      </c>
      <c r="D9" t="n">
        <v>45489964.722</v>
      </c>
      <c r="E9" t="n">
        <v>46436761.458</v>
      </c>
      <c r="F9" t="n">
        <v>47082093.193</v>
      </c>
      <c r="G9" t="n">
        <v>50435851.601</v>
      </c>
      <c r="H9" t="n">
        <v>54062730.756</v>
      </c>
      <c r="I9" t="n">
        <v>55756882.313</v>
      </c>
      <c r="J9" t="n">
        <v>57335092.258</v>
      </c>
      <c r="K9" t="n">
        <v>60022212.923</v>
      </c>
      <c r="L9" t="n">
        <v>63013524.116</v>
      </c>
      <c r="M9" t="n">
        <v>67852120.70200001</v>
      </c>
      <c r="N9" t="n">
        <v>71349487.09900001</v>
      </c>
      <c r="O9" t="n">
        <v>78702973.832</v>
      </c>
      <c r="P9" t="n">
        <v>86907052.59</v>
      </c>
      <c r="Q9" t="n">
        <v>97764614.487</v>
      </c>
      <c r="R9" t="n">
        <v>122322233.553</v>
      </c>
      <c r="S9" t="n">
        <v>136761334.741</v>
      </c>
      <c r="T9" t="n">
        <v>148302286.035</v>
      </c>
      <c r="U9" t="n">
        <v>165628056.103</v>
      </c>
      <c r="V9" t="n">
        <v>176511537.916</v>
      </c>
      <c r="W9" t="n">
        <v>199361458.304</v>
      </c>
      <c r="X9" t="n">
        <v>215040559.681</v>
      </c>
      <c r="Y9" t="n">
        <v>226910915.339</v>
      </c>
      <c r="Z9" t="n">
        <v>231709493.717</v>
      </c>
      <c r="AA9" t="n">
        <v>206911176.666</v>
      </c>
      <c r="AB9" t="n">
        <v>201692649.717</v>
      </c>
      <c r="AC9" t="n">
        <v>205804549.571</v>
      </c>
      <c r="AD9" t="n">
        <v>254132697.122</v>
      </c>
      <c r="AE9" t="n">
        <v>247591791.692</v>
      </c>
      <c r="AF9" t="n">
        <v>225275617.65</v>
      </c>
      <c r="AG9" t="n">
        <v>214253398.604</v>
      </c>
      <c r="AH9" t="n">
        <v>231894698.572</v>
      </c>
      <c r="AI9" t="n">
        <v>242320000.509</v>
      </c>
      <c r="AJ9" t="n">
        <v>253509767.71</v>
      </c>
      <c r="AK9" t="n">
        <v>228969461.58</v>
      </c>
      <c r="AL9" t="n">
        <v>241606516.038</v>
      </c>
      <c r="AM9" t="n">
        <v>256513740.642</v>
      </c>
      <c r="AN9" t="n">
        <v>285972513.551</v>
      </c>
      <c r="AO9" t="n">
        <v>272070073.742</v>
      </c>
      <c r="AP9" t="n">
        <v>265251948.191</v>
      </c>
      <c r="AQ9" t="n">
        <v>262527609.237</v>
      </c>
      <c r="AR9" t="n">
        <v>252856999.794</v>
      </c>
      <c r="AS9" t="n">
        <v>277544324.555</v>
      </c>
      <c r="AT9" t="n">
        <v>266706591.671</v>
      </c>
      <c r="AU9" t="n">
        <v>281055929.866</v>
      </c>
      <c r="AV9" t="n">
        <v>277045834.188</v>
      </c>
      <c r="AW9" t="n">
        <v>269467529.007</v>
      </c>
      <c r="AX9" t="n">
        <v>262026070.822</v>
      </c>
      <c r="AY9" t="n">
        <v>273007852.669</v>
      </c>
      <c r="AZ9" t="n">
        <v>288905340.797</v>
      </c>
      <c r="BA9" t="n">
        <v>303107080.899</v>
      </c>
      <c r="BB9" t="n">
        <v>275392552.548</v>
      </c>
      <c r="BC9" t="n">
        <v>266607429.446</v>
      </c>
      <c r="BD9" t="n">
        <v>273552915.383</v>
      </c>
      <c r="BE9" t="n">
        <v>263315913.193</v>
      </c>
      <c r="BF9" t="n">
        <v>267361995.88</v>
      </c>
      <c r="BG9" t="n">
        <v>266043215.321</v>
      </c>
      <c r="BH9" t="n">
        <v>242220197.785</v>
      </c>
      <c r="BI9" t="n">
        <v>234941785.067</v>
      </c>
      <c r="BJ9" t="n">
        <v>225560296.399</v>
      </c>
      <c r="BK9" t="n">
        <v>227946731.792</v>
      </c>
      <c r="BL9" t="n">
        <v>236912152.262</v>
      </c>
      <c r="BM9" t="n">
        <v>240097765.056</v>
      </c>
      <c r="BN9" t="n">
        <v>251271792.787</v>
      </c>
      <c r="BO9" t="n">
        <v>246778861.061</v>
      </c>
      <c r="BP9" t="n">
        <v>231846725.384</v>
      </c>
      <c r="BQ9" t="n">
        <v>234886882.067</v>
      </c>
      <c r="BR9" t="n">
        <v>228792210.499</v>
      </c>
      <c r="BS9" t="n">
        <v>240055488.547</v>
      </c>
      <c r="BT9" t="n">
        <v>242594930.789</v>
      </c>
    </row>
    <row r="10">
      <c r="A10" t="inlineStr">
        <is>
          <t>SPPR_1995_TE0.1</t>
        </is>
      </c>
      <c r="B10" t="inlineStr">
        <is>
          <t>ok</t>
        </is>
      </c>
      <c r="C10" t="n">
        <v>66332719.099</v>
      </c>
      <c r="D10" t="n">
        <v>67251787.97400001</v>
      </c>
      <c r="E10" t="n">
        <v>67249381.017</v>
      </c>
      <c r="F10" t="n">
        <v>67880302.10699999</v>
      </c>
      <c r="G10" t="n">
        <v>77119635.723</v>
      </c>
      <c r="H10" t="n">
        <v>85486472.729</v>
      </c>
      <c r="I10" t="n">
        <v>88682975.626</v>
      </c>
      <c r="J10" t="n">
        <v>91074684.21600001</v>
      </c>
      <c r="K10" t="n">
        <v>103328343.576</v>
      </c>
      <c r="L10" t="n">
        <v>114752728.551</v>
      </c>
      <c r="M10" t="n">
        <v>128386921.147</v>
      </c>
      <c r="N10" t="n">
        <v>149245931.653</v>
      </c>
      <c r="O10" t="n">
        <v>167637397.462</v>
      </c>
      <c r="P10" t="n">
        <v>197991977.259</v>
      </c>
      <c r="Q10" t="n">
        <v>228025715.488</v>
      </c>
      <c r="R10" t="n">
        <v>282794671.78</v>
      </c>
      <c r="S10" t="n">
        <v>292301940.573</v>
      </c>
      <c r="T10" t="n">
        <v>312455016.396</v>
      </c>
      <c r="U10" t="n">
        <v>327596626.981</v>
      </c>
      <c r="V10" t="n">
        <v>344662579.631</v>
      </c>
      <c r="W10" t="n">
        <v>373217712.099</v>
      </c>
      <c r="X10" t="n">
        <v>404337676.115</v>
      </c>
      <c r="Y10" t="n">
        <v>466491585.903</v>
      </c>
      <c r="Z10" t="n">
        <v>464395600.279</v>
      </c>
      <c r="AA10" t="n">
        <v>419101027.069</v>
      </c>
      <c r="AB10" t="n">
        <v>401740330.302</v>
      </c>
      <c r="AC10" t="n">
        <v>421968852.307</v>
      </c>
      <c r="AD10" t="n">
        <v>514676073.458</v>
      </c>
      <c r="AE10" t="n">
        <v>506900093.019</v>
      </c>
      <c r="AF10" t="n">
        <v>444375811.854</v>
      </c>
      <c r="AG10" t="n">
        <v>453690002.417</v>
      </c>
      <c r="AH10" t="n">
        <v>494197249.525</v>
      </c>
      <c r="AI10" t="n">
        <v>499889035.703</v>
      </c>
      <c r="AJ10" t="n">
        <v>542839951.099</v>
      </c>
      <c r="AK10" t="n">
        <v>484558097.183</v>
      </c>
      <c r="AL10" t="n">
        <v>500141259.65</v>
      </c>
      <c r="AM10" t="n">
        <v>537958679.627</v>
      </c>
      <c r="AN10" t="n">
        <v>593061344.1849999</v>
      </c>
      <c r="AO10" t="n">
        <v>575570985.428</v>
      </c>
      <c r="AP10" t="n">
        <v>553495106.13</v>
      </c>
      <c r="AQ10" t="n">
        <v>580142512.4299999</v>
      </c>
      <c r="AR10" t="n">
        <v>545451321.6</v>
      </c>
      <c r="AS10" t="n">
        <v>591261836.155</v>
      </c>
      <c r="AT10" t="n">
        <v>579084356.752</v>
      </c>
      <c r="AU10" t="n">
        <v>602857660.905</v>
      </c>
      <c r="AV10" t="n">
        <v>584562545.687</v>
      </c>
      <c r="AW10" t="n">
        <v>561764035.8</v>
      </c>
      <c r="AX10" t="n">
        <v>550359166.53</v>
      </c>
      <c r="AY10" t="n">
        <v>573142699.262</v>
      </c>
      <c r="AZ10" t="n">
        <v>627780376.135</v>
      </c>
      <c r="BA10" t="n">
        <v>663608131.615</v>
      </c>
      <c r="BB10" t="n">
        <v>617493758.164</v>
      </c>
      <c r="BC10" t="n">
        <v>606642616.363</v>
      </c>
      <c r="BD10" t="n">
        <v>624673280.355</v>
      </c>
      <c r="BE10" t="n">
        <v>613041322.599</v>
      </c>
      <c r="BF10" t="n">
        <v>603975393.901</v>
      </c>
      <c r="BG10" t="n">
        <v>602715781.579</v>
      </c>
      <c r="BH10" t="n">
        <v>548906504.1</v>
      </c>
      <c r="BI10" t="n">
        <v>481524484.394</v>
      </c>
      <c r="BJ10" t="n">
        <v>484564657.998</v>
      </c>
      <c r="BK10" t="n">
        <v>494742068.125</v>
      </c>
      <c r="BL10" t="n">
        <v>516708637.984</v>
      </c>
      <c r="BM10" t="n">
        <v>537090654.502</v>
      </c>
      <c r="BN10" t="n">
        <v>566711454.824</v>
      </c>
      <c r="BO10" t="n">
        <v>546411786.346</v>
      </c>
      <c r="BP10" t="n">
        <v>534308128.402</v>
      </c>
      <c r="BQ10" t="n">
        <v>538382730.143</v>
      </c>
      <c r="BR10" t="n">
        <v>535737927.634</v>
      </c>
      <c r="BS10" t="n">
        <v>552077903.774</v>
      </c>
      <c r="BT10" t="n">
        <v>539176920.527</v>
      </c>
    </row>
    <row r="11">
      <c r="A11" t="inlineStr">
        <is>
          <t>SPPR_1995_TEmean</t>
        </is>
      </c>
      <c r="B11" t="inlineStr">
        <is>
          <t>ok</t>
        </is>
      </c>
      <c r="C11" t="n">
        <v>23389209.345</v>
      </c>
      <c r="D11" t="n">
        <v>23909491.226</v>
      </c>
      <c r="E11" t="n">
        <v>23911656.775</v>
      </c>
      <c r="F11" t="n">
        <v>24136103.967</v>
      </c>
      <c r="G11" t="n">
        <v>27235484.624</v>
      </c>
      <c r="H11" t="n">
        <v>30044409.402</v>
      </c>
      <c r="I11" t="n">
        <v>31155618.42</v>
      </c>
      <c r="J11" t="n">
        <v>32131946.034</v>
      </c>
      <c r="K11" t="n">
        <v>35896896.952</v>
      </c>
      <c r="L11" t="n">
        <v>39412747.978</v>
      </c>
      <c r="M11" t="n">
        <v>43902284.624</v>
      </c>
      <c r="N11" t="n">
        <v>50247273.218</v>
      </c>
      <c r="O11" t="n">
        <v>56787583.145</v>
      </c>
      <c r="P11" t="n">
        <v>66891833.861</v>
      </c>
      <c r="Q11" t="n">
        <v>77372253.478</v>
      </c>
      <c r="R11" t="n">
        <v>96779628.947</v>
      </c>
      <c r="S11" t="n">
        <v>101549564.933</v>
      </c>
      <c r="T11" t="n">
        <v>109554348.02</v>
      </c>
      <c r="U11" t="n">
        <v>116847950.288</v>
      </c>
      <c r="V11" t="n">
        <v>124412248.503</v>
      </c>
      <c r="W11" t="n">
        <v>135918276.105</v>
      </c>
      <c r="X11" t="n">
        <v>146950713.674</v>
      </c>
      <c r="Y11" t="n">
        <v>169055559.243</v>
      </c>
      <c r="Z11" t="n">
        <v>168893107.335</v>
      </c>
      <c r="AA11" t="n">
        <v>151770007.452</v>
      </c>
      <c r="AB11" t="n">
        <v>145363531.732</v>
      </c>
      <c r="AC11" t="n">
        <v>152179967.472</v>
      </c>
      <c r="AD11" t="n">
        <v>186606465.162</v>
      </c>
      <c r="AE11" t="n">
        <v>183265646.679</v>
      </c>
      <c r="AF11" t="n">
        <v>161083321.143</v>
      </c>
      <c r="AG11" t="n">
        <v>162358364.1</v>
      </c>
      <c r="AH11" t="n">
        <v>175688317.454</v>
      </c>
      <c r="AI11" t="n">
        <v>178147377.242</v>
      </c>
      <c r="AJ11" t="n">
        <v>192109178.544</v>
      </c>
      <c r="AK11" t="n">
        <v>171518252.808</v>
      </c>
      <c r="AL11" t="n">
        <v>177434321.109</v>
      </c>
      <c r="AM11" t="n">
        <v>191244464.734</v>
      </c>
      <c r="AN11" t="n">
        <v>211516614.368</v>
      </c>
      <c r="AO11" t="n">
        <v>203868380.19</v>
      </c>
      <c r="AP11" t="n">
        <v>196745252.576</v>
      </c>
      <c r="AQ11" t="n">
        <v>204093778.953</v>
      </c>
      <c r="AR11" t="n">
        <v>193099881.216</v>
      </c>
      <c r="AS11" t="n">
        <v>209923204.095</v>
      </c>
      <c r="AT11" t="n">
        <v>205767973.962</v>
      </c>
      <c r="AU11" t="n">
        <v>214850293.249</v>
      </c>
      <c r="AV11" t="n">
        <v>209161651.152</v>
      </c>
      <c r="AW11" t="n">
        <v>201472790.542</v>
      </c>
      <c r="AX11" t="n">
        <v>197137900.407</v>
      </c>
      <c r="AY11" t="n">
        <v>204915156.924</v>
      </c>
      <c r="AZ11" t="n">
        <v>223173637.345</v>
      </c>
      <c r="BA11" t="n">
        <v>235142214.895</v>
      </c>
      <c r="BB11" t="n">
        <v>218648781.708</v>
      </c>
      <c r="BC11" t="n">
        <v>214334126.726</v>
      </c>
      <c r="BD11" t="n">
        <v>220271975.051</v>
      </c>
      <c r="BE11" t="n">
        <v>215232610.663</v>
      </c>
      <c r="BF11" t="n">
        <v>212828874.572</v>
      </c>
      <c r="BG11" t="n">
        <v>211792970.409</v>
      </c>
      <c r="BH11" t="n">
        <v>193213186.115</v>
      </c>
      <c r="BI11" t="n">
        <v>172943503.297</v>
      </c>
      <c r="BJ11" t="n">
        <v>172833223.43</v>
      </c>
      <c r="BK11" t="n">
        <v>176209809.732</v>
      </c>
      <c r="BL11" t="n">
        <v>183858481.78</v>
      </c>
      <c r="BM11" t="n">
        <v>190141752.245</v>
      </c>
      <c r="BN11" t="n">
        <v>200429536.718</v>
      </c>
      <c r="BO11" t="n">
        <v>193844640.88</v>
      </c>
      <c r="BP11" t="n">
        <v>188226479.734</v>
      </c>
      <c r="BQ11" t="n">
        <v>189514072.851</v>
      </c>
      <c r="BR11" t="n">
        <v>188199522.488</v>
      </c>
      <c r="BS11" t="n">
        <v>194449980.158</v>
      </c>
      <c r="BT11" t="n">
        <v>190621772.362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41724131.007</v>
      </c>
      <c r="D12" t="n">
        <v>41724058.655</v>
      </c>
      <c r="E12" t="n">
        <v>41876312.687</v>
      </c>
      <c r="F12" t="n">
        <v>42403524.508</v>
      </c>
      <c r="G12" t="n">
        <v>48129026.603</v>
      </c>
      <c r="H12" t="n">
        <v>53441544.972</v>
      </c>
      <c r="I12" t="n">
        <v>55474726.493</v>
      </c>
      <c r="J12" t="n">
        <v>56828714.541</v>
      </c>
      <c r="K12" t="n">
        <v>64770079.347</v>
      </c>
      <c r="L12" t="n">
        <v>72283535.307</v>
      </c>
      <c r="M12" t="n">
        <v>81889546.90700001</v>
      </c>
      <c r="N12" t="n">
        <v>96558420.20999999</v>
      </c>
      <c r="O12" t="n">
        <v>109130167.108</v>
      </c>
      <c r="P12" t="n">
        <v>131557073.227</v>
      </c>
      <c r="Q12" t="n">
        <v>152281404.049</v>
      </c>
      <c r="R12" t="n">
        <v>191833572.895</v>
      </c>
      <c r="S12" t="n">
        <v>201851855.948</v>
      </c>
      <c r="T12" t="n">
        <v>220080692.625</v>
      </c>
      <c r="U12" t="n">
        <v>235290655.422</v>
      </c>
      <c r="V12" t="n">
        <v>253534312.509</v>
      </c>
      <c r="W12" t="n">
        <v>278273884.919</v>
      </c>
      <c r="X12" t="n">
        <v>301741163.502</v>
      </c>
      <c r="Y12" t="n">
        <v>353583407.252</v>
      </c>
      <c r="Z12" t="n">
        <v>347972657.726</v>
      </c>
      <c r="AA12" t="n">
        <v>314335035.341</v>
      </c>
      <c r="AB12" t="n">
        <v>300528461.289</v>
      </c>
      <c r="AC12" t="n">
        <v>309739581.101</v>
      </c>
      <c r="AD12" t="n">
        <v>370895212.008</v>
      </c>
      <c r="AE12" t="n">
        <v>370191420.716</v>
      </c>
      <c r="AF12" t="n">
        <v>327050102.154</v>
      </c>
      <c r="AG12" t="n">
        <v>329874516.862</v>
      </c>
      <c r="AH12" t="n">
        <v>354013871.554</v>
      </c>
      <c r="AI12" t="n">
        <v>359454353.964</v>
      </c>
      <c r="AJ12" t="n">
        <v>380586238.493</v>
      </c>
      <c r="AK12" t="n">
        <v>343570600.611</v>
      </c>
      <c r="AL12" t="n">
        <v>355919893.933</v>
      </c>
      <c r="AM12" t="n">
        <v>387038661.337</v>
      </c>
      <c r="AN12" t="n">
        <v>429475407.211</v>
      </c>
      <c r="AO12" t="n">
        <v>412844982.68</v>
      </c>
      <c r="AP12" t="n">
        <v>395340941.521</v>
      </c>
      <c r="AQ12" t="n">
        <v>414082764.439</v>
      </c>
      <c r="AR12" t="n">
        <v>387844787.373</v>
      </c>
      <c r="AS12" t="n">
        <v>416964094.194</v>
      </c>
      <c r="AT12" t="n">
        <v>415204734.504</v>
      </c>
      <c r="AU12" t="n">
        <v>432545116.631</v>
      </c>
      <c r="AV12" t="n">
        <v>422262333.954</v>
      </c>
      <c r="AW12" t="n">
        <v>404368191.921</v>
      </c>
      <c r="AX12" t="n">
        <v>396532587.174</v>
      </c>
      <c r="AY12" t="n">
        <v>408453364.72</v>
      </c>
      <c r="AZ12" t="n">
        <v>446071729.921</v>
      </c>
      <c r="BA12" t="n">
        <v>466888841.862</v>
      </c>
      <c r="BB12" t="n">
        <v>439511877.811</v>
      </c>
      <c r="BC12" t="n">
        <v>431959479.807</v>
      </c>
      <c r="BD12" t="n">
        <v>444172098.818</v>
      </c>
      <c r="BE12" t="n">
        <v>434128880.848</v>
      </c>
      <c r="BF12" t="n">
        <v>430586028.699</v>
      </c>
      <c r="BG12" t="n">
        <v>427761263.754</v>
      </c>
      <c r="BH12" t="n">
        <v>390365255.164</v>
      </c>
      <c r="BI12" t="n">
        <v>346071953.291</v>
      </c>
      <c r="BJ12" t="n">
        <v>350467120.097</v>
      </c>
      <c r="BK12" t="n">
        <v>355898504.602</v>
      </c>
      <c r="BL12" t="n">
        <v>369417717.535</v>
      </c>
      <c r="BM12" t="n">
        <v>385674922.644</v>
      </c>
      <c r="BN12" t="n">
        <v>406365185.212</v>
      </c>
      <c r="BO12" t="n">
        <v>391375143.859</v>
      </c>
      <c r="BP12" t="n">
        <v>382996361.076</v>
      </c>
      <c r="BQ12" t="n">
        <v>384984889.582</v>
      </c>
      <c r="BR12" t="n">
        <v>383289504.866</v>
      </c>
      <c r="BS12" t="n">
        <v>395200833.188</v>
      </c>
      <c r="BT12" t="n">
        <v>387686114.157</v>
      </c>
    </row>
    <row r="13">
      <c r="A13" t="inlineStr">
        <is>
          <t>Ulanowicz_TE</t>
        </is>
      </c>
      <c r="B13" t="inlineStr">
        <is>
          <t>ok</t>
        </is>
      </c>
      <c r="C13" t="n">
        <v>26571671.753</v>
      </c>
      <c r="D13" t="n">
        <v>26510664.594</v>
      </c>
      <c r="E13" t="n">
        <v>26648838.127</v>
      </c>
      <c r="F13" t="n">
        <v>27032935.547</v>
      </c>
      <c r="G13" t="n">
        <v>30489241.86</v>
      </c>
      <c r="H13" t="n">
        <v>33752741.472</v>
      </c>
      <c r="I13" t="n">
        <v>35064135.186</v>
      </c>
      <c r="J13" t="n">
        <v>36263724.915</v>
      </c>
      <c r="K13" t="n">
        <v>41037259.271</v>
      </c>
      <c r="L13" t="n">
        <v>45603292.212</v>
      </c>
      <c r="M13" t="n">
        <v>52532987.408</v>
      </c>
      <c r="N13" t="n">
        <v>62261863.52</v>
      </c>
      <c r="O13" t="n">
        <v>72014796.039</v>
      </c>
      <c r="P13" t="n">
        <v>89659573.79000001</v>
      </c>
      <c r="Q13" t="n">
        <v>105821982.729</v>
      </c>
      <c r="R13" t="n">
        <v>138592933.334</v>
      </c>
      <c r="S13" t="n">
        <v>151093951.41</v>
      </c>
      <c r="T13" t="n">
        <v>170248507.484</v>
      </c>
      <c r="U13" t="n">
        <v>189113022.54</v>
      </c>
      <c r="V13" t="n">
        <v>212257366.452</v>
      </c>
      <c r="W13" t="n">
        <v>238323574.91</v>
      </c>
      <c r="X13" t="n">
        <v>257772414.072</v>
      </c>
      <c r="Y13" t="n">
        <v>306862961.442</v>
      </c>
      <c r="Z13" t="n">
        <v>297411821.29</v>
      </c>
      <c r="AA13" t="n">
        <v>267994841.207</v>
      </c>
      <c r="AB13" t="n">
        <v>254571813.896</v>
      </c>
      <c r="AC13" t="n">
        <v>255790019.004</v>
      </c>
      <c r="AD13" t="n">
        <v>300780737.523</v>
      </c>
      <c r="AE13" t="n">
        <v>302862561.242</v>
      </c>
      <c r="AF13" t="n">
        <v>269748457.894</v>
      </c>
      <c r="AG13" t="n">
        <v>267964502.993</v>
      </c>
      <c r="AH13" t="n">
        <v>281131183.003</v>
      </c>
      <c r="AI13" t="n">
        <v>288283934.396</v>
      </c>
      <c r="AJ13" t="n">
        <v>293440466.669</v>
      </c>
      <c r="AK13" t="n">
        <v>270156283.062</v>
      </c>
      <c r="AL13" t="n">
        <v>281026047.886</v>
      </c>
      <c r="AM13" t="n">
        <v>310205257.201</v>
      </c>
      <c r="AN13" t="n">
        <v>347272443.281</v>
      </c>
      <c r="AO13" t="n">
        <v>328392117.187</v>
      </c>
      <c r="AP13" t="n">
        <v>313930637.594</v>
      </c>
      <c r="AQ13" t="n">
        <v>326640686.402</v>
      </c>
      <c r="AR13" t="n">
        <v>304832012.305</v>
      </c>
      <c r="AS13" t="n">
        <v>325343735.257</v>
      </c>
      <c r="AT13" t="n">
        <v>330842925.812</v>
      </c>
      <c r="AU13" t="n">
        <v>343563212.924</v>
      </c>
      <c r="AV13" t="n">
        <v>339233680.634</v>
      </c>
      <c r="AW13" t="n">
        <v>324071633.709</v>
      </c>
      <c r="AX13" t="n">
        <v>317285596.914</v>
      </c>
      <c r="AY13" t="n">
        <v>322520511.01</v>
      </c>
      <c r="AZ13" t="n">
        <v>350102752.43</v>
      </c>
      <c r="BA13" t="n">
        <v>361575580.67</v>
      </c>
      <c r="BB13" t="n">
        <v>345283348.58</v>
      </c>
      <c r="BC13" t="n">
        <v>339353007.555</v>
      </c>
      <c r="BD13" t="n">
        <v>348316642.466</v>
      </c>
      <c r="BE13" t="n">
        <v>337162466.205</v>
      </c>
      <c r="BF13" t="n">
        <v>337345225.165</v>
      </c>
      <c r="BG13" t="n">
        <v>332941202.835</v>
      </c>
      <c r="BH13" t="n">
        <v>304833313.306</v>
      </c>
      <c r="BI13" t="n">
        <v>274342147.83</v>
      </c>
      <c r="BJ13" t="n">
        <v>277667361.536</v>
      </c>
      <c r="BK13" t="n">
        <v>279346743.549</v>
      </c>
      <c r="BL13" t="n">
        <v>288571925.932</v>
      </c>
      <c r="BM13" t="n">
        <v>301849061.133</v>
      </c>
      <c r="BN13" t="n">
        <v>318270144.106</v>
      </c>
      <c r="BO13" t="n">
        <v>306543784.857</v>
      </c>
      <c r="BP13" t="n">
        <v>297762485.634</v>
      </c>
      <c r="BQ13" t="n">
        <v>296936449.046</v>
      </c>
      <c r="BR13" t="n">
        <v>296109936.301</v>
      </c>
      <c r="BS13" t="n">
        <v>306022039.238</v>
      </c>
      <c r="BT13" t="n">
        <v>302560083.262</v>
      </c>
    </row>
    <row r="14">
      <c r="A14" t="inlineStr">
        <is>
          <t>EwE_TE_noEE</t>
        </is>
      </c>
      <c r="B14" t="inlineStr">
        <is>
          <t>ok</t>
        </is>
      </c>
      <c r="C14" t="n">
        <v>26571671.753</v>
      </c>
      <c r="D14" t="n">
        <v>26510664.594</v>
      </c>
      <c r="E14" t="n">
        <v>26648838.127</v>
      </c>
      <c r="F14" t="n">
        <v>27032935.547</v>
      </c>
      <c r="G14" t="n">
        <v>30489241.86</v>
      </c>
      <c r="H14" t="n">
        <v>33752741.472</v>
      </c>
      <c r="I14" t="n">
        <v>35064135.186</v>
      </c>
      <c r="J14" t="n">
        <v>36263724.915</v>
      </c>
      <c r="K14" t="n">
        <v>41037259.271</v>
      </c>
      <c r="L14" t="n">
        <v>45603292.212</v>
      </c>
      <c r="M14" t="n">
        <v>52532987.408</v>
      </c>
      <c r="N14" t="n">
        <v>62261863.52</v>
      </c>
      <c r="O14" t="n">
        <v>72014796.039</v>
      </c>
      <c r="P14" t="n">
        <v>89659573.79000001</v>
      </c>
      <c r="Q14" t="n">
        <v>105821982.729</v>
      </c>
      <c r="R14" t="n">
        <v>138592933.334</v>
      </c>
      <c r="S14" t="n">
        <v>151093951.41</v>
      </c>
      <c r="T14" t="n">
        <v>170248507.484</v>
      </c>
      <c r="U14" t="n">
        <v>189113022.54</v>
      </c>
      <c r="V14" t="n">
        <v>212257366.452</v>
      </c>
      <c r="W14" t="n">
        <v>238340568.591</v>
      </c>
      <c r="X14" t="n">
        <v>257789345.407</v>
      </c>
      <c r="Y14" t="n">
        <v>306881177.119</v>
      </c>
      <c r="Z14" t="n">
        <v>297861416.523</v>
      </c>
      <c r="AA14" t="n">
        <v>268010905.407</v>
      </c>
      <c r="AB14" t="n">
        <v>254600937.112</v>
      </c>
      <c r="AC14" t="n">
        <v>255940946.347</v>
      </c>
      <c r="AD14" t="n">
        <v>301325559.451</v>
      </c>
      <c r="AE14" t="n">
        <v>303255381.453</v>
      </c>
      <c r="AF14" t="n">
        <v>270084093.551</v>
      </c>
      <c r="AG14" t="n">
        <v>267977903.069</v>
      </c>
      <c r="AH14" t="n">
        <v>281206551.569</v>
      </c>
      <c r="AI14" t="n">
        <v>288472631.526</v>
      </c>
      <c r="AJ14" t="n">
        <v>294388011.299</v>
      </c>
      <c r="AK14" t="n">
        <v>270193942.746</v>
      </c>
      <c r="AL14" t="n">
        <v>281067135.772</v>
      </c>
      <c r="AM14" t="n">
        <v>310313301.695</v>
      </c>
      <c r="AN14" t="n">
        <v>347360081.326</v>
      </c>
      <c r="AO14" t="n">
        <v>328506831.131</v>
      </c>
      <c r="AP14" t="n">
        <v>314029781.91</v>
      </c>
      <c r="AQ14" t="n">
        <v>326727127.776</v>
      </c>
      <c r="AR14" t="n">
        <v>305172134.231</v>
      </c>
      <c r="AS14" t="n">
        <v>325967007.82</v>
      </c>
      <c r="AT14" t="n">
        <v>330902663.878</v>
      </c>
      <c r="AU14" t="n">
        <v>344034664.275</v>
      </c>
      <c r="AV14" t="n">
        <v>339333355.725</v>
      </c>
      <c r="AW14" t="n">
        <v>324178274.402</v>
      </c>
      <c r="AX14" t="n">
        <v>317417836.304</v>
      </c>
      <c r="AY14" t="n">
        <v>322894019.043</v>
      </c>
      <c r="AZ14" t="n">
        <v>350624678.529</v>
      </c>
      <c r="BA14" t="n">
        <v>362455316.447</v>
      </c>
      <c r="BB14" t="n">
        <v>345561383.285</v>
      </c>
      <c r="BC14" t="n">
        <v>339518860.967</v>
      </c>
      <c r="BD14" t="n">
        <v>348369100.078</v>
      </c>
      <c r="BE14" t="n">
        <v>337171426.954</v>
      </c>
      <c r="BF14" t="n">
        <v>337366623.855</v>
      </c>
      <c r="BG14" t="n">
        <v>332965284.779</v>
      </c>
      <c r="BH14" t="n">
        <v>304878223.782</v>
      </c>
      <c r="BI14" t="n">
        <v>274360234.042</v>
      </c>
      <c r="BJ14" t="n">
        <v>277691781.648</v>
      </c>
      <c r="BK14" t="n">
        <v>279379930.363</v>
      </c>
      <c r="BL14" t="n">
        <v>288606408.862</v>
      </c>
      <c r="BM14" t="n">
        <v>301862655.04</v>
      </c>
      <c r="BN14" t="n">
        <v>318287716.611</v>
      </c>
      <c r="BO14" t="n">
        <v>306606876.922</v>
      </c>
      <c r="BP14" t="n">
        <v>297827354.441</v>
      </c>
      <c r="BQ14" t="n">
        <v>297021468.451</v>
      </c>
      <c r="BR14" t="n">
        <v>296128063.33</v>
      </c>
      <c r="BS14" t="n">
        <v>306077711.131</v>
      </c>
      <c r="BT14" t="n">
        <v>302608520.869</v>
      </c>
    </row>
    <row r="15">
      <c r="A15" t="inlineStr">
        <is>
          <t>EwE_TE_EE</t>
        </is>
      </c>
      <c r="B15" t="inlineStr">
        <is>
          <t>ok</t>
        </is>
      </c>
      <c r="C15" t="n">
        <v>25038864.658</v>
      </c>
      <c r="D15" t="n">
        <v>24993878.199</v>
      </c>
      <c r="E15" t="n">
        <v>25123744.698</v>
      </c>
      <c r="F15" t="n">
        <v>25501159.664</v>
      </c>
      <c r="G15" t="n">
        <v>28777965.054</v>
      </c>
      <c r="H15" t="n">
        <v>31852730.535</v>
      </c>
      <c r="I15" t="n">
        <v>33092601.376</v>
      </c>
      <c r="J15" t="n">
        <v>34224404.255</v>
      </c>
      <c r="K15" t="n">
        <v>38747836.516</v>
      </c>
      <c r="L15" t="n">
        <v>43069823.715</v>
      </c>
      <c r="M15" t="n">
        <v>49631815.828</v>
      </c>
      <c r="N15" t="n">
        <v>58867430.055</v>
      </c>
      <c r="O15" t="n">
        <v>68069225.94599999</v>
      </c>
      <c r="P15" t="n">
        <v>84598668.11</v>
      </c>
      <c r="Q15" t="n">
        <v>99898104.432</v>
      </c>
      <c r="R15" t="n">
        <v>130857105.132</v>
      </c>
      <c r="S15" t="n">
        <v>142514210.451</v>
      </c>
      <c r="T15" t="n">
        <v>160515985.394</v>
      </c>
      <c r="U15" t="n">
        <v>178122469.14</v>
      </c>
      <c r="V15" t="n">
        <v>199966507.066</v>
      </c>
      <c r="W15" t="n">
        <v>223796566.769</v>
      </c>
      <c r="X15" t="n">
        <v>242080765.179</v>
      </c>
      <c r="Y15" t="n">
        <v>288728250.492</v>
      </c>
      <c r="Z15" t="n">
        <v>280000080.334</v>
      </c>
      <c r="AA15" t="n">
        <v>252151457.461</v>
      </c>
      <c r="AB15" t="n">
        <v>239571765.005</v>
      </c>
      <c r="AC15" t="n">
        <v>240598618.655</v>
      </c>
      <c r="AD15" t="n">
        <v>283372447.813</v>
      </c>
      <c r="AE15" t="n">
        <v>284999895.194</v>
      </c>
      <c r="AF15" t="n">
        <v>253875766.292</v>
      </c>
      <c r="AG15" t="n">
        <v>252410466.777</v>
      </c>
      <c r="AH15" t="n">
        <v>264702145.95</v>
      </c>
      <c r="AI15" t="n">
        <v>271590669.899</v>
      </c>
      <c r="AJ15" t="n">
        <v>276732279.104</v>
      </c>
      <c r="AK15" t="n">
        <v>254790100.862</v>
      </c>
      <c r="AL15" t="n">
        <v>264942470.48</v>
      </c>
      <c r="AM15" t="n">
        <v>292582607.31</v>
      </c>
      <c r="AN15" t="n">
        <v>327443423.19</v>
      </c>
      <c r="AO15" t="n">
        <v>309708553.973</v>
      </c>
      <c r="AP15" t="n">
        <v>296169205.799</v>
      </c>
      <c r="AQ15" t="n">
        <v>307938980.137</v>
      </c>
      <c r="AR15" t="n">
        <v>287402634.777</v>
      </c>
      <c r="AS15" t="n">
        <v>306628090.604</v>
      </c>
      <c r="AT15" t="n">
        <v>311619412.564</v>
      </c>
      <c r="AU15" t="n">
        <v>323478693.484</v>
      </c>
      <c r="AV15" t="n">
        <v>319549336.652</v>
      </c>
      <c r="AW15" t="n">
        <v>305447908.434</v>
      </c>
      <c r="AX15" t="n">
        <v>299153476.279</v>
      </c>
      <c r="AY15" t="n">
        <v>303899641.245</v>
      </c>
      <c r="AZ15" t="n">
        <v>330212629.197</v>
      </c>
      <c r="BA15" t="n">
        <v>341023754.778</v>
      </c>
      <c r="BB15" t="n">
        <v>325831700.399</v>
      </c>
      <c r="BC15" t="n">
        <v>320316343.338</v>
      </c>
      <c r="BD15" t="n">
        <v>328769517.06</v>
      </c>
      <c r="BE15" t="n">
        <v>318354151.679</v>
      </c>
      <c r="BF15" t="n">
        <v>318552619.848</v>
      </c>
      <c r="BG15" t="n">
        <v>314482367.005</v>
      </c>
      <c r="BH15" t="n">
        <v>288014062.779</v>
      </c>
      <c r="BI15" t="n">
        <v>259416302.036</v>
      </c>
      <c r="BJ15" t="n">
        <v>262443344.775</v>
      </c>
      <c r="BK15" t="n">
        <v>264061642.862</v>
      </c>
      <c r="BL15" t="n">
        <v>272659666.457</v>
      </c>
      <c r="BM15" t="n">
        <v>284947930.259</v>
      </c>
      <c r="BN15" t="n">
        <v>300437362.97</v>
      </c>
      <c r="BO15" t="n">
        <v>289512426.354</v>
      </c>
      <c r="BP15" t="n">
        <v>281131351.31</v>
      </c>
      <c r="BQ15" t="n">
        <v>280215013.481</v>
      </c>
      <c r="BR15" t="n">
        <v>279376323.418</v>
      </c>
      <c r="BS15" t="n">
        <v>288907298.913</v>
      </c>
      <c r="BT15" t="n">
        <v>285349634.025</v>
      </c>
    </row>
    <row r="16">
      <c r="A16" t="inlineStr">
        <is>
          <t>SPPR_2015</t>
        </is>
      </c>
      <c r="B16" t="inlineStr">
        <is>
          <t>ok</t>
        </is>
      </c>
      <c r="C16" t="n">
        <v>59252830.283</v>
      </c>
      <c r="D16" t="n">
        <v>58481334.828</v>
      </c>
      <c r="E16" t="n">
        <v>58861524.12</v>
      </c>
      <c r="F16" t="n">
        <v>59826197.949</v>
      </c>
      <c r="G16" t="n">
        <v>67681880.461</v>
      </c>
      <c r="H16" t="n">
        <v>75230479.214</v>
      </c>
      <c r="I16" t="n">
        <v>78274137.16599999</v>
      </c>
      <c r="J16" t="n">
        <v>81311010.48800001</v>
      </c>
      <c r="K16" t="n">
        <v>92702734.47499999</v>
      </c>
      <c r="L16" t="n">
        <v>103715793.654</v>
      </c>
      <c r="M16" t="n">
        <v>121918394.135</v>
      </c>
      <c r="N16" t="n">
        <v>147157075.751</v>
      </c>
      <c r="O16" t="n">
        <v>172885396.928</v>
      </c>
      <c r="P16" t="n">
        <v>221368049.353</v>
      </c>
      <c r="Q16" t="n">
        <v>264369228.394</v>
      </c>
      <c r="R16" t="n">
        <v>353858771.039</v>
      </c>
      <c r="S16" t="n">
        <v>392013095.362</v>
      </c>
      <c r="T16" t="n">
        <v>449741832.275</v>
      </c>
      <c r="U16" t="n">
        <v>507590719.869</v>
      </c>
      <c r="V16" t="n">
        <v>581319922.78</v>
      </c>
      <c r="W16" t="n">
        <v>660329455.219</v>
      </c>
      <c r="X16" t="n">
        <v>713809605.368</v>
      </c>
      <c r="Y16" t="n">
        <v>860979618.069</v>
      </c>
      <c r="Z16" t="n">
        <v>830889615.513</v>
      </c>
      <c r="AA16" t="n">
        <v>745305534.447</v>
      </c>
      <c r="AB16" t="n">
        <v>705679084.799</v>
      </c>
      <c r="AC16" t="n">
        <v>702569614.073</v>
      </c>
      <c r="AD16" t="n">
        <v>820340097.207</v>
      </c>
      <c r="AE16" t="n">
        <v>829798266.161</v>
      </c>
      <c r="AF16" t="n">
        <v>739786223.425</v>
      </c>
      <c r="AG16" t="n">
        <v>729615133.355</v>
      </c>
      <c r="AH16" t="n">
        <v>757664684.257</v>
      </c>
      <c r="AI16" t="n">
        <v>781451411.2819999</v>
      </c>
      <c r="AJ16" t="n">
        <v>788128077.5779999</v>
      </c>
      <c r="AK16" t="n">
        <v>724272473.517</v>
      </c>
      <c r="AL16" t="n">
        <v>754248809.303</v>
      </c>
      <c r="AM16" t="n">
        <v>840703127.795</v>
      </c>
      <c r="AN16" t="n">
        <v>944563000.123</v>
      </c>
      <c r="AO16" t="n">
        <v>887250203.3200001</v>
      </c>
      <c r="AP16" t="n">
        <v>846233035.216</v>
      </c>
      <c r="AQ16" t="n">
        <v>881371529.146</v>
      </c>
      <c r="AR16" t="n">
        <v>822479521.126</v>
      </c>
      <c r="AS16" t="n">
        <v>875436179.863</v>
      </c>
      <c r="AT16" t="n">
        <v>896081892.011</v>
      </c>
      <c r="AU16" t="n">
        <v>932574461.579</v>
      </c>
      <c r="AV16" t="n">
        <v>921680844.499</v>
      </c>
      <c r="AW16" t="n">
        <v>879447326.097</v>
      </c>
      <c r="AX16" t="n">
        <v>861235268.1670001</v>
      </c>
      <c r="AY16" t="n">
        <v>872296938.536</v>
      </c>
      <c r="AZ16" t="n">
        <v>946273208.261</v>
      </c>
      <c r="BA16" t="n">
        <v>974608799.164</v>
      </c>
      <c r="BB16" t="n">
        <v>933773865.382</v>
      </c>
      <c r="BC16" t="n">
        <v>917648068.972</v>
      </c>
      <c r="BD16" t="n">
        <v>940099382.2589999</v>
      </c>
      <c r="BE16" t="n">
        <v>906889485.036</v>
      </c>
      <c r="BF16" t="n">
        <v>909432551.806</v>
      </c>
      <c r="BG16" t="n">
        <v>894672087.101</v>
      </c>
      <c r="BH16" t="n">
        <v>820749973.85</v>
      </c>
      <c r="BI16" t="n">
        <v>738883519.946</v>
      </c>
      <c r="BJ16" t="n">
        <v>751701546.914</v>
      </c>
      <c r="BK16" t="n">
        <v>753485293.59</v>
      </c>
      <c r="BL16" t="n">
        <v>775836376.852</v>
      </c>
      <c r="BM16" t="n">
        <v>813692068.4299999</v>
      </c>
      <c r="BN16" t="n">
        <v>858316669.656</v>
      </c>
      <c r="BO16" t="n">
        <v>825925139.097</v>
      </c>
      <c r="BP16" t="n">
        <v>802169568.8559999</v>
      </c>
      <c r="BQ16" t="n">
        <v>797289618.915</v>
      </c>
      <c r="BR16" t="n">
        <v>795868443.216</v>
      </c>
      <c r="BS16" t="n">
        <v>822624068.739</v>
      </c>
      <c r="BT16" t="n">
        <v>815001343.756</v>
      </c>
    </row>
    <row r="17">
      <c r="A17" t="inlineStr">
        <is>
          <t>new_TE_noEEfix</t>
        </is>
      </c>
      <c r="B17" t="inlineStr">
        <is>
          <t>ok</t>
        </is>
      </c>
      <c r="C17" t="n">
        <v>59252830.283</v>
      </c>
      <c r="D17" t="n">
        <v>58481334.828</v>
      </c>
      <c r="E17" t="n">
        <v>58861524.12</v>
      </c>
      <c r="F17" t="n">
        <v>59826197.949</v>
      </c>
      <c r="G17" t="n">
        <v>67681880.461</v>
      </c>
      <c r="H17" t="n">
        <v>75230479.214</v>
      </c>
      <c r="I17" t="n">
        <v>78274137.16599999</v>
      </c>
      <c r="J17" t="n">
        <v>81311010.48800001</v>
      </c>
      <c r="K17" t="n">
        <v>92702734.47499999</v>
      </c>
      <c r="L17" t="n">
        <v>103715793.654</v>
      </c>
      <c r="M17" t="n">
        <v>121918394.135</v>
      </c>
      <c r="N17" t="n">
        <v>147157075.751</v>
      </c>
      <c r="O17" t="n">
        <v>172885396.928</v>
      </c>
      <c r="P17" t="n">
        <v>221368049.353</v>
      </c>
      <c r="Q17" t="n">
        <v>264369228.394</v>
      </c>
      <c r="R17" t="n">
        <v>353858771.039</v>
      </c>
      <c r="S17" t="n">
        <v>392013095.362</v>
      </c>
      <c r="T17" t="n">
        <v>449741832.275</v>
      </c>
      <c r="U17" t="n">
        <v>507590719.869</v>
      </c>
      <c r="V17" t="n">
        <v>581319922.78</v>
      </c>
      <c r="W17" t="n">
        <v>660329455.219</v>
      </c>
      <c r="X17" t="n">
        <v>713809605.368</v>
      </c>
      <c r="Y17" t="n">
        <v>860979618.069</v>
      </c>
      <c r="Z17" t="n">
        <v>830889615.513</v>
      </c>
      <c r="AA17" t="n">
        <v>745305534.447</v>
      </c>
      <c r="AB17" t="n">
        <v>705679084.799</v>
      </c>
      <c r="AC17" t="n">
        <v>702569614.073</v>
      </c>
      <c r="AD17" t="n">
        <v>820340097.207</v>
      </c>
      <c r="AE17" t="n">
        <v>829798266.161</v>
      </c>
      <c r="AF17" t="n">
        <v>739786223.425</v>
      </c>
      <c r="AG17" t="n">
        <v>729615133.355</v>
      </c>
      <c r="AH17" t="n">
        <v>757664684.257</v>
      </c>
      <c r="AI17" t="n">
        <v>781451411.2819999</v>
      </c>
      <c r="AJ17" t="n">
        <v>788128077.5779999</v>
      </c>
      <c r="AK17" t="n">
        <v>724272473.517</v>
      </c>
      <c r="AL17" t="n">
        <v>754248809.303</v>
      </c>
      <c r="AM17" t="n">
        <v>840703127.795</v>
      </c>
      <c r="AN17" t="n">
        <v>944563000.123</v>
      </c>
      <c r="AO17" t="n">
        <v>887250203.3200001</v>
      </c>
      <c r="AP17" t="n">
        <v>846233035.216</v>
      </c>
      <c r="AQ17" t="n">
        <v>881371529.146</v>
      </c>
      <c r="AR17" t="n">
        <v>822479521.126</v>
      </c>
      <c r="AS17" t="n">
        <v>875436179.863</v>
      </c>
      <c r="AT17" t="n">
        <v>896081892.011</v>
      </c>
      <c r="AU17" t="n">
        <v>932574461.579</v>
      </c>
      <c r="AV17" t="n">
        <v>921680844.499</v>
      </c>
      <c r="AW17" t="n">
        <v>879447326.097</v>
      </c>
      <c r="AX17" t="n">
        <v>861235268.1670001</v>
      </c>
      <c r="AY17" t="n">
        <v>872296938.536</v>
      </c>
      <c r="AZ17" t="n">
        <v>946273208.261</v>
      </c>
      <c r="BA17" t="n">
        <v>974608799.164</v>
      </c>
      <c r="BB17" t="n">
        <v>933773865.382</v>
      </c>
      <c r="BC17" t="n">
        <v>917648068.972</v>
      </c>
      <c r="BD17" t="n">
        <v>940099382.2589999</v>
      </c>
      <c r="BE17" t="n">
        <v>906889485.036</v>
      </c>
      <c r="BF17" t="n">
        <v>909432551.806</v>
      </c>
      <c r="BG17" t="n">
        <v>894672087.101</v>
      </c>
      <c r="BH17" t="n">
        <v>820749973.85</v>
      </c>
      <c r="BI17" t="n">
        <v>738883519.946</v>
      </c>
      <c r="BJ17" t="n">
        <v>751701546.914</v>
      </c>
      <c r="BK17" t="n">
        <v>753485293.59</v>
      </c>
      <c r="BL17" t="n">
        <v>775836376.852</v>
      </c>
      <c r="BM17" t="n">
        <v>813692068.4299999</v>
      </c>
      <c r="BN17" t="n">
        <v>858316669.656</v>
      </c>
      <c r="BO17" t="n">
        <v>825925139.097</v>
      </c>
      <c r="BP17" t="n">
        <v>802169568.8559999</v>
      </c>
      <c r="BQ17" t="n">
        <v>797289618.915</v>
      </c>
      <c r="BR17" t="n">
        <v>795868443.216</v>
      </c>
      <c r="BS17" t="n">
        <v>822624068.739</v>
      </c>
      <c r="BT17" t="n">
        <v>815001343.756</v>
      </c>
    </row>
    <row r="18">
      <c r="A18" t="inlineStr">
        <is>
          <t>new_TE_EEfix</t>
        </is>
      </c>
      <c r="B18" t="inlineStr">
        <is>
          <t>ok</t>
        </is>
      </c>
      <c r="C18" t="n">
        <v>62435868.558</v>
      </c>
      <c r="D18" t="n">
        <v>61605283.236</v>
      </c>
      <c r="E18" t="n">
        <v>62002432.937</v>
      </c>
      <c r="F18" t="n">
        <v>63026703.223</v>
      </c>
      <c r="G18" t="n">
        <v>71312025.41599999</v>
      </c>
      <c r="H18" t="n">
        <v>79271295.873</v>
      </c>
      <c r="I18" t="n">
        <v>82481105.742</v>
      </c>
      <c r="J18" t="n">
        <v>85684328.433</v>
      </c>
      <c r="K18" t="n">
        <v>97707234.266</v>
      </c>
      <c r="L18" t="n">
        <v>109328853.799</v>
      </c>
      <c r="M18" t="n">
        <v>128581823.036</v>
      </c>
      <c r="N18" t="n">
        <v>155251494.495</v>
      </c>
      <c r="O18" t="n">
        <v>182446700.987</v>
      </c>
      <c r="P18" t="n">
        <v>233734620.949</v>
      </c>
      <c r="Q18" t="n">
        <v>279189483.817</v>
      </c>
      <c r="R18" t="n">
        <v>373823482.546</v>
      </c>
      <c r="S18" t="n">
        <v>414238982.818</v>
      </c>
      <c r="T18" t="n">
        <v>475389389.828</v>
      </c>
      <c r="U18" t="n">
        <v>536665433.635</v>
      </c>
      <c r="V18" t="n">
        <v>614794355.9349999</v>
      </c>
      <c r="W18" t="n">
        <v>698470958.914</v>
      </c>
      <c r="X18" t="n">
        <v>755039172.485</v>
      </c>
      <c r="Y18" t="n">
        <v>910939650.492</v>
      </c>
      <c r="Z18" t="n">
        <v>879096174.099</v>
      </c>
      <c r="AA18" t="n">
        <v>788507032.059</v>
      </c>
      <c r="AB18" t="n">
        <v>746559379.999</v>
      </c>
      <c r="AC18" t="n">
        <v>743132592.298</v>
      </c>
      <c r="AD18" t="n">
        <v>867615004.336</v>
      </c>
      <c r="AE18" t="n">
        <v>877693054.3940001</v>
      </c>
      <c r="AF18" t="n">
        <v>782491940.628</v>
      </c>
      <c r="AG18" t="n">
        <v>771609373.633</v>
      </c>
      <c r="AH18" t="n">
        <v>801129784.3789999</v>
      </c>
      <c r="AI18" t="n">
        <v>826376308.499</v>
      </c>
      <c r="AJ18" t="n">
        <v>833302935.794</v>
      </c>
      <c r="AK18" t="n">
        <v>765742029.6569999</v>
      </c>
      <c r="AL18" t="n">
        <v>797448680.919</v>
      </c>
      <c r="AM18" t="n">
        <v>888986644.091</v>
      </c>
      <c r="AN18" t="n">
        <v>998856651.182</v>
      </c>
      <c r="AO18" t="n">
        <v>938150543.869</v>
      </c>
      <c r="AP18" t="n">
        <v>894758398.723</v>
      </c>
      <c r="AQ18" t="n">
        <v>931911962.3380001</v>
      </c>
      <c r="AR18" t="n">
        <v>869674686.3660001</v>
      </c>
      <c r="AS18" t="n">
        <v>925614015.0779999</v>
      </c>
      <c r="AT18" t="n">
        <v>947566211.351</v>
      </c>
      <c r="AU18" t="n">
        <v>986202122.601</v>
      </c>
      <c r="AV18" t="n">
        <v>974712353.624</v>
      </c>
      <c r="AW18" t="n">
        <v>930041882.013</v>
      </c>
      <c r="AX18" t="n">
        <v>910795768.1160001</v>
      </c>
      <c r="AY18" t="n">
        <v>922422782.6900001</v>
      </c>
      <c r="AZ18" t="n">
        <v>1000615494.097</v>
      </c>
      <c r="BA18" t="n">
        <v>1030519835.671</v>
      </c>
      <c r="BB18" t="n">
        <v>987410414.539</v>
      </c>
      <c r="BC18" t="n">
        <v>970361693.702</v>
      </c>
      <c r="BD18" t="n">
        <v>994061307.803</v>
      </c>
      <c r="BE18" t="n">
        <v>958915829.9349999</v>
      </c>
      <c r="BF18" t="n">
        <v>961640152.497</v>
      </c>
      <c r="BG18" t="n">
        <v>945980529.349</v>
      </c>
      <c r="BH18" t="n">
        <v>867848215.505</v>
      </c>
      <c r="BI18" t="n">
        <v>781298574.442</v>
      </c>
      <c r="BJ18" t="n">
        <v>794934518.193</v>
      </c>
      <c r="BK18" t="n">
        <v>796777069.5549999</v>
      </c>
      <c r="BL18" t="n">
        <v>820342761.836</v>
      </c>
      <c r="BM18" t="n">
        <v>860404279.118</v>
      </c>
      <c r="BN18" t="n">
        <v>907587474.506</v>
      </c>
      <c r="BO18" t="n">
        <v>873326776.845</v>
      </c>
      <c r="BP18" t="n">
        <v>848213048.776</v>
      </c>
      <c r="BQ18" t="n">
        <v>843022695.5930001</v>
      </c>
      <c r="BR18" t="n">
        <v>841529905.456</v>
      </c>
      <c r="BS18" t="n">
        <v>869819234.073</v>
      </c>
      <c r="BT18" t="n">
        <v>861740335.919</v>
      </c>
    </row>
    <row r="19">
      <c r="A19" t="inlineStr">
        <is>
          <t>new_GE</t>
        </is>
      </c>
      <c r="B19" t="inlineStr">
        <is>
          <t>ok</t>
        </is>
      </c>
      <c r="C19" t="n">
        <v>21321829.838</v>
      </c>
      <c r="D19" t="n">
        <v>21522596.702</v>
      </c>
      <c r="E19" t="n">
        <v>21579248.735</v>
      </c>
      <c r="F19" t="n">
        <v>21883859.062</v>
      </c>
      <c r="G19" t="n">
        <v>24621023.857</v>
      </c>
      <c r="H19" t="n">
        <v>27129382.891</v>
      </c>
      <c r="I19" t="n">
        <v>28143241.385</v>
      </c>
      <c r="J19" t="n">
        <v>28995021.823</v>
      </c>
      <c r="K19" t="n">
        <v>32571539.325</v>
      </c>
      <c r="L19" t="n">
        <v>35921686.608</v>
      </c>
      <c r="M19" t="n">
        <v>40617182.982</v>
      </c>
      <c r="N19" t="n">
        <v>47277327.629</v>
      </c>
      <c r="O19" t="n">
        <v>53879059.654</v>
      </c>
      <c r="P19" t="n">
        <v>65091996.16</v>
      </c>
      <c r="Q19" t="n">
        <v>75960533.376</v>
      </c>
      <c r="R19" t="n">
        <v>97188494.47400001</v>
      </c>
      <c r="S19" t="n">
        <v>103954445.182</v>
      </c>
      <c r="T19" t="n">
        <v>114641937.45</v>
      </c>
      <c r="U19" t="n">
        <v>124795573.114</v>
      </c>
      <c r="V19" t="n">
        <v>136414943.813</v>
      </c>
      <c r="W19" t="n">
        <v>151468255.276</v>
      </c>
      <c r="X19" t="n">
        <v>163952002.773</v>
      </c>
      <c r="Y19" t="n">
        <v>192687883.355</v>
      </c>
      <c r="Z19" t="n">
        <v>189949048.776</v>
      </c>
      <c r="AA19" t="n">
        <v>170572613.694</v>
      </c>
      <c r="AB19" t="n">
        <v>162855307.133</v>
      </c>
      <c r="AC19" t="n">
        <v>165923485.305</v>
      </c>
      <c r="AD19" t="n">
        <v>199401642.677</v>
      </c>
      <c r="AE19" t="n">
        <v>198617737.908</v>
      </c>
      <c r="AF19" t="n">
        <v>176515155.43</v>
      </c>
      <c r="AG19" t="n">
        <v>174991890.06</v>
      </c>
      <c r="AH19" t="n">
        <v>186019422.968</v>
      </c>
      <c r="AI19" t="n">
        <v>190757714.795</v>
      </c>
      <c r="AJ19" t="n">
        <v>200137108.581</v>
      </c>
      <c r="AK19" t="n">
        <v>180876120.367</v>
      </c>
      <c r="AL19" t="n">
        <v>187541983.406</v>
      </c>
      <c r="AM19" t="n">
        <v>204880985.583</v>
      </c>
      <c r="AN19" t="n">
        <v>227697189.27</v>
      </c>
      <c r="AO19" t="n">
        <v>217055515.389</v>
      </c>
      <c r="AP19" t="n">
        <v>208888337.345</v>
      </c>
      <c r="AQ19" t="n">
        <v>216284113.184</v>
      </c>
      <c r="AR19" t="n">
        <v>203757363.396</v>
      </c>
      <c r="AS19" t="n">
        <v>219107401.361</v>
      </c>
      <c r="AT19" t="n">
        <v>218390549.289</v>
      </c>
      <c r="AU19" t="n">
        <v>228385194.195</v>
      </c>
      <c r="AV19" t="n">
        <v>224204745.488</v>
      </c>
      <c r="AW19" t="n">
        <v>214855211.361</v>
      </c>
      <c r="AX19" t="n">
        <v>210579893.626</v>
      </c>
      <c r="AY19" t="n">
        <v>216440946.21</v>
      </c>
      <c r="AZ19" t="n">
        <v>234936269.412</v>
      </c>
      <c r="BA19" t="n">
        <v>245248191.386</v>
      </c>
      <c r="BB19" t="n">
        <v>230916565.637</v>
      </c>
      <c r="BC19" t="n">
        <v>226708840.641</v>
      </c>
      <c r="BD19" t="n">
        <v>232572230.441</v>
      </c>
      <c r="BE19" t="n">
        <v>225617548.184</v>
      </c>
      <c r="BF19" t="n">
        <v>225517601.992</v>
      </c>
      <c r="BG19" t="n">
        <v>223386998.841</v>
      </c>
      <c r="BH19" t="n">
        <v>204193748.639</v>
      </c>
      <c r="BI19" t="n">
        <v>185309015.177</v>
      </c>
      <c r="BJ19" t="n">
        <v>186161586.096</v>
      </c>
      <c r="BK19" t="n">
        <v>188494085.516</v>
      </c>
      <c r="BL19" t="n">
        <v>195602892.38</v>
      </c>
      <c r="BM19" t="n">
        <v>203079157.586</v>
      </c>
      <c r="BN19" t="n">
        <v>213833068.877</v>
      </c>
      <c r="BO19" t="n">
        <v>206480814.734</v>
      </c>
      <c r="BP19" t="n">
        <v>200278859.19</v>
      </c>
      <c r="BQ19" t="n">
        <v>200932013.832</v>
      </c>
      <c r="BR19" t="n">
        <v>199718362.953</v>
      </c>
      <c r="BS19" t="n">
        <v>206300846.423</v>
      </c>
      <c r="BT19" t="n">
        <v>203152174.9</v>
      </c>
    </row>
    <row r="20">
      <c r="A20" t="inlineStr">
        <is>
          <t>new_WithEgestion</t>
        </is>
      </c>
      <c r="B20" t="inlineStr">
        <is>
          <t>ok</t>
        </is>
      </c>
      <c r="C20" t="n">
        <v>11135543.217</v>
      </c>
      <c r="D20" t="n">
        <v>11303293.418</v>
      </c>
      <c r="E20" t="n">
        <v>11324947.108</v>
      </c>
      <c r="F20" t="n">
        <v>11495029.655</v>
      </c>
      <c r="G20" t="n">
        <v>12867959.408</v>
      </c>
      <c r="H20" t="n">
        <v>14114909.271</v>
      </c>
      <c r="I20" t="n">
        <v>14633886.967</v>
      </c>
      <c r="J20" t="n">
        <v>15109357.577</v>
      </c>
      <c r="K20" t="n">
        <v>16777924.377</v>
      </c>
      <c r="L20" t="n">
        <v>18333843.493</v>
      </c>
      <c r="M20" t="n">
        <v>20649145.506</v>
      </c>
      <c r="N20" t="n">
        <v>23676145.645</v>
      </c>
      <c r="O20" t="n">
        <v>27023755.232</v>
      </c>
      <c r="P20" t="n">
        <v>32463956.795</v>
      </c>
      <c r="Q20" t="n">
        <v>37889350.925</v>
      </c>
      <c r="R20" t="n">
        <v>48582617.414</v>
      </c>
      <c r="S20" t="n">
        <v>52329613</v>
      </c>
      <c r="T20" t="n">
        <v>57811657.828</v>
      </c>
      <c r="U20" t="n">
        <v>63346247.754</v>
      </c>
      <c r="V20" t="n">
        <v>69299403.266</v>
      </c>
      <c r="W20" t="n">
        <v>77103797.362</v>
      </c>
      <c r="X20" t="n">
        <v>83374090.94400001</v>
      </c>
      <c r="Y20" t="n">
        <v>97394828.242</v>
      </c>
      <c r="Z20" t="n">
        <v>96516673.788</v>
      </c>
      <c r="AA20" t="n">
        <v>86550162.486</v>
      </c>
      <c r="AB20" t="n">
        <v>82702108.009</v>
      </c>
      <c r="AC20" t="n">
        <v>84156013.227</v>
      </c>
      <c r="AD20" t="n">
        <v>101692581.874</v>
      </c>
      <c r="AE20" t="n">
        <v>100932251.526</v>
      </c>
      <c r="AF20" t="n">
        <v>89808824.811</v>
      </c>
      <c r="AG20" t="n">
        <v>88509289.83400001</v>
      </c>
      <c r="AH20" t="n">
        <v>94004906.193</v>
      </c>
      <c r="AI20" t="n">
        <v>96661986.264</v>
      </c>
      <c r="AJ20" t="n">
        <v>101351621.096</v>
      </c>
      <c r="AK20" t="n">
        <v>91459099.26199999</v>
      </c>
      <c r="AL20" t="n">
        <v>94976541.55500001</v>
      </c>
      <c r="AM20" t="n">
        <v>103596970.071</v>
      </c>
      <c r="AN20" t="n">
        <v>115195323.384</v>
      </c>
      <c r="AO20" t="n">
        <v>109598134.87</v>
      </c>
      <c r="AP20" t="n">
        <v>105769558.101</v>
      </c>
      <c r="AQ20" t="n">
        <v>108815987.078</v>
      </c>
      <c r="AR20" t="n">
        <v>102966465.388</v>
      </c>
      <c r="AS20" t="n">
        <v>110977532.021</v>
      </c>
      <c r="AT20" t="n">
        <v>110277459.638</v>
      </c>
      <c r="AU20" t="n">
        <v>115452538.778</v>
      </c>
      <c r="AV20" t="n">
        <v>113494757.747</v>
      </c>
      <c r="AW20" t="n">
        <v>109010700.929</v>
      </c>
      <c r="AX20" t="n">
        <v>106744946.483</v>
      </c>
      <c r="AY20" t="n">
        <v>109786537.6</v>
      </c>
      <c r="AZ20" t="n">
        <v>118745885.96</v>
      </c>
      <c r="BA20" t="n">
        <v>123961649.852</v>
      </c>
      <c r="BB20" t="n">
        <v>116374883.565</v>
      </c>
      <c r="BC20" t="n">
        <v>114048983.602</v>
      </c>
      <c r="BD20" t="n">
        <v>116909185.033</v>
      </c>
      <c r="BE20" t="n">
        <v>113242577.056</v>
      </c>
      <c r="BF20" t="n">
        <v>113382164.919</v>
      </c>
      <c r="BG20" t="n">
        <v>112295363.991</v>
      </c>
      <c r="BH20" t="n">
        <v>102667677.128</v>
      </c>
      <c r="BI20" t="n">
        <v>94063139.02500001</v>
      </c>
      <c r="BJ20" t="n">
        <v>93957427.20299999</v>
      </c>
      <c r="BK20" t="n">
        <v>95086073.71600001</v>
      </c>
      <c r="BL20" t="n">
        <v>98641213.41</v>
      </c>
      <c r="BM20" t="n">
        <v>102047262.379</v>
      </c>
      <c r="BN20" t="n">
        <v>107374577.108</v>
      </c>
      <c r="BO20" t="n">
        <v>103926244.038</v>
      </c>
      <c r="BP20" t="n">
        <v>100339909.378</v>
      </c>
      <c r="BQ20" t="n">
        <v>100717916.327</v>
      </c>
      <c r="BR20" t="n">
        <v>99906066.24600001</v>
      </c>
      <c r="BS20" t="n">
        <v>103406016.195</v>
      </c>
      <c r="BT20" t="n">
        <v>102033834.774</v>
      </c>
    </row>
    <row r="21">
      <c r="A21" s="18" t="inlineStr">
        <is>
          <t>sym_TE_asPP</t>
        </is>
      </c>
      <c r="B21" s="9" t="inlineStr">
        <is>
          <t>did not resolve for any mapped group</t>
        </is>
      </c>
    </row>
    <row r="22">
      <c r="A22" s="18" t="inlineStr">
        <is>
          <t>sym_TE_asDC</t>
        </is>
      </c>
      <c r="B22" s="9" t="inlineStr">
        <is>
          <t>did not resolve for any mapped group</t>
        </is>
      </c>
    </row>
    <row r="23">
      <c r="A23" s="18" t="inlineStr">
        <is>
          <t>sym_GE_asPP</t>
        </is>
      </c>
      <c r="B23" s="9" t="inlineStr">
        <is>
          <t>did not resolve for any mapped group</t>
        </is>
      </c>
    </row>
    <row r="24">
      <c r="A24" s="18" t="inlineStr">
        <is>
          <t>sym_GE_asDC</t>
        </is>
      </c>
      <c r="B24" s="9" t="inlineStr">
        <is>
          <t>did not resolve for any mapped group</t>
        </is>
      </c>
    </row>
    <row r="25">
      <c r="A25" s="18" t="inlineStr">
        <is>
          <t>sym_WithEgestion_asPP</t>
        </is>
      </c>
      <c r="B25" s="9" t="inlineStr">
        <is>
          <t>did not resolve for any mapped group</t>
        </is>
      </c>
    </row>
    <row r="26">
      <c r="A26" s="18" t="inlineStr">
        <is>
          <t>sym_WithEgestion_asDC</t>
        </is>
      </c>
      <c r="B26" s="9" t="inlineStr">
        <is>
          <t>did not resolve for any mapped group</t>
        </is>
      </c>
    </row>
    <row r="27">
      <c r="A27" t="inlineStr">
        <is>
          <t>MC_new_GE</t>
        </is>
      </c>
      <c r="B27" t="inlineStr">
        <is>
          <t>ok</t>
        </is>
      </c>
      <c r="C27" t="n">
        <v>22258336.361</v>
      </c>
      <c r="D27" t="n">
        <v>22470691.594</v>
      </c>
      <c r="E27" t="n">
        <v>22525254.705</v>
      </c>
      <c r="F27" t="n">
        <v>22842502.975</v>
      </c>
      <c r="G27" t="n">
        <v>25704874.412</v>
      </c>
      <c r="H27" t="n">
        <v>28323229.51</v>
      </c>
      <c r="I27" t="n">
        <v>29381028.054</v>
      </c>
      <c r="J27" t="n">
        <v>30269527.133</v>
      </c>
      <c r="K27" t="n">
        <v>34019096.728</v>
      </c>
      <c r="L27" t="n">
        <v>37526864.128</v>
      </c>
      <c r="M27" t="n">
        <v>42423687.866</v>
      </c>
      <c r="N27" t="n">
        <v>49374948.933</v>
      </c>
      <c r="O27" t="n">
        <v>56238391.74</v>
      </c>
      <c r="P27" t="n">
        <v>67891537.42</v>
      </c>
      <c r="Q27" t="n">
        <v>79194005.873</v>
      </c>
      <c r="R27" t="n">
        <v>101237435.799</v>
      </c>
      <c r="S27" t="n">
        <v>108157495.396</v>
      </c>
      <c r="T27" t="n">
        <v>119151188.205</v>
      </c>
      <c r="U27" t="n">
        <v>129551798.974</v>
      </c>
      <c r="V27" t="n">
        <v>141451053.726</v>
      </c>
      <c r="W27" t="n">
        <v>156879409.698</v>
      </c>
      <c r="X27" t="n">
        <v>169819315.118</v>
      </c>
      <c r="Y27" t="n">
        <v>199508553.901</v>
      </c>
      <c r="Z27" t="n">
        <v>196697650.161</v>
      </c>
      <c r="AA27" t="n">
        <v>176691043.388</v>
      </c>
      <c r="AB27" t="n">
        <v>168717200.449</v>
      </c>
      <c r="AC27" t="n">
        <v>171950856.303</v>
      </c>
      <c r="AD27" t="n">
        <v>206668272.135</v>
      </c>
      <c r="AE27" t="n">
        <v>205842170.273</v>
      </c>
      <c r="AF27" t="n">
        <v>182946726.377</v>
      </c>
      <c r="AG27" t="n">
        <v>181485711.983</v>
      </c>
      <c r="AH27" t="n">
        <v>193036570.734</v>
      </c>
      <c r="AI27" t="n">
        <v>197867131.868</v>
      </c>
      <c r="AJ27" t="n">
        <v>207725281.541</v>
      </c>
      <c r="AK27" t="n">
        <v>187770066.93</v>
      </c>
      <c r="AL27" t="n">
        <v>194673104.451</v>
      </c>
      <c r="AM27" t="n">
        <v>212569598.648</v>
      </c>
      <c r="AN27" t="n">
        <v>236173918.906</v>
      </c>
      <c r="AO27" t="n">
        <v>225258476.641</v>
      </c>
      <c r="AP27" t="n">
        <v>216776929.568</v>
      </c>
      <c r="AQ27" t="n">
        <v>224525365.362</v>
      </c>
      <c r="AR27" t="n">
        <v>211455531.402</v>
      </c>
      <c r="AS27" t="n">
        <v>227387590.448</v>
      </c>
      <c r="AT27" t="n">
        <v>226586381.412</v>
      </c>
      <c r="AU27" t="n">
        <v>236895598.921</v>
      </c>
      <c r="AV27" t="n">
        <v>232531321.951</v>
      </c>
      <c r="AW27" t="n">
        <v>222822707.879</v>
      </c>
      <c r="AX27" t="n">
        <v>218404309.029</v>
      </c>
      <c r="AY27" t="n">
        <v>224496052.12</v>
      </c>
      <c r="AZ27" t="n">
        <v>243774898.829</v>
      </c>
      <c r="BA27" t="n">
        <v>254496515.264</v>
      </c>
      <c r="BB27" t="n">
        <v>239615280.795</v>
      </c>
      <c r="BC27" t="n">
        <v>235273533.453</v>
      </c>
      <c r="BD27" t="n">
        <v>241399700.064</v>
      </c>
      <c r="BE27" t="n">
        <v>234257926.024</v>
      </c>
      <c r="BF27" t="n">
        <v>234093513.214</v>
      </c>
      <c r="BG27" t="n">
        <v>231941706.2</v>
      </c>
      <c r="BH27" t="n">
        <v>211983029.677</v>
      </c>
      <c r="BI27" t="n">
        <v>192233546.393</v>
      </c>
      <c r="BJ27" t="n">
        <v>193124212.016</v>
      </c>
      <c r="BK27" t="n">
        <v>195559785.449</v>
      </c>
      <c r="BL27" t="n">
        <v>202950199.385</v>
      </c>
      <c r="BM27" t="n">
        <v>210739494.953</v>
      </c>
      <c r="BN27" t="n">
        <v>221904153.575</v>
      </c>
      <c r="BO27" t="n">
        <v>214265536.377</v>
      </c>
      <c r="BP27" t="n">
        <v>207877103.597</v>
      </c>
      <c r="BQ27" t="n">
        <v>208564171.692</v>
      </c>
      <c r="BR27" t="n">
        <v>207317465.801</v>
      </c>
      <c r="BS27" t="n">
        <v>214134191.306</v>
      </c>
      <c r="BT27" t="n">
        <v>210821206.302</v>
      </c>
    </row>
    <row r="28">
      <c r="A28" t="inlineStr">
        <is>
          <t>MC_new_TE_EEfix</t>
        </is>
      </c>
      <c r="B28" t="inlineStr">
        <is>
          <t>ok</t>
        </is>
      </c>
      <c r="C28" t="n">
        <v>69646231.79000001</v>
      </c>
      <c r="D28" t="n">
        <v>68628043.66500001</v>
      </c>
      <c r="E28" t="n">
        <v>69080141.98100001</v>
      </c>
      <c r="F28" t="n">
        <v>70236327.564</v>
      </c>
      <c r="G28" t="n">
        <v>79475789.65000001</v>
      </c>
      <c r="H28" t="n">
        <v>88362088.999</v>
      </c>
      <c r="I28" t="n">
        <v>91950356.361</v>
      </c>
      <c r="J28" t="n">
        <v>95545762.66500001</v>
      </c>
      <c r="K28" t="n">
        <v>109065567.639</v>
      </c>
      <c r="L28" t="n">
        <v>122139536.375</v>
      </c>
      <c r="M28" t="n">
        <v>143902754.11</v>
      </c>
      <c r="N28" t="n">
        <v>174053806.7</v>
      </c>
      <c r="O28" t="n">
        <v>204731742.006</v>
      </c>
      <c r="P28" t="n">
        <v>262774286.362</v>
      </c>
      <c r="Q28" t="n">
        <v>314120808.47</v>
      </c>
      <c r="R28" t="n">
        <v>421185447.388</v>
      </c>
      <c r="S28" t="n">
        <v>467138042.788</v>
      </c>
      <c r="T28" t="n">
        <v>536680489.857</v>
      </c>
      <c r="U28" t="n">
        <v>606347751.303</v>
      </c>
      <c r="V28" t="n">
        <v>695489495.624</v>
      </c>
      <c r="W28" t="n">
        <v>790107181.1390001</v>
      </c>
      <c r="X28" t="n">
        <v>854076946.944</v>
      </c>
      <c r="Y28" t="n">
        <v>1031050887.884</v>
      </c>
      <c r="Z28" t="n">
        <v>994764428.876</v>
      </c>
      <c r="AA28" t="n">
        <v>891779872.118</v>
      </c>
      <c r="AB28" t="n">
        <v>844166420.021</v>
      </c>
      <c r="AC28" t="n">
        <v>839866214.306</v>
      </c>
      <c r="AD28" t="n">
        <v>979664797.992</v>
      </c>
      <c r="AE28" t="n">
        <v>991544597.503</v>
      </c>
      <c r="AF28" t="n">
        <v>884334216.253</v>
      </c>
      <c r="AG28" t="n">
        <v>871503513.729</v>
      </c>
      <c r="AH28" t="n">
        <v>904178413.054</v>
      </c>
      <c r="AI28" t="n">
        <v>932485404.193</v>
      </c>
      <c r="AJ28" t="n">
        <v>939587723.383</v>
      </c>
      <c r="AK28" t="n">
        <v>863259941.156</v>
      </c>
      <c r="AL28" t="n">
        <v>899218965.526</v>
      </c>
      <c r="AM28" t="n">
        <v>1003193699.432</v>
      </c>
      <c r="AN28" t="n">
        <v>1127659762.536</v>
      </c>
      <c r="AO28" t="n">
        <v>1058741466.779</v>
      </c>
      <c r="AP28" t="n">
        <v>1009211206.865</v>
      </c>
      <c r="AQ28" t="n">
        <v>1051470452.844</v>
      </c>
      <c r="AR28" t="n">
        <v>980956775.159</v>
      </c>
      <c r="AS28" t="n">
        <v>1044166496.553</v>
      </c>
      <c r="AT28" t="n">
        <v>1069709813.308</v>
      </c>
      <c r="AU28" t="n">
        <v>1113407028.128</v>
      </c>
      <c r="AV28" t="n">
        <v>1100315607.716</v>
      </c>
      <c r="AW28" t="n">
        <v>1049761880.138</v>
      </c>
      <c r="AX28" t="n">
        <v>1028020556.843</v>
      </c>
      <c r="AY28" t="n">
        <v>1040583864.176</v>
      </c>
      <c r="AZ28" t="n">
        <v>1129170136.488</v>
      </c>
      <c r="BA28" t="n">
        <v>1162226062.2</v>
      </c>
      <c r="BB28" t="n">
        <v>1113835717.133</v>
      </c>
      <c r="BC28" t="n">
        <v>1094600359.833</v>
      </c>
      <c r="BD28" t="n">
        <v>1121174289.905</v>
      </c>
      <c r="BE28" t="n">
        <v>1081852948.77</v>
      </c>
      <c r="BF28" t="n">
        <v>1084959075.336</v>
      </c>
      <c r="BG28" t="n">
        <v>1066913763.715</v>
      </c>
      <c r="BH28" t="n">
        <v>978982038.1059999</v>
      </c>
      <c r="BI28" t="n">
        <v>880329742.018</v>
      </c>
      <c r="BJ28" t="n">
        <v>896337372.949</v>
      </c>
      <c r="BK28" t="n">
        <v>897947339.133</v>
      </c>
      <c r="BL28" t="n">
        <v>924048074.331</v>
      </c>
      <c r="BM28" t="n">
        <v>969770500.102</v>
      </c>
      <c r="BN28" t="n">
        <v>1023060164.737</v>
      </c>
      <c r="BO28" t="n">
        <v>984368399.271</v>
      </c>
      <c r="BP28" t="n">
        <v>956260353.615</v>
      </c>
      <c r="BQ28" t="n">
        <v>949799294.1289999</v>
      </c>
      <c r="BR28" t="n">
        <v>948374401.3789999</v>
      </c>
      <c r="BS28" t="n">
        <v>980404748.127</v>
      </c>
      <c r="BT28" t="n">
        <v>971401972.9069999</v>
      </c>
    </row>
    <row r="29">
      <c r="A29" t="inlineStr">
        <is>
          <t>SPPR_1995_TEmean_catch</t>
        </is>
      </c>
      <c r="B29" t="inlineStr">
        <is>
          <t>ok</t>
        </is>
      </c>
      <c r="C29" t="n">
        <v>9582694.765000001</v>
      </c>
      <c r="D29" t="n">
        <v>9850141.66</v>
      </c>
      <c r="E29" t="n">
        <v>9861640.227</v>
      </c>
      <c r="F29" t="n">
        <v>9957584.187999999</v>
      </c>
      <c r="G29" t="n">
        <v>11144472.711</v>
      </c>
      <c r="H29" t="n">
        <v>12226628.964</v>
      </c>
      <c r="I29" t="n">
        <v>12670265.041</v>
      </c>
      <c r="J29" t="n">
        <v>13103567.527</v>
      </c>
      <c r="K29" t="n">
        <v>14422404.657</v>
      </c>
      <c r="L29" t="n">
        <v>15659166.831</v>
      </c>
      <c r="M29" t="n">
        <v>17346454.883</v>
      </c>
      <c r="N29" t="n">
        <v>19521860.55</v>
      </c>
      <c r="O29" t="n">
        <v>22132421.62</v>
      </c>
      <c r="P29" t="n">
        <v>25922788.833</v>
      </c>
      <c r="Q29" t="n">
        <v>30035170.607</v>
      </c>
      <c r="R29" t="n">
        <v>37785492.938</v>
      </c>
      <c r="S29" t="n">
        <v>40183071.696</v>
      </c>
      <c r="T29" t="n">
        <v>43615940.976</v>
      </c>
      <c r="U29" t="n">
        <v>47158346.789</v>
      </c>
      <c r="V29" t="n">
        <v>50560587.486</v>
      </c>
      <c r="W29" t="n">
        <v>55626512.375</v>
      </c>
      <c r="X29" t="n">
        <v>60055384.5</v>
      </c>
      <c r="Y29" t="n">
        <v>68623164.53</v>
      </c>
      <c r="Z29" t="n">
        <v>68827421.914</v>
      </c>
      <c r="AA29" t="n">
        <v>61665581.323</v>
      </c>
      <c r="AB29" t="n">
        <v>59096651.055</v>
      </c>
      <c r="AC29" t="n">
        <v>61622150.757</v>
      </c>
      <c r="AD29" t="n">
        <v>75879019.221</v>
      </c>
      <c r="AE29" t="n">
        <v>74351063.711</v>
      </c>
      <c r="AF29" t="n">
        <v>65636705.101</v>
      </c>
      <c r="AG29" t="n">
        <v>65380547.085</v>
      </c>
      <c r="AH29" t="n">
        <v>70470739.277</v>
      </c>
      <c r="AI29" t="n">
        <v>71701451.146</v>
      </c>
      <c r="AJ29" t="n">
        <v>76925692.63600001</v>
      </c>
      <c r="AK29" t="n">
        <v>68716459.54000001</v>
      </c>
      <c r="AL29" t="n">
        <v>71266606.23899999</v>
      </c>
      <c r="AM29" t="n">
        <v>76824218.41</v>
      </c>
      <c r="AN29" t="n">
        <v>85154737.995</v>
      </c>
      <c r="AO29" t="n">
        <v>81683927.314</v>
      </c>
      <c r="AP29" t="n">
        <v>79084594.449</v>
      </c>
      <c r="AQ29" t="n">
        <v>81268078.082</v>
      </c>
      <c r="AR29" t="n">
        <v>77284879.436</v>
      </c>
      <c r="AS29" t="n">
        <v>84226969.377</v>
      </c>
      <c r="AT29" t="n">
        <v>82455558.064</v>
      </c>
      <c r="AU29" t="n">
        <v>86305174.976</v>
      </c>
      <c r="AV29" t="n">
        <v>84290976.88600001</v>
      </c>
      <c r="AW29" t="n">
        <v>81350476.7</v>
      </c>
      <c r="AX29" t="n">
        <v>79513796.314</v>
      </c>
      <c r="AY29" t="n">
        <v>82581941.649</v>
      </c>
      <c r="AZ29" t="n">
        <v>89479800.66</v>
      </c>
      <c r="BA29" t="n">
        <v>94076416.491</v>
      </c>
      <c r="BB29" t="n">
        <v>87289822.487</v>
      </c>
      <c r="BC29" t="n">
        <v>85379263.95900001</v>
      </c>
      <c r="BD29" t="n">
        <v>87622792.141</v>
      </c>
      <c r="BE29" t="n">
        <v>85324852.443</v>
      </c>
      <c r="BF29" t="n">
        <v>84739067.32700001</v>
      </c>
      <c r="BG29" t="n">
        <v>84198808.197</v>
      </c>
      <c r="BH29" t="n">
        <v>76878599.059</v>
      </c>
      <c r="BI29" t="n">
        <v>70025754.61</v>
      </c>
      <c r="BJ29" t="n">
        <v>69479979.817</v>
      </c>
      <c r="BK29" t="n">
        <v>70727598.27500001</v>
      </c>
      <c r="BL29" t="n">
        <v>73747966.28399999</v>
      </c>
      <c r="BM29" t="n">
        <v>75934919.484</v>
      </c>
      <c r="BN29" t="n">
        <v>79952155.62899999</v>
      </c>
      <c r="BO29" t="n">
        <v>77553702.234</v>
      </c>
      <c r="BP29" t="n">
        <v>74813236.874</v>
      </c>
      <c r="BQ29" t="n">
        <v>75311010.80400001</v>
      </c>
      <c r="BR29" t="n">
        <v>74604495.34</v>
      </c>
      <c r="BS29" t="n">
        <v>77269653.316</v>
      </c>
      <c r="BT29" t="n">
        <v>76080688.925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12913033.758</v>
      </c>
      <c r="D30" t="n">
        <v>13070622.804</v>
      </c>
      <c r="E30" t="n">
        <v>13117283.04</v>
      </c>
      <c r="F30" t="n">
        <v>13284500.483</v>
      </c>
      <c r="G30" t="n">
        <v>14934667.485</v>
      </c>
      <c r="H30" t="n">
        <v>16456336.826</v>
      </c>
      <c r="I30" t="n">
        <v>17065977.754</v>
      </c>
      <c r="J30" t="n">
        <v>17567097.725</v>
      </c>
      <c r="K30" t="n">
        <v>19606112.759</v>
      </c>
      <c r="L30" t="n">
        <v>21536646.255</v>
      </c>
      <c r="M30" t="n">
        <v>24176390.182</v>
      </c>
      <c r="N30" t="n">
        <v>27798828.912</v>
      </c>
      <c r="O30" t="n">
        <v>31502063.323</v>
      </c>
      <c r="P30" t="n">
        <v>37580944.556</v>
      </c>
      <c r="Q30" t="n">
        <v>43527790.936</v>
      </c>
      <c r="R30" t="n">
        <v>55047902.432</v>
      </c>
      <c r="S30" t="n">
        <v>58598837.469</v>
      </c>
      <c r="T30" t="n">
        <v>64040831.534</v>
      </c>
      <c r="U30" t="n">
        <v>69285390.854</v>
      </c>
      <c r="V30" t="n">
        <v>74827142.691</v>
      </c>
      <c r="W30" t="n">
        <v>82435459.458</v>
      </c>
      <c r="X30" t="n">
        <v>89177819.698</v>
      </c>
      <c r="Y30" t="n">
        <v>103282728.776</v>
      </c>
      <c r="Z30" t="n">
        <v>102522106.269</v>
      </c>
      <c r="AA30" t="n">
        <v>92307543.969</v>
      </c>
      <c r="AB30" t="n">
        <v>88312258.052</v>
      </c>
      <c r="AC30" t="n">
        <v>91224334.56200001</v>
      </c>
      <c r="AD30" t="n">
        <v>110527690.145</v>
      </c>
      <c r="AE30" t="n">
        <v>109422785.192</v>
      </c>
      <c r="AF30" t="n">
        <v>96613742.23800001</v>
      </c>
      <c r="AG30" t="n">
        <v>96588527.78399999</v>
      </c>
      <c r="AH30" t="n">
        <v>103492676.797</v>
      </c>
      <c r="AI30" t="n">
        <v>105403453.853</v>
      </c>
      <c r="AJ30" t="n">
        <v>111460698.729</v>
      </c>
      <c r="AK30" t="n">
        <v>100354924.859</v>
      </c>
      <c r="AL30" t="n">
        <v>104189914.712</v>
      </c>
      <c r="AM30" t="n">
        <v>113069618.879</v>
      </c>
      <c r="AN30" t="n">
        <v>125665735.771</v>
      </c>
      <c r="AO30" t="n">
        <v>120249824.976</v>
      </c>
      <c r="AP30" t="n">
        <v>115752239.737</v>
      </c>
      <c r="AQ30" t="n">
        <v>119823851.226</v>
      </c>
      <c r="AR30" t="n">
        <v>113194495.189</v>
      </c>
      <c r="AS30" t="n">
        <v>122342148.525</v>
      </c>
      <c r="AT30" t="n">
        <v>121222378.32</v>
      </c>
      <c r="AU30" t="n">
        <v>126569348.581</v>
      </c>
      <c r="AV30" t="n">
        <v>123831421.337</v>
      </c>
      <c r="AW30" t="n">
        <v>119150939.573</v>
      </c>
      <c r="AX30" t="n">
        <v>116593487.255</v>
      </c>
      <c r="AY30" t="n">
        <v>120343042.572</v>
      </c>
      <c r="AZ30" t="n">
        <v>130502914.765</v>
      </c>
      <c r="BA30" t="n">
        <v>136624189.116</v>
      </c>
      <c r="BB30" t="n">
        <v>127944211.062</v>
      </c>
      <c r="BC30" t="n">
        <v>125321322.783</v>
      </c>
      <c r="BD30" t="n">
        <v>128695530.502</v>
      </c>
      <c r="BE30" t="n">
        <v>125336381.076</v>
      </c>
      <c r="BF30" t="n">
        <v>124427584.395</v>
      </c>
      <c r="BG30" t="n">
        <v>123480810.933</v>
      </c>
      <c r="BH30" t="n">
        <v>112772362.304</v>
      </c>
      <c r="BI30" t="n">
        <v>101901741.95</v>
      </c>
      <c r="BJ30" t="n">
        <v>102137277.279</v>
      </c>
      <c r="BK30" t="n">
        <v>103729320.935</v>
      </c>
      <c r="BL30" t="n">
        <v>107701031.008</v>
      </c>
      <c r="BM30" t="n">
        <v>111603403.769</v>
      </c>
      <c r="BN30" t="n">
        <v>117459820.469</v>
      </c>
      <c r="BO30" t="n">
        <v>113600400.356</v>
      </c>
      <c r="BP30" t="n">
        <v>110248889.835</v>
      </c>
      <c r="BQ30" t="n">
        <v>110922396.774</v>
      </c>
      <c r="BR30" t="n">
        <v>110058989.644</v>
      </c>
      <c r="BS30" t="n">
        <v>113929731.543</v>
      </c>
      <c r="BT30" t="n">
        <v>112267558.108</v>
      </c>
    </row>
    <row r="32">
      <c r="A32" t="inlineStr">
        <is>
          <t>Catch tonnage on a named group: 151,940,826 of 151,964,195 (100.0 %). Unresolved taxa contribute nothing to the model rows and everything to the simple row, so the two are not directly comparable until coverage is 100 %.</t>
        </is>
      </c>
    </row>
    <row r="33">
      <c r="A33" s="18" t="inlineStr">
        <is>
          <t>6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99.98999999999999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99.95</v>
      </c>
      <c r="AH35" t="n">
        <v>99.93000000000001</v>
      </c>
      <c r="AI35" t="n">
        <v>99.95999999999999</v>
      </c>
      <c r="AJ35" t="n">
        <v>99.95</v>
      </c>
      <c r="AK35" t="n">
        <v>99.95</v>
      </c>
      <c r="AL35" t="n">
        <v>99.98999999999999</v>
      </c>
      <c r="AM35" t="n">
        <v>99.98999999999999</v>
      </c>
      <c r="AN35" t="n">
        <v>99.98999999999999</v>
      </c>
      <c r="AO35" t="n">
        <v>99.98999999999999</v>
      </c>
      <c r="AP35" t="n">
        <v>99.98999999999999</v>
      </c>
      <c r="AQ35" t="n">
        <v>99.98999999999999</v>
      </c>
      <c r="AR35" t="n">
        <v>99.98999999999999</v>
      </c>
      <c r="AS35" t="n">
        <v>99.98999999999999</v>
      </c>
      <c r="AT35" t="n">
        <v>99.98999999999999</v>
      </c>
      <c r="AU35" t="n">
        <v>99.98999999999999</v>
      </c>
      <c r="AV35" t="n">
        <v>99.98</v>
      </c>
      <c r="AW35" t="n">
        <v>99.98</v>
      </c>
      <c r="AX35" t="n">
        <v>99.97</v>
      </c>
      <c r="AY35" t="n">
        <v>99.98</v>
      </c>
      <c r="AZ35" t="n">
        <v>99.98</v>
      </c>
      <c r="BA35" t="n">
        <v>99.98999999999999</v>
      </c>
      <c r="BB35" t="n">
        <v>99.98999999999999</v>
      </c>
      <c r="BC35" t="n">
        <v>99.98999999999999</v>
      </c>
      <c r="BD35" t="n">
        <v>99.98999999999999</v>
      </c>
      <c r="BE35" t="n">
        <v>99.98999999999999</v>
      </c>
      <c r="BF35" t="n">
        <v>99.98</v>
      </c>
      <c r="BG35" t="n">
        <v>99.98</v>
      </c>
      <c r="BH35" t="n">
        <v>99.98</v>
      </c>
      <c r="BI35" t="n">
        <v>99.98</v>
      </c>
      <c r="BJ35" t="n">
        <v>99.98</v>
      </c>
      <c r="BK35" t="n">
        <v>99.98</v>
      </c>
      <c r="BL35" t="n">
        <v>99.98</v>
      </c>
      <c r="BM35" t="n">
        <v>99.97</v>
      </c>
      <c r="BN35" t="n">
        <v>99.97</v>
      </c>
      <c r="BO35" t="n">
        <v>99.97</v>
      </c>
      <c r="BP35" t="n">
        <v>99.97</v>
      </c>
      <c r="BQ35" t="n">
        <v>99.97</v>
      </c>
      <c r="BR35" t="n">
        <v>99.98</v>
      </c>
      <c r="BS35" t="n">
        <v>99.98</v>
      </c>
      <c r="BT35" t="n">
        <v>99.98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LME_035, model 35_412_Gulf_of_Thailande_(1963)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21" customHeight="1">
      <c r="A5" t="inlineStr">
        <is>
          <t>Nemipteridae</t>
        </is>
      </c>
      <c r="B5" t="n">
        <v>3.51</v>
      </c>
      <c r="C5" t="n">
        <v>323.593657</v>
      </c>
      <c r="D5" s="11" t="inlineStr">
        <is>
          <t>Med.dem.benth. | Sm.dem.benth.</t>
        </is>
      </c>
      <c r="H5" t="n">
        <v>115.729591</v>
      </c>
      <c r="I5" t="n">
        <v>140.258198</v>
      </c>
      <c r="J5" t="n">
        <v>140.258198</v>
      </c>
      <c r="K5" t="n">
        <v>123.671911</v>
      </c>
      <c r="L5" t="n">
        <v>518.039182</v>
      </c>
      <c r="M5" t="n">
        <v>487.521891</v>
      </c>
      <c r="N5" t="n">
        <v>487.521891</v>
      </c>
      <c r="O5" t="n">
        <v>53.768518</v>
      </c>
      <c r="P5" t="n">
        <v>24.954937</v>
      </c>
      <c r="W5" t="n">
        <v>54.609782</v>
      </c>
      <c r="X5" t="n">
        <v>550.246788</v>
      </c>
      <c r="Z5" t="n">
        <v>34.985314</v>
      </c>
    </row>
    <row r="6" ht="21" customHeight="1">
      <c r="A6" t="inlineStr">
        <is>
          <t>Synodontidae</t>
        </is>
      </c>
      <c r="B6" t="n">
        <v>4.3</v>
      </c>
      <c r="C6" t="n">
        <v>1995.262315</v>
      </c>
      <c r="D6" s="11" t="inlineStr">
        <is>
          <t>Med.dem.pisc.</t>
        </is>
      </c>
      <c r="H6" t="n">
        <v>155.33566</v>
      </c>
      <c r="I6" t="n">
        <v>128.379185</v>
      </c>
      <c r="J6" t="n">
        <v>128.379185</v>
      </c>
      <c r="K6" t="n">
        <v>126.665099</v>
      </c>
      <c r="L6" t="n">
        <v>445.224589</v>
      </c>
      <c r="M6" t="n">
        <v>418.545351</v>
      </c>
      <c r="N6" t="n">
        <v>418.545351</v>
      </c>
      <c r="O6" t="n">
        <v>63.857635</v>
      </c>
      <c r="P6" t="n">
        <v>28.35152</v>
      </c>
      <c r="W6" t="n">
        <v>65.503055</v>
      </c>
      <c r="X6" t="n">
        <v>471.535709</v>
      </c>
      <c r="Z6" t="n">
        <v>40.283509</v>
      </c>
    </row>
    <row r="7" ht="21" customHeight="1">
      <c r="A7" t="inlineStr">
        <is>
          <t>Leiognathidae</t>
        </is>
      </c>
      <c r="B7" t="n">
        <v>3.24</v>
      </c>
      <c r="C7" t="n">
        <v>173.780083</v>
      </c>
      <c r="D7" s="11" t="inlineStr">
        <is>
          <t>Ponyfishes</t>
        </is>
      </c>
      <c r="H7" t="n">
        <v>52.16736</v>
      </c>
      <c r="I7" t="n">
        <v>49.169549</v>
      </c>
      <c r="J7" t="n">
        <v>49.169549</v>
      </c>
      <c r="K7" t="n">
        <v>47.780249</v>
      </c>
      <c r="L7" t="n">
        <v>167.671166</v>
      </c>
      <c r="M7" t="n">
        <v>158.207025</v>
      </c>
      <c r="N7" t="n">
        <v>158.207025</v>
      </c>
      <c r="O7" t="n">
        <v>24.374737</v>
      </c>
      <c r="P7" t="n">
        <v>12.739675</v>
      </c>
      <c r="W7" t="n">
        <v>24.875478</v>
      </c>
      <c r="X7" t="n">
        <v>177.579863</v>
      </c>
      <c r="Z7" t="n">
        <v>18.864552</v>
      </c>
    </row>
    <row r="8" ht="21" customHeight="1">
      <c r="A8" t="inlineStr">
        <is>
          <t>Rastrelliger kanagurta</t>
        </is>
      </c>
      <c r="B8" t="n">
        <v>3.19</v>
      </c>
      <c r="C8" t="n">
        <v>154.881662</v>
      </c>
      <c r="D8" s="11" t="inlineStr">
        <is>
          <t>Mackerel</t>
        </is>
      </c>
      <c r="H8" t="n">
        <v>33.155531</v>
      </c>
      <c r="I8" t="n">
        <v>20.273647</v>
      </c>
      <c r="J8" t="n">
        <v>20.273647</v>
      </c>
      <c r="K8" t="n">
        <v>19.259964</v>
      </c>
      <c r="L8" t="n">
        <v>30.239099</v>
      </c>
      <c r="M8" t="n">
        <v>29.116795</v>
      </c>
      <c r="N8" t="n">
        <v>29.116795</v>
      </c>
      <c r="O8" t="n">
        <v>19.726316</v>
      </c>
      <c r="P8" t="n">
        <v>11.954059</v>
      </c>
      <c r="W8" t="n">
        <v>20.385039</v>
      </c>
      <c r="X8" t="n">
        <v>29.832435</v>
      </c>
      <c r="Z8" t="n">
        <v>15.467293</v>
      </c>
    </row>
    <row r="9" ht="36" customHeight="1">
      <c r="A9" t="inlineStr">
        <is>
          <t>Carangidae</t>
        </is>
      </c>
      <c r="B9" t="n">
        <v>4.05</v>
      </c>
      <c r="C9" t="n">
        <v>1122.018454</v>
      </c>
      <c r="D9" s="11" t="inlineStr">
        <is>
          <t>Juv.Lg.Pisciv. | Lg. piscivores | Scad</t>
        </is>
      </c>
      <c r="H9" t="n">
        <v>183.298005</v>
      </c>
      <c r="I9" t="n">
        <v>104.472705</v>
      </c>
      <c r="J9" t="n">
        <v>104.472705</v>
      </c>
      <c r="K9" t="n">
        <v>98.418076</v>
      </c>
      <c r="L9" t="n">
        <v>282.742219</v>
      </c>
      <c r="M9" t="n">
        <v>267.210758</v>
      </c>
      <c r="N9" t="n">
        <v>267.210758</v>
      </c>
      <c r="O9" t="n">
        <v>66.072671</v>
      </c>
      <c r="P9" t="n">
        <v>30.53048</v>
      </c>
      <c r="W9" t="n">
        <v>68.312742</v>
      </c>
      <c r="X9" t="n">
        <v>294.59362</v>
      </c>
      <c r="Z9" t="n">
        <v>51.789784</v>
      </c>
    </row>
    <row r="10" ht="51" customHeight="1">
      <c r="A10" t="inlineStr">
        <is>
          <t>Marine fishes not identified</t>
        </is>
      </c>
      <c r="B10" t="n">
        <v>3.28</v>
      </c>
      <c r="C10" t="n">
        <v>190.546072</v>
      </c>
      <c r="D10" s="11" t="inlineStr">
        <is>
          <t>Med.dem.benth. | Med.dem.pisc. | Sm.dem.benth. | Sm.dem.pisc. | O.fish</t>
        </is>
      </c>
      <c r="H10" t="n">
        <v>141.12383</v>
      </c>
      <c r="I10" t="n">
        <v>124.203751</v>
      </c>
      <c r="J10" t="n">
        <v>124.203751</v>
      </c>
      <c r="K10" t="n">
        <v>119.811472</v>
      </c>
      <c r="L10" t="n">
        <v>437.074857</v>
      </c>
      <c r="M10" t="n">
        <v>410.961047</v>
      </c>
      <c r="N10" t="n">
        <v>410.961047</v>
      </c>
      <c r="O10" t="n">
        <v>58.599411</v>
      </c>
      <c r="P10" t="n">
        <v>26.317868</v>
      </c>
      <c r="W10" t="n">
        <v>59.983424</v>
      </c>
      <c r="X10" t="n">
        <v>463.781454</v>
      </c>
      <c r="Z10" t="n">
        <v>37.875731</v>
      </c>
    </row>
    <row r="11" ht="21" customHeight="1">
      <c r="A11" t="inlineStr">
        <is>
          <t>Engraulidae</t>
        </is>
      </c>
      <c r="B11" t="n">
        <v>3.2</v>
      </c>
      <c r="C11" t="n">
        <v>158.489319</v>
      </c>
      <c r="D11" s="11" t="inlineStr">
        <is>
          <t>Sm. pelagics</t>
        </is>
      </c>
      <c r="H11" t="n">
        <v>33.155531</v>
      </c>
      <c r="I11" t="n">
        <v>20.273647</v>
      </c>
      <c r="J11" t="n">
        <v>20.273647</v>
      </c>
      <c r="K11" t="n">
        <v>19.259964</v>
      </c>
      <c r="L11" t="n">
        <v>30.239099</v>
      </c>
      <c r="M11" t="n">
        <v>29.116795</v>
      </c>
      <c r="N11" t="n">
        <v>29.116795</v>
      </c>
      <c r="O11" t="n">
        <v>19.726316</v>
      </c>
      <c r="P11" t="n">
        <v>11.954059</v>
      </c>
      <c r="W11" t="n">
        <v>20.400136</v>
      </c>
      <c r="X11" t="n">
        <v>29.971091</v>
      </c>
      <c r="Z11" t="n">
        <v>15.467293</v>
      </c>
    </row>
    <row r="12" ht="21" customHeight="1">
      <c r="A12" t="inlineStr">
        <is>
          <t>Sciaenidae</t>
        </is>
      </c>
      <c r="B12" t="n">
        <v>3.76</v>
      </c>
      <c r="C12" t="n">
        <v>575.439937</v>
      </c>
      <c r="D12" s="11" t="inlineStr">
        <is>
          <t>Med.dem.pisc.</t>
        </is>
      </c>
      <c r="H12" t="n">
        <v>155.33566</v>
      </c>
      <c r="I12" t="n">
        <v>128.379185</v>
      </c>
      <c r="J12" t="n">
        <v>128.379185</v>
      </c>
      <c r="K12" t="n">
        <v>126.665099</v>
      </c>
      <c r="L12" t="n">
        <v>445.224589</v>
      </c>
      <c r="M12" t="n">
        <v>418.545351</v>
      </c>
      <c r="N12" t="n">
        <v>418.545351</v>
      </c>
      <c r="O12" t="n">
        <v>63.857635</v>
      </c>
      <c r="P12" t="n">
        <v>28.35152</v>
      </c>
      <c r="W12" t="n">
        <v>65.503055</v>
      </c>
      <c r="X12" t="n">
        <v>471.535709</v>
      </c>
      <c r="Z12" t="n">
        <v>40.283509</v>
      </c>
    </row>
    <row r="13" ht="21" customHeight="1">
      <c r="A13" t="inlineStr">
        <is>
          <t>Sardinella</t>
        </is>
      </c>
      <c r="B13" t="n">
        <v>2.77</v>
      </c>
      <c r="C13" t="n">
        <v>58.884366</v>
      </c>
      <c r="D13" s="11" t="inlineStr">
        <is>
          <t>Sm. pelagics</t>
        </is>
      </c>
      <c r="H13" t="n">
        <v>33.155531</v>
      </c>
      <c r="I13" t="n">
        <v>20.273647</v>
      </c>
      <c r="J13" t="n">
        <v>20.273647</v>
      </c>
      <c r="K13" t="n">
        <v>19.259964</v>
      </c>
      <c r="L13" t="n">
        <v>30.239099</v>
      </c>
      <c r="M13" t="n">
        <v>29.116795</v>
      </c>
      <c r="N13" t="n">
        <v>29.116795</v>
      </c>
      <c r="O13" t="n">
        <v>19.726316</v>
      </c>
      <c r="P13" t="n">
        <v>11.954059</v>
      </c>
      <c r="W13" t="n">
        <v>20.400136</v>
      </c>
      <c r="X13" t="n">
        <v>29.971091</v>
      </c>
      <c r="Z13" t="n">
        <v>15.467293</v>
      </c>
    </row>
    <row r="14" ht="21" customHeight="1">
      <c r="A14" t="inlineStr">
        <is>
          <t>Platycephalidae</t>
        </is>
      </c>
      <c r="B14" t="n">
        <v>3.9</v>
      </c>
      <c r="C14" t="n">
        <v>794.3282349999999</v>
      </c>
      <c r="D14" s="11" t="inlineStr">
        <is>
          <t>Med.dem.pisc.</t>
        </is>
      </c>
      <c r="H14" t="n">
        <v>155.33566</v>
      </c>
      <c r="I14" t="n">
        <v>128.379185</v>
      </c>
      <c r="J14" t="n">
        <v>128.379185</v>
      </c>
      <c r="K14" t="n">
        <v>126.665099</v>
      </c>
      <c r="L14" t="n">
        <v>445.224589</v>
      </c>
      <c r="M14" t="n">
        <v>418.545351</v>
      </c>
      <c r="N14" t="n">
        <v>418.545351</v>
      </c>
      <c r="O14" t="n">
        <v>63.857635</v>
      </c>
      <c r="P14" t="n">
        <v>28.35152</v>
      </c>
      <c r="W14" t="n">
        <v>65.503055</v>
      </c>
      <c r="X14" t="n">
        <v>471.535709</v>
      </c>
      <c r="Z14" t="n">
        <v>40.283509</v>
      </c>
    </row>
    <row r="15" ht="21" customHeight="1">
      <c r="A15" t="inlineStr">
        <is>
          <t>Loliginidae</t>
        </is>
      </c>
      <c r="B15" t="n">
        <v>3.9</v>
      </c>
      <c r="C15" t="n">
        <v>794.3282349999999</v>
      </c>
      <c r="D15" s="11" t="inlineStr">
        <is>
          <t>Cephalopods</t>
        </is>
      </c>
      <c r="H15" t="n">
        <v>123.705654</v>
      </c>
      <c r="I15" t="n">
        <v>98.832763</v>
      </c>
      <c r="J15" t="n">
        <v>98.832763</v>
      </c>
      <c r="K15" t="n">
        <v>95.965153</v>
      </c>
      <c r="L15" t="n">
        <v>349.557692</v>
      </c>
      <c r="M15" t="n">
        <v>328.556033</v>
      </c>
      <c r="N15" t="n">
        <v>328.556033</v>
      </c>
      <c r="O15" t="n">
        <v>60.210877</v>
      </c>
      <c r="P15" t="n">
        <v>27.458851</v>
      </c>
      <c r="W15" t="n">
        <v>61.37127</v>
      </c>
      <c r="X15" t="n">
        <v>358.735586</v>
      </c>
      <c r="Z15" t="n">
        <v>35.265425</v>
      </c>
    </row>
    <row r="16" ht="21" customHeight="1">
      <c r="A16" t="inlineStr">
        <is>
          <t>Perna viridis</t>
        </is>
      </c>
      <c r="D16" s="11" t="inlineStr">
        <is>
          <t>Molluscs</t>
        </is>
      </c>
      <c r="H16" t="n">
        <v>12.4377</v>
      </c>
      <c r="I16" t="n">
        <v>8.212337</v>
      </c>
      <c r="J16" t="n">
        <v>8.212337</v>
      </c>
      <c r="K16" t="n">
        <v>7.391103</v>
      </c>
      <c r="L16" t="n">
        <v>10.549912</v>
      </c>
      <c r="M16" t="n">
        <v>10.286656</v>
      </c>
      <c r="N16" t="n">
        <v>10.286656</v>
      </c>
      <c r="O16" t="n">
        <v>7.494737</v>
      </c>
      <c r="P16" t="n">
        <v>5.145347</v>
      </c>
      <c r="W16" t="n">
        <v>7.580281</v>
      </c>
      <c r="X16" t="n">
        <v>10.586653</v>
      </c>
      <c r="Z16" t="n">
        <v>6.884003</v>
      </c>
    </row>
    <row r="17" ht="21" customHeight="1">
      <c r="A17" t="inlineStr">
        <is>
          <t>Penaeus</t>
        </is>
      </c>
      <c r="B17" t="n">
        <v>2.7</v>
      </c>
      <c r="C17" t="n">
        <v>50.118723</v>
      </c>
      <c r="D17" s="11" t="inlineStr">
        <is>
          <t>Shrimps</t>
        </is>
      </c>
      <c r="H17" t="n">
        <v>29.428499</v>
      </c>
      <c r="I17" t="n">
        <v>30.201348</v>
      </c>
      <c r="J17" t="n">
        <v>30.201348</v>
      </c>
      <c r="K17" t="n">
        <v>28.691281</v>
      </c>
      <c r="L17" t="n">
        <v>110.883242</v>
      </c>
      <c r="M17" t="n">
        <v>103.574278</v>
      </c>
      <c r="N17" t="n">
        <v>103.574278</v>
      </c>
      <c r="O17" t="n">
        <v>13.035789</v>
      </c>
      <c r="P17" t="n">
        <v>6.34711</v>
      </c>
      <c r="W17" t="n">
        <v>13.241537</v>
      </c>
      <c r="X17" t="n">
        <v>117.005531</v>
      </c>
      <c r="Z17" t="n">
        <v>9.725251</v>
      </c>
    </row>
    <row r="18" ht="21" customHeight="1">
      <c r="A18" t="inlineStr">
        <is>
          <t>Scombridae</t>
        </is>
      </c>
      <c r="B18" t="n">
        <v>4.26</v>
      </c>
      <c r="C18" t="n">
        <v>1819.700859</v>
      </c>
      <c r="D18" s="11" t="inlineStr">
        <is>
          <t>Mackerel | Scomberomorus | Tuna</t>
        </is>
      </c>
      <c r="H18" t="n">
        <v>149.242112</v>
      </c>
      <c r="I18" t="n">
        <v>76.039339</v>
      </c>
      <c r="J18" t="n">
        <v>76.039339</v>
      </c>
      <c r="K18" t="n">
        <v>72.23737199999999</v>
      </c>
      <c r="L18" t="n">
        <v>174.520296</v>
      </c>
      <c r="M18" t="n">
        <v>165.575701</v>
      </c>
      <c r="N18" t="n">
        <v>165.575701</v>
      </c>
      <c r="O18" t="n">
        <v>54.820163</v>
      </c>
      <c r="P18" t="n">
        <v>25.522358</v>
      </c>
      <c r="W18" t="n">
        <v>57.280566</v>
      </c>
      <c r="X18" t="n">
        <v>181.617024</v>
      </c>
      <c r="Z18" t="n">
        <v>39.783159</v>
      </c>
    </row>
    <row r="19" ht="21" customHeight="1">
      <c r="A19" t="inlineStr">
        <is>
          <t>Sepiidae</t>
        </is>
      </c>
      <c r="B19" t="n">
        <v>3.6</v>
      </c>
      <c r="C19" t="n">
        <v>398.107171</v>
      </c>
      <c r="D19" s="11" t="inlineStr">
        <is>
          <t>Cephalopods</t>
        </is>
      </c>
      <c r="H19" t="n">
        <v>123.705654</v>
      </c>
      <c r="I19" t="n">
        <v>98.832763</v>
      </c>
      <c r="J19" t="n">
        <v>98.832763</v>
      </c>
      <c r="K19" t="n">
        <v>95.965153</v>
      </c>
      <c r="L19" t="n">
        <v>349.557692</v>
      </c>
      <c r="M19" t="n">
        <v>328.556033</v>
      </c>
      <c r="N19" t="n">
        <v>328.556033</v>
      </c>
      <c r="O19" t="n">
        <v>60.210877</v>
      </c>
      <c r="P19" t="n">
        <v>27.458851</v>
      </c>
      <c r="W19" t="n">
        <v>61.37127</v>
      </c>
      <c r="X19" t="n">
        <v>358.735586</v>
      </c>
      <c r="Z19" t="n">
        <v>35.265425</v>
      </c>
    </row>
    <row r="20" ht="21" customHeight="1">
      <c r="A20" t="inlineStr">
        <is>
          <t>Priacanthus</t>
        </is>
      </c>
      <c r="B20" t="n">
        <v>3.81</v>
      </c>
      <c r="C20" t="n">
        <v>645.654229</v>
      </c>
      <c r="D20" s="11" t="inlineStr">
        <is>
          <t>Sm.dem.pisc.</t>
        </is>
      </c>
      <c r="H20" t="n">
        <v>122.904552</v>
      </c>
      <c r="I20" t="n">
        <v>93.21507200000001</v>
      </c>
      <c r="J20" t="n">
        <v>93.21507200000001</v>
      </c>
      <c r="K20" t="n">
        <v>91.37699600000001</v>
      </c>
      <c r="L20" t="n">
        <v>329.659655</v>
      </c>
      <c r="M20" t="n">
        <v>309.636678</v>
      </c>
      <c r="N20" t="n">
        <v>309.636678</v>
      </c>
      <c r="O20" t="n">
        <v>43.487158</v>
      </c>
      <c r="P20" t="n">
        <v>19.855194</v>
      </c>
      <c r="W20" t="n">
        <v>44.41051</v>
      </c>
      <c r="X20" t="n">
        <v>355.505872</v>
      </c>
      <c r="Z20" t="n">
        <v>34.257735</v>
      </c>
    </row>
    <row r="21" ht="21" customHeight="1">
      <c r="A21" t="inlineStr">
        <is>
          <t>Penaeidae</t>
        </is>
      </c>
      <c r="B21" t="n">
        <v>3.31</v>
      </c>
      <c r="C21" t="n">
        <v>204.173794</v>
      </c>
      <c r="D21" s="11" t="inlineStr">
        <is>
          <t>Shrimps</t>
        </is>
      </c>
      <c r="H21" t="n">
        <v>29.428499</v>
      </c>
      <c r="I21" t="n">
        <v>30.201348</v>
      </c>
      <c r="J21" t="n">
        <v>30.201348</v>
      </c>
      <c r="K21" t="n">
        <v>28.691281</v>
      </c>
      <c r="L21" t="n">
        <v>110.883242</v>
      </c>
      <c r="M21" t="n">
        <v>103.574278</v>
      </c>
      <c r="N21" t="n">
        <v>103.574278</v>
      </c>
      <c r="O21" t="n">
        <v>13.035789</v>
      </c>
      <c r="P21" t="n">
        <v>6.34711</v>
      </c>
      <c r="W21" t="n">
        <v>13.241537</v>
      </c>
      <c r="X21" t="n">
        <v>117.005531</v>
      </c>
      <c r="Z21" t="n">
        <v>9.725251</v>
      </c>
    </row>
    <row r="22" ht="21" customHeight="1">
      <c r="A22" t="inlineStr">
        <is>
          <t>Rastrelliger</t>
        </is>
      </c>
      <c r="B22" t="n">
        <v>3.1</v>
      </c>
      <c r="C22" t="n">
        <v>125.892541</v>
      </c>
      <c r="D22" s="11" t="inlineStr">
        <is>
          <t>Mackerel</t>
        </is>
      </c>
      <c r="H22" t="n">
        <v>33.155531</v>
      </c>
      <c r="I22" t="n">
        <v>20.273647</v>
      </c>
      <c r="J22" t="n">
        <v>20.273647</v>
      </c>
      <c r="K22" t="n">
        <v>19.259964</v>
      </c>
      <c r="L22" t="n">
        <v>30.239099</v>
      </c>
      <c r="M22" t="n">
        <v>29.116795</v>
      </c>
      <c r="N22" t="n">
        <v>29.116795</v>
      </c>
      <c r="O22" t="n">
        <v>19.726316</v>
      </c>
      <c r="P22" t="n">
        <v>11.954059</v>
      </c>
      <c r="W22" t="n">
        <v>20.385039</v>
      </c>
      <c r="X22" t="n">
        <v>29.832435</v>
      </c>
      <c r="Z22" t="n">
        <v>15.467293</v>
      </c>
    </row>
    <row r="23" ht="21" customHeight="1">
      <c r="A23" t="inlineStr">
        <is>
          <t>Decapterus russelli</t>
        </is>
      </c>
      <c r="B23" t="n">
        <v>3.68</v>
      </c>
      <c r="C23" t="n">
        <v>478.630092</v>
      </c>
      <c r="D23" s="11" t="inlineStr">
        <is>
          <t>Scad</t>
        </is>
      </c>
      <c r="H23" t="n">
        <v>145.170044</v>
      </c>
      <c r="I23" t="n">
        <v>76.903182</v>
      </c>
      <c r="J23" t="n">
        <v>76.903182</v>
      </c>
      <c r="K23" t="n">
        <v>73.05802300000001</v>
      </c>
      <c r="L23" t="n">
        <v>191.130934</v>
      </c>
      <c r="M23" t="n">
        <v>180.938887</v>
      </c>
      <c r="N23" t="n">
        <v>180.938887</v>
      </c>
      <c r="O23" t="n">
        <v>53.732211</v>
      </c>
      <c r="P23" t="n">
        <v>26.039803</v>
      </c>
      <c r="W23" t="n">
        <v>55.581599</v>
      </c>
      <c r="X23" t="n">
        <v>196.807436</v>
      </c>
      <c r="Z23" t="n">
        <v>45.000238</v>
      </c>
    </row>
    <row r="24" ht="21" customHeight="1">
      <c r="A24" t="inlineStr">
        <is>
          <t>Nemipterus</t>
        </is>
      </c>
      <c r="B24" t="n">
        <v>3.72</v>
      </c>
      <c r="C24" t="n">
        <v>524.80746</v>
      </c>
      <c r="D24" s="11" t="inlineStr">
        <is>
          <t>Sm.dem.benth.</t>
        </is>
      </c>
      <c r="H24" t="n">
        <v>85.26248099999999</v>
      </c>
      <c r="I24" t="n">
        <v>87.40013</v>
      </c>
      <c r="J24" t="n">
        <v>87.40013</v>
      </c>
      <c r="K24" t="n">
        <v>73.65420399999999</v>
      </c>
      <c r="L24" t="n">
        <v>308.045854</v>
      </c>
      <c r="M24" t="n">
        <v>289.86806</v>
      </c>
      <c r="N24" t="n">
        <v>289.86806</v>
      </c>
      <c r="O24" t="n">
        <v>35.580632</v>
      </c>
      <c r="P24" t="n">
        <v>17.310642</v>
      </c>
      <c r="W24" t="n">
        <v>36.030766</v>
      </c>
      <c r="X24" t="n">
        <v>325.833864</v>
      </c>
      <c r="Z24" t="n">
        <v>27.099073</v>
      </c>
    </row>
    <row r="25" ht="21" customHeight="1">
      <c r="A25" t="inlineStr">
        <is>
          <t>Portunus pelagicus</t>
        </is>
      </c>
      <c r="B25" t="n">
        <v>2.48</v>
      </c>
      <c r="C25" t="n">
        <v>30.199517</v>
      </c>
      <c r="D25" s="11" t="inlineStr">
        <is>
          <t>Crab, lobster</t>
        </is>
      </c>
      <c r="H25" t="n">
        <v>64.54244300000001</v>
      </c>
      <c r="I25" t="n">
        <v>77.512685</v>
      </c>
      <c r="J25" t="n">
        <v>77.512685</v>
      </c>
      <c r="K25" t="n">
        <v>66.489323</v>
      </c>
      <c r="L25" t="n">
        <v>295.897518</v>
      </c>
      <c r="M25" t="n">
        <v>277.943826</v>
      </c>
      <c r="N25" t="n">
        <v>277.943826</v>
      </c>
      <c r="O25" t="n">
        <v>27.221053</v>
      </c>
      <c r="P25" t="n">
        <v>12.636092</v>
      </c>
      <c r="W25" t="n">
        <v>27.422905</v>
      </c>
      <c r="X25" t="n">
        <v>312.087764</v>
      </c>
      <c r="Z25" t="n">
        <v>20.139757</v>
      </c>
    </row>
    <row r="26" ht="21" customHeight="1">
      <c r="A26" t="inlineStr">
        <is>
          <t>Veneridae</t>
        </is>
      </c>
      <c r="B26" t="n">
        <v>2</v>
      </c>
      <c r="C26" t="n">
        <v>10</v>
      </c>
      <c r="D26" s="11" t="inlineStr">
        <is>
          <t>Molluscs</t>
        </is>
      </c>
      <c r="H26" t="n">
        <v>12.4377</v>
      </c>
      <c r="I26" t="n">
        <v>8.212337</v>
      </c>
      <c r="J26" t="n">
        <v>8.212337</v>
      </c>
      <c r="K26" t="n">
        <v>7.391103</v>
      </c>
      <c r="L26" t="n">
        <v>10.549912</v>
      </c>
      <c r="M26" t="n">
        <v>10.286656</v>
      </c>
      <c r="N26" t="n">
        <v>10.286656</v>
      </c>
      <c r="O26" t="n">
        <v>7.494737</v>
      </c>
      <c r="P26" t="n">
        <v>5.145347</v>
      </c>
      <c r="W26" t="n">
        <v>7.580281</v>
      </c>
      <c r="X26" t="n">
        <v>10.586653</v>
      </c>
      <c r="Z26" t="n">
        <v>6.884003</v>
      </c>
    </row>
    <row r="27" ht="21" customHeight="1">
      <c r="A27" t="inlineStr">
        <is>
          <t>Saurida</t>
        </is>
      </c>
      <c r="B27" t="n">
        <v>4.35</v>
      </c>
      <c r="C27" t="n">
        <v>2238.721139</v>
      </c>
      <c r="D27" s="11" t="inlineStr">
        <is>
          <t>Med.dem.pisc.</t>
        </is>
      </c>
      <c r="H27" t="n">
        <v>155.33566</v>
      </c>
      <c r="I27" t="n">
        <v>128.379185</v>
      </c>
      <c r="J27" t="n">
        <v>128.379185</v>
      </c>
      <c r="K27" t="n">
        <v>126.665099</v>
      </c>
      <c r="L27" t="n">
        <v>445.224589</v>
      </c>
      <c r="M27" t="n">
        <v>418.545351</v>
      </c>
      <c r="N27" t="n">
        <v>418.545351</v>
      </c>
      <c r="O27" t="n">
        <v>63.857635</v>
      </c>
      <c r="P27" t="n">
        <v>28.35152</v>
      </c>
      <c r="W27" t="n">
        <v>65.503055</v>
      </c>
      <c r="X27" t="n">
        <v>471.535709</v>
      </c>
      <c r="Z27" t="n">
        <v>40.283509</v>
      </c>
    </row>
    <row r="28" ht="21" customHeight="1">
      <c r="A28" t="inlineStr">
        <is>
          <t>Decapterus</t>
        </is>
      </c>
      <c r="B28" t="n">
        <v>3.63</v>
      </c>
      <c r="C28" t="n">
        <v>426.579519</v>
      </c>
      <c r="D28" s="11" t="inlineStr">
        <is>
          <t>Scad</t>
        </is>
      </c>
      <c r="H28" t="n">
        <v>145.170044</v>
      </c>
      <c r="I28" t="n">
        <v>76.903182</v>
      </c>
      <c r="J28" t="n">
        <v>76.903182</v>
      </c>
      <c r="K28" t="n">
        <v>73.05802300000001</v>
      </c>
      <c r="L28" t="n">
        <v>191.130934</v>
      </c>
      <c r="M28" t="n">
        <v>180.938887</v>
      </c>
      <c r="N28" t="n">
        <v>180.938887</v>
      </c>
      <c r="O28" t="n">
        <v>53.732211</v>
      </c>
      <c r="P28" t="n">
        <v>26.039803</v>
      </c>
      <c r="W28" t="n">
        <v>55.581599</v>
      </c>
      <c r="X28" t="n">
        <v>196.807436</v>
      </c>
      <c r="Z28" t="n">
        <v>45.000238</v>
      </c>
    </row>
    <row r="29" ht="21" customHeight="1">
      <c r="A29" t="inlineStr">
        <is>
          <t>Stolephorus</t>
        </is>
      </c>
      <c r="B29" t="n">
        <v>3.44</v>
      </c>
      <c r="C29" t="n">
        <v>275.42287</v>
      </c>
      <c r="D29" s="11" t="inlineStr">
        <is>
          <t>Sm. pelagics</t>
        </is>
      </c>
      <c r="H29" t="n">
        <v>33.155531</v>
      </c>
      <c r="I29" t="n">
        <v>20.273647</v>
      </c>
      <c r="J29" t="n">
        <v>20.273647</v>
      </c>
      <c r="K29" t="n">
        <v>19.259964</v>
      </c>
      <c r="L29" t="n">
        <v>30.239099</v>
      </c>
      <c r="M29" t="n">
        <v>29.116795</v>
      </c>
      <c r="N29" t="n">
        <v>29.116795</v>
      </c>
      <c r="O29" t="n">
        <v>19.726316</v>
      </c>
      <c r="P29" t="n">
        <v>11.954059</v>
      </c>
      <c r="W29" t="n">
        <v>20.400136</v>
      </c>
      <c r="X29" t="n">
        <v>29.971091</v>
      </c>
      <c r="Z29" t="n">
        <v>15.467293</v>
      </c>
    </row>
    <row r="30" ht="21" customHeight="1">
      <c r="A30" t="inlineStr">
        <is>
          <t>Cephea</t>
        </is>
      </c>
      <c r="B30" t="n">
        <v>3.46</v>
      </c>
      <c r="C30" t="n">
        <v>288.40315</v>
      </c>
      <c r="D30" s="11" t="inlineStr">
        <is>
          <t>Jellyfish</t>
        </is>
      </c>
      <c r="H30" t="n">
        <v>36.115221</v>
      </c>
      <c r="I30" t="n">
        <v>0</v>
      </c>
      <c r="J30" t="n">
        <v>5.238879</v>
      </c>
      <c r="L30" t="n">
        <v>0</v>
      </c>
      <c r="M30" t="n">
        <v>0</v>
      </c>
      <c r="N30" t="n">
        <v>0</v>
      </c>
      <c r="O30" t="n">
        <v>21.473684</v>
      </c>
      <c r="P30" t="n">
        <v>12.926733</v>
      </c>
      <c r="W30" t="n">
        <v>21.770807</v>
      </c>
      <c r="X30" t="n">
        <v>0</v>
      </c>
      <c r="Z30" t="n">
        <v>16.693478</v>
      </c>
    </row>
    <row r="31" ht="21" customHeight="1">
      <c r="A31" t="inlineStr">
        <is>
          <t>Scomberomorus guttatus</t>
        </is>
      </c>
      <c r="B31" t="n">
        <v>4.28</v>
      </c>
      <c r="C31" t="n">
        <v>1905.460718</v>
      </c>
      <c r="D31" s="11" t="inlineStr">
        <is>
          <t>Scomberomorus</t>
        </is>
      </c>
      <c r="H31" t="n">
        <v>379.212004</v>
      </c>
      <c r="I31" t="n">
        <v>198.00731</v>
      </c>
      <c r="J31" t="n">
        <v>198.00731</v>
      </c>
      <c r="K31" t="n">
        <v>188.106944</v>
      </c>
      <c r="L31" t="n">
        <v>510.434635</v>
      </c>
      <c r="M31" t="n">
        <v>482.657057</v>
      </c>
      <c r="N31" t="n">
        <v>482.657057</v>
      </c>
      <c r="O31" t="n">
        <v>132.608509</v>
      </c>
      <c r="P31" t="n">
        <v>56.265654</v>
      </c>
      <c r="W31" t="n">
        <v>138.408302</v>
      </c>
      <c r="X31" t="n">
        <v>535.480646</v>
      </c>
      <c r="Z31" t="n">
        <v>91.36308099999999</v>
      </c>
    </row>
    <row r="32" ht="21" customHeight="1">
      <c r="A32" t="inlineStr">
        <is>
          <t>Sparidae</t>
        </is>
      </c>
      <c r="B32" t="n">
        <v>3.31</v>
      </c>
      <c r="C32" t="n">
        <v>204.173794</v>
      </c>
      <c r="D32" s="11" t="inlineStr">
        <is>
          <t>Med.dem.benth.</t>
        </is>
      </c>
      <c r="H32" t="n">
        <v>136.909799</v>
      </c>
      <c r="I32" t="n">
        <v>177.004212</v>
      </c>
      <c r="J32" t="n">
        <v>177.004212</v>
      </c>
      <c r="K32" t="n">
        <v>158.443355</v>
      </c>
      <c r="L32" t="n">
        <v>664.022909</v>
      </c>
      <c r="M32" t="n">
        <v>624.927413</v>
      </c>
      <c r="N32" t="n">
        <v>624.927413</v>
      </c>
      <c r="O32" t="n">
        <v>66.41242099999999</v>
      </c>
      <c r="P32" t="n">
        <v>30.269118</v>
      </c>
      <c r="W32" t="n">
        <v>67.525592</v>
      </c>
      <c r="X32" t="n">
        <v>706.254767</v>
      </c>
      <c r="Z32" t="n">
        <v>40.467693</v>
      </c>
    </row>
    <row r="33" ht="21" customHeight="1">
      <c r="A33" t="inlineStr">
        <is>
          <t>Megalaspis cordyla</t>
        </is>
      </c>
      <c r="B33" t="n">
        <v>4.24</v>
      </c>
      <c r="C33" t="n">
        <v>1737.800829</v>
      </c>
      <c r="D33" s="11" t="inlineStr">
        <is>
          <t>Scad</t>
        </is>
      </c>
      <c r="H33" t="n">
        <v>145.170044</v>
      </c>
      <c r="I33" t="n">
        <v>76.903182</v>
      </c>
      <c r="J33" t="n">
        <v>76.903182</v>
      </c>
      <c r="K33" t="n">
        <v>73.05802300000001</v>
      </c>
      <c r="L33" t="n">
        <v>191.130934</v>
      </c>
      <c r="M33" t="n">
        <v>180.938887</v>
      </c>
      <c r="N33" t="n">
        <v>180.938887</v>
      </c>
      <c r="O33" t="n">
        <v>53.732211</v>
      </c>
      <c r="P33" t="n">
        <v>26.039803</v>
      </c>
      <c r="W33" t="n">
        <v>55.581599</v>
      </c>
      <c r="X33" t="n">
        <v>196.807436</v>
      </c>
      <c r="Z33" t="n">
        <v>45.000238</v>
      </c>
    </row>
    <row r="34" ht="21" customHeight="1">
      <c r="A34" t="inlineStr">
        <is>
          <t>Mugilidae</t>
        </is>
      </c>
      <c r="B34" t="n">
        <v>2.53</v>
      </c>
      <c r="C34" t="n">
        <v>33.884416</v>
      </c>
      <c r="D34" s="11" t="inlineStr">
        <is>
          <t>O.fish</t>
        </is>
      </c>
      <c r="H34" t="n">
        <v>42.929607</v>
      </c>
      <c r="I34" t="n">
        <v>39.536769</v>
      </c>
      <c r="J34" t="n">
        <v>39.536769</v>
      </c>
      <c r="K34" t="n">
        <v>39.483541</v>
      </c>
      <c r="L34" t="n">
        <v>135.960121</v>
      </c>
      <c r="M34" t="n">
        <v>127.952962</v>
      </c>
      <c r="N34" t="n">
        <v>127.952962</v>
      </c>
      <c r="O34" t="n">
        <v>19.978947</v>
      </c>
      <c r="P34" t="n">
        <v>10.349729</v>
      </c>
      <c r="W34" t="n">
        <v>20.259997</v>
      </c>
      <c r="X34" t="n">
        <v>144.304672</v>
      </c>
      <c r="Z34" t="n">
        <v>15.351157</v>
      </c>
    </row>
    <row r="35" ht="21" customHeight="1">
      <c r="A35" t="inlineStr">
        <is>
          <t>Thunnus tonggol</t>
        </is>
      </c>
      <c r="B35" t="n">
        <v>4.5</v>
      </c>
      <c r="C35" t="n">
        <v>3162.27766</v>
      </c>
      <c r="D35" s="11" t="inlineStr">
        <is>
          <t>Tuna</t>
        </is>
      </c>
      <c r="H35" t="n">
        <v>607.7580799999999</v>
      </c>
      <c r="I35" t="n">
        <v>280.575009</v>
      </c>
      <c r="J35" t="n">
        <v>280.575009</v>
      </c>
      <c r="K35" t="n">
        <v>266.546258</v>
      </c>
      <c r="L35" t="n">
        <v>675.870038</v>
      </c>
      <c r="M35" t="n">
        <v>640.5943130000001</v>
      </c>
      <c r="N35" t="n">
        <v>640.5943130000001</v>
      </c>
      <c r="O35" t="n">
        <v>182.123293</v>
      </c>
      <c r="P35" t="n">
        <v>73.82745199999999</v>
      </c>
      <c r="W35" t="n">
        <v>192.014278</v>
      </c>
      <c r="X35" t="n">
        <v>708.383019</v>
      </c>
      <c r="Z35" t="n">
        <v>131.160567</v>
      </c>
    </row>
    <row r="36" ht="21" customHeight="1">
      <c r="A36" t="inlineStr">
        <is>
          <t>Selaroides leptolepis</t>
        </is>
      </c>
      <c r="B36" t="n">
        <v>3.84</v>
      </c>
      <c r="C36" t="n">
        <v>691.830971</v>
      </c>
      <c r="D36" s="11" t="inlineStr">
        <is>
          <t>Scad</t>
        </is>
      </c>
      <c r="H36" t="n">
        <v>145.170044</v>
      </c>
      <c r="I36" t="n">
        <v>76.903182</v>
      </c>
      <c r="J36" t="n">
        <v>76.903182</v>
      </c>
      <c r="K36" t="n">
        <v>73.05802300000001</v>
      </c>
      <c r="L36" t="n">
        <v>191.130934</v>
      </c>
      <c r="M36" t="n">
        <v>180.938887</v>
      </c>
      <c r="N36" t="n">
        <v>180.938887</v>
      </c>
      <c r="O36" t="n">
        <v>53.732211</v>
      </c>
      <c r="P36" t="n">
        <v>26.039803</v>
      </c>
      <c r="W36" t="n">
        <v>55.581599</v>
      </c>
      <c r="X36" t="n">
        <v>196.807436</v>
      </c>
      <c r="Z36" t="n">
        <v>45.000238</v>
      </c>
    </row>
    <row r="37" ht="21" customHeight="1">
      <c r="A37" t="inlineStr">
        <is>
          <t>Dendrobranchiata</t>
        </is>
      </c>
      <c r="B37" t="n">
        <v>3.24</v>
      </c>
      <c r="C37" t="n">
        <v>173.780083</v>
      </c>
      <c r="D37" s="11" t="inlineStr">
        <is>
          <t>Shrimps</t>
        </is>
      </c>
      <c r="H37" t="n">
        <v>29.428499</v>
      </c>
      <c r="I37" t="n">
        <v>30.201348</v>
      </c>
      <c r="J37" t="n">
        <v>30.201348</v>
      </c>
      <c r="K37" t="n">
        <v>28.691281</v>
      </c>
      <c r="L37" t="n">
        <v>110.883242</v>
      </c>
      <c r="M37" t="n">
        <v>103.574278</v>
      </c>
      <c r="N37" t="n">
        <v>103.574278</v>
      </c>
      <c r="O37" t="n">
        <v>13.035789</v>
      </c>
      <c r="P37" t="n">
        <v>6.34711</v>
      </c>
      <c r="W37" t="n">
        <v>13.241537</v>
      </c>
      <c r="X37" t="n">
        <v>117.005531</v>
      </c>
      <c r="Z37" t="n">
        <v>9.725251</v>
      </c>
    </row>
    <row r="38" ht="21" customHeight="1">
      <c r="A38" t="inlineStr">
        <is>
          <t>Ariidae</t>
        </is>
      </c>
      <c r="B38" t="n">
        <v>3.48</v>
      </c>
      <c r="C38" t="n">
        <v>301.995172</v>
      </c>
      <c r="D38" s="11" t="inlineStr">
        <is>
          <t>Med.dem.benth.</t>
        </is>
      </c>
      <c r="H38" t="n">
        <v>136.909799</v>
      </c>
      <c r="I38" t="n">
        <v>177.004212</v>
      </c>
      <c r="J38" t="n">
        <v>177.004212</v>
      </c>
      <c r="K38" t="n">
        <v>158.443355</v>
      </c>
      <c r="L38" t="n">
        <v>664.022909</v>
      </c>
      <c r="M38" t="n">
        <v>624.927413</v>
      </c>
      <c r="N38" t="n">
        <v>624.927413</v>
      </c>
      <c r="O38" t="n">
        <v>66.41242099999999</v>
      </c>
      <c r="P38" t="n">
        <v>30.269118</v>
      </c>
      <c r="W38" t="n">
        <v>67.525592</v>
      </c>
      <c r="X38" t="n">
        <v>706.254767</v>
      </c>
      <c r="Z38" t="n">
        <v>40.467693</v>
      </c>
    </row>
    <row r="39" ht="21" customHeight="1">
      <c r="A39" t="inlineStr">
        <is>
          <t>Scomberomorus</t>
        </is>
      </c>
      <c r="B39" t="n">
        <v>4.35</v>
      </c>
      <c r="C39" t="n">
        <v>2238.721139</v>
      </c>
      <c r="D39" s="11" t="inlineStr">
        <is>
          <t>Scomberomorus</t>
        </is>
      </c>
      <c r="H39" t="n">
        <v>379.212004</v>
      </c>
      <c r="I39" t="n">
        <v>198.00731</v>
      </c>
      <c r="J39" t="n">
        <v>198.00731</v>
      </c>
      <c r="K39" t="n">
        <v>188.106944</v>
      </c>
      <c r="L39" t="n">
        <v>510.434635</v>
      </c>
      <c r="M39" t="n">
        <v>482.657057</v>
      </c>
      <c r="N39" t="n">
        <v>482.657057</v>
      </c>
      <c r="O39" t="n">
        <v>132.608509</v>
      </c>
      <c r="P39" t="n">
        <v>56.265654</v>
      </c>
      <c r="W39" t="n">
        <v>138.408302</v>
      </c>
      <c r="X39" t="n">
        <v>535.480646</v>
      </c>
      <c r="Z39" t="n">
        <v>91.36308099999999</v>
      </c>
    </row>
    <row r="40" ht="21" customHeight="1">
      <c r="A40" t="inlineStr">
        <is>
          <t>Priacanthidae</t>
        </is>
      </c>
      <c r="B40" t="n">
        <v>3.79</v>
      </c>
      <c r="C40" t="n">
        <v>616.595002</v>
      </c>
      <c r="D40" s="11" t="inlineStr">
        <is>
          <t>Sm.dem.pisc.</t>
        </is>
      </c>
      <c r="H40" t="n">
        <v>122.904552</v>
      </c>
      <c r="I40" t="n">
        <v>93.21507200000001</v>
      </c>
      <c r="J40" t="n">
        <v>93.21507200000001</v>
      </c>
      <c r="K40" t="n">
        <v>91.37699600000001</v>
      </c>
      <c r="L40" t="n">
        <v>329.659655</v>
      </c>
      <c r="M40" t="n">
        <v>309.636678</v>
      </c>
      <c r="N40" t="n">
        <v>309.636678</v>
      </c>
      <c r="O40" t="n">
        <v>43.487158</v>
      </c>
      <c r="P40" t="n">
        <v>19.855194</v>
      </c>
      <c r="W40" t="n">
        <v>44.41051</v>
      </c>
      <c r="X40" t="n">
        <v>355.505872</v>
      </c>
      <c r="Z40" t="n">
        <v>34.257735</v>
      </c>
    </row>
    <row r="41" ht="21" customHeight="1">
      <c r="A41" t="inlineStr">
        <is>
          <t>Octopodidae</t>
        </is>
      </c>
      <c r="B41" t="n">
        <v>3.59</v>
      </c>
      <c r="C41" t="n">
        <v>389.045145</v>
      </c>
      <c r="D41" s="11" t="inlineStr">
        <is>
          <t>Cephalopods</t>
        </is>
      </c>
      <c r="H41" t="n">
        <v>123.705654</v>
      </c>
      <c r="I41" t="n">
        <v>98.832763</v>
      </c>
      <c r="J41" t="n">
        <v>98.832763</v>
      </c>
      <c r="K41" t="n">
        <v>95.965153</v>
      </c>
      <c r="L41" t="n">
        <v>349.557692</v>
      </c>
      <c r="M41" t="n">
        <v>328.556033</v>
      </c>
      <c r="N41" t="n">
        <v>328.556033</v>
      </c>
      <c r="O41" t="n">
        <v>60.210877</v>
      </c>
      <c r="P41" t="n">
        <v>27.458851</v>
      </c>
      <c r="W41" t="n">
        <v>61.37127</v>
      </c>
      <c r="X41" t="n">
        <v>358.735586</v>
      </c>
      <c r="Z41" t="n">
        <v>35.265425</v>
      </c>
    </row>
    <row r="42" ht="21" customHeight="1">
      <c r="A42" t="inlineStr">
        <is>
          <t>Clupeidae</t>
        </is>
      </c>
      <c r="B42" t="n">
        <v>3.16</v>
      </c>
      <c r="C42" t="n">
        <v>144.543977</v>
      </c>
      <c r="D42" s="11" t="inlineStr">
        <is>
          <t>Sm. pelagics</t>
        </is>
      </c>
      <c r="H42" t="n">
        <v>33.155531</v>
      </c>
      <c r="I42" t="n">
        <v>20.273647</v>
      </c>
      <c r="J42" t="n">
        <v>20.273647</v>
      </c>
      <c r="K42" t="n">
        <v>19.259964</v>
      </c>
      <c r="L42" t="n">
        <v>30.239099</v>
      </c>
      <c r="M42" t="n">
        <v>29.116795</v>
      </c>
      <c r="N42" t="n">
        <v>29.116795</v>
      </c>
      <c r="O42" t="n">
        <v>19.726316</v>
      </c>
      <c r="P42" t="n">
        <v>11.954059</v>
      </c>
      <c r="W42" t="n">
        <v>20.400136</v>
      </c>
      <c r="X42" t="n">
        <v>29.971091</v>
      </c>
      <c r="Z42" t="n">
        <v>15.467293</v>
      </c>
    </row>
    <row r="43" ht="21" customHeight="1">
      <c r="A43" t="inlineStr">
        <is>
          <t>Sergestidae</t>
        </is>
      </c>
      <c r="B43" t="n">
        <v>2.93</v>
      </c>
      <c r="C43" t="n">
        <v>85.113804</v>
      </c>
      <c r="D43" s="11" t="inlineStr">
        <is>
          <t>Shrimps</t>
        </is>
      </c>
      <c r="H43" t="n">
        <v>29.428499</v>
      </c>
      <c r="I43" t="n">
        <v>30.201348</v>
      </c>
      <c r="J43" t="n">
        <v>30.201348</v>
      </c>
      <c r="K43" t="n">
        <v>28.691281</v>
      </c>
      <c r="L43" t="n">
        <v>110.883242</v>
      </c>
      <c r="M43" t="n">
        <v>103.574278</v>
      </c>
      <c r="N43" t="n">
        <v>103.574278</v>
      </c>
      <c r="O43" t="n">
        <v>13.035789</v>
      </c>
      <c r="P43" t="n">
        <v>6.34711</v>
      </c>
      <c r="W43" t="n">
        <v>13.241537</v>
      </c>
      <c r="X43" t="n">
        <v>117.005531</v>
      </c>
      <c r="Z43" t="n">
        <v>9.725251</v>
      </c>
    </row>
    <row r="44" ht="21" customHeight="1">
      <c r="A44" t="inlineStr">
        <is>
          <t>Alepes</t>
        </is>
      </c>
      <c r="B44" t="n">
        <v>3.32</v>
      </c>
      <c r="C44" t="n">
        <v>208.929613</v>
      </c>
      <c r="D44" s="11" t="inlineStr">
        <is>
          <t>Scad</t>
        </is>
      </c>
      <c r="H44" t="n">
        <v>145.170044</v>
      </c>
      <c r="I44" t="n">
        <v>76.903182</v>
      </c>
      <c r="J44" t="n">
        <v>76.903182</v>
      </c>
      <c r="K44" t="n">
        <v>73.05802300000001</v>
      </c>
      <c r="L44" t="n">
        <v>191.130934</v>
      </c>
      <c r="M44" t="n">
        <v>180.938887</v>
      </c>
      <c r="N44" t="n">
        <v>180.938887</v>
      </c>
      <c r="O44" t="n">
        <v>53.732211</v>
      </c>
      <c r="P44" t="n">
        <v>26.039803</v>
      </c>
      <c r="W44" t="n">
        <v>55.581599</v>
      </c>
      <c r="X44" t="n">
        <v>196.807436</v>
      </c>
      <c r="Z44" t="n">
        <v>45.000238</v>
      </c>
    </row>
    <row r="45" ht="21" customHeight="1">
      <c r="A45" t="inlineStr">
        <is>
          <t>Selar crumenophthalmus</t>
        </is>
      </c>
      <c r="B45" t="n">
        <v>3.81</v>
      </c>
      <c r="C45" t="n">
        <v>645.654229</v>
      </c>
      <c r="D45" s="11" t="inlineStr">
        <is>
          <t>Scad</t>
        </is>
      </c>
      <c r="H45" t="n">
        <v>145.170044</v>
      </c>
      <c r="I45" t="n">
        <v>76.903182</v>
      </c>
      <c r="J45" t="n">
        <v>76.903182</v>
      </c>
      <c r="K45" t="n">
        <v>73.05802300000001</v>
      </c>
      <c r="L45" t="n">
        <v>191.130934</v>
      </c>
      <c r="M45" t="n">
        <v>180.938887</v>
      </c>
      <c r="N45" t="n">
        <v>180.938887</v>
      </c>
      <c r="O45" t="n">
        <v>53.732211</v>
      </c>
      <c r="P45" t="n">
        <v>26.039803</v>
      </c>
      <c r="W45" t="n">
        <v>55.581599</v>
      </c>
      <c r="X45" t="n">
        <v>196.807436</v>
      </c>
      <c r="Z45" t="n">
        <v>45.000238</v>
      </c>
    </row>
    <row r="46" ht="21" customHeight="1">
      <c r="A46" t="inlineStr">
        <is>
          <t>Penaeus merguiensis</t>
        </is>
      </c>
      <c r="B46" t="n">
        <v>3.77</v>
      </c>
      <c r="C46" t="n">
        <v>588.843655</v>
      </c>
      <c r="D46" s="11" t="inlineStr">
        <is>
          <t>Shrimps</t>
        </is>
      </c>
      <c r="H46" t="n">
        <v>29.428499</v>
      </c>
      <c r="I46" t="n">
        <v>30.201348</v>
      </c>
      <c r="J46" t="n">
        <v>30.201348</v>
      </c>
      <c r="K46" t="n">
        <v>28.691281</v>
      </c>
      <c r="L46" t="n">
        <v>110.883242</v>
      </c>
      <c r="M46" t="n">
        <v>103.574278</v>
      </c>
      <c r="N46" t="n">
        <v>103.574278</v>
      </c>
      <c r="O46" t="n">
        <v>13.035789</v>
      </c>
      <c r="P46" t="n">
        <v>6.34711</v>
      </c>
      <c r="W46" t="n">
        <v>13.241537</v>
      </c>
      <c r="X46" t="n">
        <v>117.005531</v>
      </c>
      <c r="Z46" t="n">
        <v>9.725251</v>
      </c>
    </row>
    <row r="47" ht="21" customHeight="1">
      <c r="A47" t="inlineStr">
        <is>
          <t>Metapenaeus</t>
        </is>
      </c>
      <c r="B47" t="n">
        <v>2.7</v>
      </c>
      <c r="C47" t="n">
        <v>50.118723</v>
      </c>
      <c r="D47" s="11" t="inlineStr">
        <is>
          <t>Shrimps</t>
        </is>
      </c>
      <c r="H47" t="n">
        <v>29.428499</v>
      </c>
      <c r="I47" t="n">
        <v>30.201348</v>
      </c>
      <c r="J47" t="n">
        <v>30.201348</v>
      </c>
      <c r="K47" t="n">
        <v>28.691281</v>
      </c>
      <c r="L47" t="n">
        <v>110.883242</v>
      </c>
      <c r="M47" t="n">
        <v>103.574278</v>
      </c>
      <c r="N47" t="n">
        <v>103.574278</v>
      </c>
      <c r="O47" t="n">
        <v>13.035789</v>
      </c>
      <c r="P47" t="n">
        <v>6.34711</v>
      </c>
      <c r="W47" t="n">
        <v>13.241537</v>
      </c>
      <c r="X47" t="n">
        <v>117.005531</v>
      </c>
      <c r="Z47" t="n">
        <v>9.725251</v>
      </c>
    </row>
    <row r="48" ht="21" customHeight="1">
      <c r="A48" t="inlineStr">
        <is>
          <t>Apogonidae</t>
        </is>
      </c>
      <c r="B48" t="n">
        <v>3.54</v>
      </c>
      <c r="C48" t="n">
        <v>346.73685</v>
      </c>
      <c r="D48" s="11" t="inlineStr">
        <is>
          <t>Sm.dem.benth.</t>
        </is>
      </c>
      <c r="H48" t="n">
        <v>85.26248099999999</v>
      </c>
      <c r="I48" t="n">
        <v>87.40013</v>
      </c>
      <c r="J48" t="n">
        <v>87.40013</v>
      </c>
      <c r="K48" t="n">
        <v>73.65420399999999</v>
      </c>
      <c r="L48" t="n">
        <v>308.045854</v>
      </c>
      <c r="M48" t="n">
        <v>289.86806</v>
      </c>
      <c r="N48" t="n">
        <v>289.86806</v>
      </c>
      <c r="O48" t="n">
        <v>35.580632</v>
      </c>
      <c r="P48" t="n">
        <v>17.310642</v>
      </c>
      <c r="W48" t="n">
        <v>36.030766</v>
      </c>
      <c r="X48" t="n">
        <v>325.833864</v>
      </c>
      <c r="Z48" t="n">
        <v>27.099073</v>
      </c>
    </row>
    <row r="49" ht="21" customHeight="1">
      <c r="A49" t="inlineStr">
        <is>
          <t>Mollusca</t>
        </is>
      </c>
      <c r="B49" t="n">
        <v>2.1</v>
      </c>
      <c r="C49" t="n">
        <v>12.589254</v>
      </c>
      <c r="D49" s="11" t="inlineStr">
        <is>
          <t>Molluscs | Cephalopods</t>
        </is>
      </c>
      <c r="H49" t="n">
        <v>77.798889</v>
      </c>
      <c r="I49" t="n">
        <v>61.444724</v>
      </c>
      <c r="J49" t="n">
        <v>61.444724</v>
      </c>
      <c r="K49" t="n">
        <v>59.421405</v>
      </c>
      <c r="L49" t="n">
        <v>209.690372</v>
      </c>
      <c r="M49" t="n">
        <v>197.244932</v>
      </c>
      <c r="N49" t="n">
        <v>197.244932</v>
      </c>
      <c r="O49" t="n">
        <v>38.461331</v>
      </c>
      <c r="P49" t="n">
        <v>18.252779</v>
      </c>
      <c r="W49" t="n">
        <v>39.178265</v>
      </c>
      <c r="X49" t="n">
        <v>215.096823</v>
      </c>
      <c r="Z49" t="n">
        <v>23.555861</v>
      </c>
    </row>
    <row r="50" ht="21" customHeight="1">
      <c r="A50" t="inlineStr">
        <is>
          <t>Trichiurus lepturus</t>
        </is>
      </c>
      <c r="B50" t="n">
        <v>4.42</v>
      </c>
      <c r="C50" t="n">
        <v>2630.267992</v>
      </c>
      <c r="D50" s="11" t="inlineStr">
        <is>
          <t>Juv.Lg.Pisciv. | Lg. piscivores</t>
        </is>
      </c>
      <c r="H50" t="n">
        <v>401.23396</v>
      </c>
      <c r="I50" t="n">
        <v>262.057593</v>
      </c>
      <c r="J50" t="n">
        <v>262.057593</v>
      </c>
      <c r="K50" t="n">
        <v>243.37383</v>
      </c>
      <c r="L50" t="n">
        <v>806.383997</v>
      </c>
      <c r="M50" t="n">
        <v>760.332928</v>
      </c>
      <c r="N50" t="n">
        <v>760.332928</v>
      </c>
      <c r="O50" t="n">
        <v>136.609619</v>
      </c>
      <c r="P50" t="n">
        <v>56.19878</v>
      </c>
      <c r="W50" t="n">
        <v>141.082797</v>
      </c>
      <c r="X50" t="n">
        <v>853.530558</v>
      </c>
      <c r="Z50" t="n">
        <v>90.598209</v>
      </c>
    </row>
    <row r="51" ht="21" customHeight="1">
      <c r="A51" t="inlineStr">
        <is>
          <t>Euthynnus affinis</t>
        </is>
      </c>
      <c r="B51" t="n">
        <v>4.5</v>
      </c>
      <c r="C51" t="n">
        <v>3162.27766</v>
      </c>
      <c r="D51" s="11" t="inlineStr">
        <is>
          <t>Tuna</t>
        </is>
      </c>
      <c r="H51" t="n">
        <v>607.7580799999999</v>
      </c>
      <c r="I51" t="n">
        <v>280.575009</v>
      </c>
      <c r="J51" t="n">
        <v>280.575009</v>
      </c>
      <c r="K51" t="n">
        <v>266.546258</v>
      </c>
      <c r="L51" t="n">
        <v>675.870038</v>
      </c>
      <c r="M51" t="n">
        <v>640.5943130000001</v>
      </c>
      <c r="N51" t="n">
        <v>640.5943130000001</v>
      </c>
      <c r="O51" t="n">
        <v>182.123293</v>
      </c>
      <c r="P51" t="n">
        <v>73.82745199999999</v>
      </c>
      <c r="W51" t="n">
        <v>192.014278</v>
      </c>
      <c r="X51" t="n">
        <v>708.383019</v>
      </c>
      <c r="Z51" t="n">
        <v>131.160567</v>
      </c>
    </row>
    <row r="52" ht="21" customHeight="1">
      <c r="A52" t="inlineStr">
        <is>
          <t>Mullidae</t>
        </is>
      </c>
      <c r="B52" t="n">
        <v>3.46</v>
      </c>
      <c r="C52" t="n">
        <v>288.40315</v>
      </c>
      <c r="D52" s="11" t="inlineStr">
        <is>
          <t>Med.dem.benth.</t>
        </is>
      </c>
      <c r="H52" t="n">
        <v>136.909799</v>
      </c>
      <c r="I52" t="n">
        <v>177.004212</v>
      </c>
      <c r="J52" t="n">
        <v>177.004212</v>
      </c>
      <c r="K52" t="n">
        <v>158.443355</v>
      </c>
      <c r="L52" t="n">
        <v>664.022909</v>
      </c>
      <c r="M52" t="n">
        <v>624.927413</v>
      </c>
      <c r="N52" t="n">
        <v>624.927413</v>
      </c>
      <c r="O52" t="n">
        <v>66.41242099999999</v>
      </c>
      <c r="P52" t="n">
        <v>30.269118</v>
      </c>
      <c r="W52" t="n">
        <v>67.525592</v>
      </c>
      <c r="X52" t="n">
        <v>706.254767</v>
      </c>
      <c r="Z52" t="n">
        <v>40.467693</v>
      </c>
    </row>
    <row r="53" ht="21" customHeight="1">
      <c r="A53" t="inlineStr">
        <is>
          <t>Batoidea</t>
        </is>
      </c>
      <c r="B53" t="n">
        <v>3.72</v>
      </c>
      <c r="C53" t="n">
        <v>524.80746</v>
      </c>
      <c r="D53" s="11" t="inlineStr">
        <is>
          <t>Rays</t>
        </is>
      </c>
      <c r="H53" t="n">
        <v>122.450346</v>
      </c>
      <c r="I53" t="n">
        <v>155.483265</v>
      </c>
      <c r="J53" t="n">
        <v>155.483265</v>
      </c>
      <c r="K53" t="n">
        <v>148.079307</v>
      </c>
      <c r="L53" t="n">
        <v>590.0073</v>
      </c>
      <c r="M53" t="n">
        <v>555.0509029999999</v>
      </c>
      <c r="N53" t="n">
        <v>555.0509029999999</v>
      </c>
      <c r="O53" t="n">
        <v>60.959994</v>
      </c>
      <c r="P53" t="n">
        <v>27.811026</v>
      </c>
      <c r="W53" t="n">
        <v>63.14505</v>
      </c>
      <c r="X53" t="n">
        <v>630.554609</v>
      </c>
      <c r="Z53" t="n">
        <v>36.533488</v>
      </c>
    </row>
    <row r="54" ht="21" customHeight="1">
      <c r="A54" t="inlineStr">
        <is>
          <t>Sphyraena</t>
        </is>
      </c>
      <c r="B54" t="n">
        <v>4.4</v>
      </c>
      <c r="C54" t="n">
        <v>2511.886432</v>
      </c>
      <c r="D54" s="11" t="inlineStr">
        <is>
          <t>Juv.Lg.Pisciv. | Lg. piscivores</t>
        </is>
      </c>
      <c r="H54" t="n">
        <v>401.23396</v>
      </c>
      <c r="I54" t="n">
        <v>262.057593</v>
      </c>
      <c r="J54" t="n">
        <v>262.057593</v>
      </c>
      <c r="K54" t="n">
        <v>243.37383</v>
      </c>
      <c r="L54" t="n">
        <v>806.383997</v>
      </c>
      <c r="M54" t="n">
        <v>760.332928</v>
      </c>
      <c r="N54" t="n">
        <v>760.332928</v>
      </c>
      <c r="O54" t="n">
        <v>136.609619</v>
      </c>
      <c r="P54" t="n">
        <v>56.19878</v>
      </c>
      <c r="W54" t="n">
        <v>141.082797</v>
      </c>
      <c r="X54" t="n">
        <v>853.530558</v>
      </c>
      <c r="Z54" t="n">
        <v>90.598209</v>
      </c>
    </row>
    <row r="55" ht="21" customHeight="1">
      <c r="A55" t="inlineStr">
        <is>
          <t>Modiolus</t>
        </is>
      </c>
      <c r="B55" t="n">
        <v>2</v>
      </c>
      <c r="C55" t="n">
        <v>10</v>
      </c>
      <c r="D55" s="11" t="inlineStr">
        <is>
          <t>Molluscs</t>
        </is>
      </c>
      <c r="H55" t="n">
        <v>12.4377</v>
      </c>
      <c r="I55" t="n">
        <v>8.212337</v>
      </c>
      <c r="J55" t="n">
        <v>8.212337</v>
      </c>
      <c r="K55" t="n">
        <v>7.391103</v>
      </c>
      <c r="L55" t="n">
        <v>10.549912</v>
      </c>
      <c r="M55" t="n">
        <v>10.286656</v>
      </c>
      <c r="N55" t="n">
        <v>10.286656</v>
      </c>
      <c r="O55" t="n">
        <v>7.494737</v>
      </c>
      <c r="P55" t="n">
        <v>5.145347</v>
      </c>
      <c r="W55" t="n">
        <v>7.580281</v>
      </c>
      <c r="X55" t="n">
        <v>10.586653</v>
      </c>
      <c r="Z55" t="n">
        <v>6.884003</v>
      </c>
    </row>
    <row r="56" ht="36" customHeight="1">
      <c r="A56" t="inlineStr">
        <is>
          <t>Scombroidei</t>
        </is>
      </c>
      <c r="B56" t="n">
        <v>4.2</v>
      </c>
      <c r="C56" t="n">
        <v>1584.893192</v>
      </c>
      <c r="D56" s="11" t="inlineStr">
        <is>
          <t>Juv.Lg.Pisciv. | Lg. piscivores | Mackerel | Scomberomorus | Tuna</t>
        </is>
      </c>
      <c r="H56" t="n">
        <v>203.574158</v>
      </c>
      <c r="I56" t="n">
        <v>112.647083</v>
      </c>
      <c r="J56" t="n">
        <v>112.647083</v>
      </c>
      <c r="K56" t="n">
        <v>106.075689</v>
      </c>
      <c r="L56" t="n">
        <v>293.821966</v>
      </c>
      <c r="M56" t="n">
        <v>277.952773</v>
      </c>
      <c r="N56" t="n">
        <v>277.952773</v>
      </c>
      <c r="O56" t="n">
        <v>71.88457</v>
      </c>
      <c r="P56" t="n">
        <v>31.936205</v>
      </c>
      <c r="W56" t="n">
        <v>74.87729299999999</v>
      </c>
      <c r="X56" t="n">
        <v>308.315048</v>
      </c>
      <c r="Z56" t="n">
        <v>50.706961</v>
      </c>
    </row>
    <row r="57" ht="21" customHeight="1">
      <c r="A57" t="inlineStr">
        <is>
          <t>Lutjanidae</t>
        </is>
      </c>
      <c r="B57" t="n">
        <v>4.02</v>
      </c>
      <c r="C57" t="n">
        <v>1047.128548</v>
      </c>
      <c r="D57" s="11" t="inlineStr">
        <is>
          <t>Grouper/snapper | Juv. groupers</t>
        </is>
      </c>
      <c r="H57" t="n">
        <v>490.511951</v>
      </c>
      <c r="I57" t="n">
        <v>374.298234</v>
      </c>
      <c r="J57" t="n">
        <v>374.298234</v>
      </c>
      <c r="K57" t="n">
        <v>330.678405</v>
      </c>
      <c r="L57" t="n">
        <v>1297.204135</v>
      </c>
      <c r="M57" t="n">
        <v>1220.265871</v>
      </c>
      <c r="N57" t="n">
        <v>1220.265871</v>
      </c>
      <c r="O57" t="n">
        <v>163.320182</v>
      </c>
      <c r="P57" t="n">
        <v>62.822979</v>
      </c>
      <c r="W57" t="n">
        <v>168.925067</v>
      </c>
      <c r="X57" t="n">
        <v>1398.864018</v>
      </c>
      <c r="Z57" t="n">
        <v>102.926065</v>
      </c>
    </row>
    <row r="58" ht="21" customHeight="1">
      <c r="A58" t="inlineStr">
        <is>
          <t>Saurida tumbil</t>
        </is>
      </c>
      <c r="B58" t="n">
        <v>4.4</v>
      </c>
      <c r="C58" t="n">
        <v>2511.886432</v>
      </c>
      <c r="D58" s="11" t="inlineStr">
        <is>
          <t>Med.dem.pisc.</t>
        </is>
      </c>
      <c r="H58" t="n">
        <v>155.33566</v>
      </c>
      <c r="I58" t="n">
        <v>128.379185</v>
      </c>
      <c r="J58" t="n">
        <v>128.379185</v>
      </c>
      <c r="K58" t="n">
        <v>126.665099</v>
      </c>
      <c r="L58" t="n">
        <v>445.224589</v>
      </c>
      <c r="M58" t="n">
        <v>418.545351</v>
      </c>
      <c r="N58" t="n">
        <v>418.545351</v>
      </c>
      <c r="O58" t="n">
        <v>63.857635</v>
      </c>
      <c r="P58" t="n">
        <v>28.35152</v>
      </c>
      <c r="W58" t="n">
        <v>65.503055</v>
      </c>
      <c r="X58" t="n">
        <v>471.535709</v>
      </c>
      <c r="Z58" t="n">
        <v>40.283509</v>
      </c>
    </row>
    <row r="59" ht="21" customHeight="1">
      <c r="A59" t="inlineStr">
        <is>
          <t>Scolopsis</t>
        </is>
      </c>
      <c r="B59" t="n">
        <v>3.3</v>
      </c>
      <c r="C59" t="n">
        <v>199.526231</v>
      </c>
      <c r="D59" s="11" t="inlineStr">
        <is>
          <t>Med.dem.benth.</t>
        </is>
      </c>
      <c r="H59" t="n">
        <v>136.909799</v>
      </c>
      <c r="I59" t="n">
        <v>177.004212</v>
      </c>
      <c r="J59" t="n">
        <v>177.004212</v>
      </c>
      <c r="K59" t="n">
        <v>158.443355</v>
      </c>
      <c r="L59" t="n">
        <v>664.022909</v>
      </c>
      <c r="M59" t="n">
        <v>624.927413</v>
      </c>
      <c r="N59" t="n">
        <v>624.927413</v>
      </c>
      <c r="O59" t="n">
        <v>66.41242099999999</v>
      </c>
      <c r="P59" t="n">
        <v>30.269118</v>
      </c>
      <c r="W59" t="n">
        <v>67.525592</v>
      </c>
      <c r="X59" t="n">
        <v>706.254767</v>
      </c>
      <c r="Z59" t="n">
        <v>40.467693</v>
      </c>
    </row>
    <row r="60" ht="21" customHeight="1">
      <c r="A60" t="inlineStr">
        <is>
          <t>Sepia</t>
        </is>
      </c>
      <c r="B60" t="n">
        <v>3.69</v>
      </c>
      <c r="C60" t="n">
        <v>489.778819</v>
      </c>
      <c r="D60" s="11" t="inlineStr">
        <is>
          <t>Cephalopods</t>
        </is>
      </c>
      <c r="H60" t="n">
        <v>123.705654</v>
      </c>
      <c r="I60" t="n">
        <v>98.832763</v>
      </c>
      <c r="J60" t="n">
        <v>98.832763</v>
      </c>
      <c r="K60" t="n">
        <v>95.965153</v>
      </c>
      <c r="L60" t="n">
        <v>349.557692</v>
      </c>
      <c r="M60" t="n">
        <v>328.556033</v>
      </c>
      <c r="N60" t="n">
        <v>328.556033</v>
      </c>
      <c r="O60" t="n">
        <v>60.210877</v>
      </c>
      <c r="P60" t="n">
        <v>27.458851</v>
      </c>
      <c r="W60" t="n">
        <v>61.37127</v>
      </c>
      <c r="X60" t="n">
        <v>358.735586</v>
      </c>
      <c r="Z60" t="n">
        <v>35.265425</v>
      </c>
    </row>
    <row r="61" ht="21" customHeight="1">
      <c r="A61" t="inlineStr">
        <is>
          <t>Portunus</t>
        </is>
      </c>
      <c r="B61" t="n">
        <v>3.26</v>
      </c>
      <c r="C61" t="n">
        <v>181.970086</v>
      </c>
      <c r="D61" s="11" t="inlineStr">
        <is>
          <t>Crab, lobster</t>
        </is>
      </c>
      <c r="H61" t="n">
        <v>64.54244300000001</v>
      </c>
      <c r="I61" t="n">
        <v>77.512685</v>
      </c>
      <c r="J61" t="n">
        <v>77.512685</v>
      </c>
      <c r="K61" t="n">
        <v>66.489323</v>
      </c>
      <c r="L61" t="n">
        <v>295.897518</v>
      </c>
      <c r="M61" t="n">
        <v>277.943826</v>
      </c>
      <c r="N61" t="n">
        <v>277.943826</v>
      </c>
      <c r="O61" t="n">
        <v>27.221053</v>
      </c>
      <c r="P61" t="n">
        <v>12.636092</v>
      </c>
      <c r="W61" t="n">
        <v>27.422905</v>
      </c>
      <c r="X61" t="n">
        <v>312.087764</v>
      </c>
      <c r="Z61" t="n">
        <v>20.139757</v>
      </c>
    </row>
    <row r="62" ht="21" customHeight="1">
      <c r="A62" t="inlineStr">
        <is>
          <t>Parastromateus niger</t>
        </is>
      </c>
      <c r="B62" t="n">
        <v>2.93</v>
      </c>
      <c r="C62" t="n">
        <v>85.113804</v>
      </c>
      <c r="D62" s="11" t="inlineStr">
        <is>
          <t>Med.dem.benth.</t>
        </is>
      </c>
      <c r="H62" t="n">
        <v>136.909799</v>
      </c>
      <c r="I62" t="n">
        <v>177.004212</v>
      </c>
      <c r="J62" t="n">
        <v>177.004212</v>
      </c>
      <c r="K62" t="n">
        <v>158.443355</v>
      </c>
      <c r="L62" t="n">
        <v>664.022909</v>
      </c>
      <c r="M62" t="n">
        <v>624.927413</v>
      </c>
      <c r="N62" t="n">
        <v>624.927413</v>
      </c>
      <c r="O62" t="n">
        <v>66.41242099999999</v>
      </c>
      <c r="P62" t="n">
        <v>30.269118</v>
      </c>
      <c r="W62" t="n">
        <v>67.525592</v>
      </c>
      <c r="X62" t="n">
        <v>706.254767</v>
      </c>
      <c r="Z62" t="n">
        <v>40.467693</v>
      </c>
    </row>
    <row r="63" ht="21" customHeight="1">
      <c r="A63" t="inlineStr">
        <is>
          <t>Himantura</t>
        </is>
      </c>
      <c r="B63" t="n">
        <v>3.85</v>
      </c>
      <c r="C63" t="n">
        <v>707.945784</v>
      </c>
      <c r="D63" s="11" t="inlineStr">
        <is>
          <t>Rays</t>
        </is>
      </c>
      <c r="H63" t="n">
        <v>122.450346</v>
      </c>
      <c r="I63" t="n">
        <v>155.483265</v>
      </c>
      <c r="J63" t="n">
        <v>155.483265</v>
      </c>
      <c r="K63" t="n">
        <v>148.079307</v>
      </c>
      <c r="L63" t="n">
        <v>590.0073</v>
      </c>
      <c r="M63" t="n">
        <v>555.0509029999999</v>
      </c>
      <c r="N63" t="n">
        <v>555.0509029999999</v>
      </c>
      <c r="O63" t="n">
        <v>60.959994</v>
      </c>
      <c r="P63" t="n">
        <v>27.811026</v>
      </c>
      <c r="W63" t="n">
        <v>63.14505</v>
      </c>
      <c r="X63" t="n">
        <v>630.554609</v>
      </c>
      <c r="Z63" t="n">
        <v>36.533488</v>
      </c>
    </row>
    <row r="64" ht="21" customHeight="1">
      <c r="A64" t="inlineStr">
        <is>
          <t>Acetes</t>
        </is>
      </c>
      <c r="B64" t="n">
        <v>2.7</v>
      </c>
      <c r="C64" t="n">
        <v>50.118723</v>
      </c>
      <c r="D64" s="11" t="inlineStr">
        <is>
          <t>Shrimps</t>
        </is>
      </c>
      <c r="H64" t="n">
        <v>29.428499</v>
      </c>
      <c r="I64" t="n">
        <v>30.201348</v>
      </c>
      <c r="J64" t="n">
        <v>30.201348</v>
      </c>
      <c r="K64" t="n">
        <v>28.691281</v>
      </c>
      <c r="L64" t="n">
        <v>110.883242</v>
      </c>
      <c r="M64" t="n">
        <v>103.574278</v>
      </c>
      <c r="N64" t="n">
        <v>103.574278</v>
      </c>
      <c r="O64" t="n">
        <v>13.035789</v>
      </c>
      <c r="P64" t="n">
        <v>6.34711</v>
      </c>
      <c r="W64" t="n">
        <v>13.241537</v>
      </c>
      <c r="X64" t="n">
        <v>117.005531</v>
      </c>
      <c r="Z64" t="n">
        <v>9.725251</v>
      </c>
    </row>
    <row r="65" ht="21" customHeight="1">
      <c r="A65" t="inlineStr">
        <is>
          <t>Pennahia</t>
        </is>
      </c>
      <c r="B65" t="n">
        <v>3.73</v>
      </c>
      <c r="C65" t="n">
        <v>537.031796</v>
      </c>
      <c r="D65" s="11" t="inlineStr">
        <is>
          <t>Med.dem.pisc.</t>
        </is>
      </c>
      <c r="H65" t="n">
        <v>155.33566</v>
      </c>
      <c r="I65" t="n">
        <v>128.379185</v>
      </c>
      <c r="J65" t="n">
        <v>128.379185</v>
      </c>
      <c r="K65" t="n">
        <v>126.665099</v>
      </c>
      <c r="L65" t="n">
        <v>445.224589</v>
      </c>
      <c r="M65" t="n">
        <v>418.545351</v>
      </c>
      <c r="N65" t="n">
        <v>418.545351</v>
      </c>
      <c r="O65" t="n">
        <v>63.857635</v>
      </c>
      <c r="P65" t="n">
        <v>28.35152</v>
      </c>
      <c r="W65" t="n">
        <v>65.503055</v>
      </c>
      <c r="X65" t="n">
        <v>471.535709</v>
      </c>
      <c r="Z65" t="n">
        <v>40.283509</v>
      </c>
    </row>
    <row r="66" ht="21" customHeight="1">
      <c r="A66" t="inlineStr">
        <is>
          <t>Metapenaeus tenuipes</t>
        </is>
      </c>
      <c r="B66" t="n">
        <v>3.39</v>
      </c>
      <c r="C66" t="n">
        <v>245.470892</v>
      </c>
      <c r="D66" s="11" t="inlineStr">
        <is>
          <t>Shrimps</t>
        </is>
      </c>
      <c r="H66" t="n">
        <v>29.428499</v>
      </c>
      <c r="I66" t="n">
        <v>30.201348</v>
      </c>
      <c r="J66" t="n">
        <v>30.201348</v>
      </c>
      <c r="K66" t="n">
        <v>28.691281</v>
      </c>
      <c r="L66" t="n">
        <v>110.883242</v>
      </c>
      <c r="M66" t="n">
        <v>103.574278</v>
      </c>
      <c r="N66" t="n">
        <v>103.574278</v>
      </c>
      <c r="O66" t="n">
        <v>13.035789</v>
      </c>
      <c r="P66" t="n">
        <v>6.34711</v>
      </c>
      <c r="W66" t="n">
        <v>13.241537</v>
      </c>
      <c r="X66" t="n">
        <v>117.005531</v>
      </c>
      <c r="Z66" t="n">
        <v>9.725251</v>
      </c>
    </row>
    <row r="67" ht="21" customHeight="1">
      <c r="A67" t="inlineStr">
        <is>
          <t>Metapenaeus affinis</t>
        </is>
      </c>
      <c r="B67" t="n">
        <v>3.44</v>
      </c>
      <c r="C67" t="n">
        <v>275.42287</v>
      </c>
      <c r="D67" s="11" t="inlineStr">
        <is>
          <t>Shrimps</t>
        </is>
      </c>
      <c r="H67" t="n">
        <v>29.428499</v>
      </c>
      <c r="I67" t="n">
        <v>30.201348</v>
      </c>
      <c r="J67" t="n">
        <v>30.201348</v>
      </c>
      <c r="K67" t="n">
        <v>28.691281</v>
      </c>
      <c r="L67" t="n">
        <v>110.883242</v>
      </c>
      <c r="M67" t="n">
        <v>103.574278</v>
      </c>
      <c r="N67" t="n">
        <v>103.574278</v>
      </c>
      <c r="O67" t="n">
        <v>13.035789</v>
      </c>
      <c r="P67" t="n">
        <v>6.34711</v>
      </c>
      <c r="W67" t="n">
        <v>13.241537</v>
      </c>
      <c r="X67" t="n">
        <v>117.005531</v>
      </c>
      <c r="Z67" t="n">
        <v>9.725251</v>
      </c>
    </row>
    <row r="68" ht="21" customHeight="1">
      <c r="A68" t="inlineStr">
        <is>
          <t>Atule mate</t>
        </is>
      </c>
      <c r="B68" t="n">
        <v>4.22</v>
      </c>
      <c r="C68" t="n">
        <v>1659.586907</v>
      </c>
      <c r="D68" s="11" t="inlineStr">
        <is>
          <t>Scad</t>
        </is>
      </c>
      <c r="H68" t="n">
        <v>145.170044</v>
      </c>
      <c r="I68" t="n">
        <v>76.903182</v>
      </c>
      <c r="J68" t="n">
        <v>76.903182</v>
      </c>
      <c r="K68" t="n">
        <v>73.05802300000001</v>
      </c>
      <c r="L68" t="n">
        <v>191.130934</v>
      </c>
      <c r="M68" t="n">
        <v>180.938887</v>
      </c>
      <c r="N68" t="n">
        <v>180.938887</v>
      </c>
      <c r="O68" t="n">
        <v>53.732211</v>
      </c>
      <c r="P68" t="n">
        <v>26.039803</v>
      </c>
      <c r="W68" t="n">
        <v>55.581599</v>
      </c>
      <c r="X68" t="n">
        <v>196.807436</v>
      </c>
      <c r="Z68" t="n">
        <v>45.000238</v>
      </c>
    </row>
    <row r="69" ht="21" customHeight="1">
      <c r="A69" t="inlineStr">
        <is>
          <t>Chirocentrus dorab</t>
        </is>
      </c>
      <c r="B69" t="n">
        <v>4.2</v>
      </c>
      <c r="C69" t="n">
        <v>1584.893192</v>
      </c>
      <c r="D69" s="11" t="inlineStr">
        <is>
          <t>Juv.Lg.Pisciv. | Lg. piscivores</t>
        </is>
      </c>
      <c r="H69" t="n">
        <v>401.23396</v>
      </c>
      <c r="I69" t="n">
        <v>262.057593</v>
      </c>
      <c r="J69" t="n">
        <v>262.057593</v>
      </c>
      <c r="K69" t="n">
        <v>243.37383</v>
      </c>
      <c r="L69" t="n">
        <v>806.383997</v>
      </c>
      <c r="M69" t="n">
        <v>760.332928</v>
      </c>
      <c r="N69" t="n">
        <v>760.332928</v>
      </c>
      <c r="O69" t="n">
        <v>136.609619</v>
      </c>
      <c r="P69" t="n">
        <v>56.19878</v>
      </c>
      <c r="W69" t="n">
        <v>141.082797</v>
      </c>
      <c r="X69" t="n">
        <v>853.530558</v>
      </c>
      <c r="Z69" t="n">
        <v>90.598209</v>
      </c>
    </row>
    <row r="70" ht="21" customHeight="1">
      <c r="A70" t="inlineStr">
        <is>
          <t>Elasmobranchii</t>
        </is>
      </c>
      <c r="B70" t="n">
        <v>4.05</v>
      </c>
      <c r="C70" t="n">
        <v>1122.018454</v>
      </c>
      <c r="D70" s="11" t="inlineStr">
        <is>
          <t>Sharks | Juv. sharks | Rays</t>
        </is>
      </c>
      <c r="H70" t="n">
        <v>122.450346</v>
      </c>
      <c r="I70" t="n">
        <v>155.483265</v>
      </c>
      <c r="J70" t="n">
        <v>155.483265</v>
      </c>
      <c r="K70" t="n">
        <v>148.079307</v>
      </c>
      <c r="L70" t="n">
        <v>590.0073</v>
      </c>
      <c r="M70" t="n">
        <v>555.0509029999999</v>
      </c>
      <c r="N70" t="n">
        <v>555.0509029999999</v>
      </c>
      <c r="O70" t="n">
        <v>60.959994</v>
      </c>
      <c r="P70" t="n">
        <v>27.811026</v>
      </c>
      <c r="W70" t="n">
        <v>63.14505</v>
      </c>
      <c r="X70" t="n">
        <v>630.554609</v>
      </c>
      <c r="Z70" t="n">
        <v>36.533488</v>
      </c>
    </row>
    <row r="71" ht="21" customHeight="1">
      <c r="A71" t="inlineStr">
        <is>
          <t>Sillago</t>
        </is>
      </c>
      <c r="B71" t="n">
        <v>3.33</v>
      </c>
      <c r="C71" t="n">
        <v>213.796209</v>
      </c>
      <c r="D71" s="11" t="inlineStr">
        <is>
          <t>Med.dem.benth.</t>
        </is>
      </c>
      <c r="H71" t="n">
        <v>136.909799</v>
      </c>
      <c r="I71" t="n">
        <v>177.004212</v>
      </c>
      <c r="J71" t="n">
        <v>177.004212</v>
      </c>
      <c r="K71" t="n">
        <v>158.443355</v>
      </c>
      <c r="L71" t="n">
        <v>664.022909</v>
      </c>
      <c r="M71" t="n">
        <v>624.927413</v>
      </c>
      <c r="N71" t="n">
        <v>624.927413</v>
      </c>
      <c r="O71" t="n">
        <v>66.41242099999999</v>
      </c>
      <c r="P71" t="n">
        <v>30.269118</v>
      </c>
      <c r="W71" t="n">
        <v>67.525592</v>
      </c>
      <c r="X71" t="n">
        <v>706.254767</v>
      </c>
      <c r="Z71" t="n">
        <v>40.467693</v>
      </c>
    </row>
    <row r="72" ht="21" customHeight="1">
      <c r="A72" t="inlineStr">
        <is>
          <t>Psettodes erumei</t>
        </is>
      </c>
      <c r="B72" t="n">
        <v>4.39</v>
      </c>
      <c r="C72" t="n">
        <v>2454.708916</v>
      </c>
      <c r="D72" s="11" t="inlineStr">
        <is>
          <t>Med.dem.pisc.</t>
        </is>
      </c>
      <c r="H72" t="n">
        <v>155.33566</v>
      </c>
      <c r="I72" t="n">
        <v>128.379185</v>
      </c>
      <c r="J72" t="n">
        <v>128.379185</v>
      </c>
      <c r="K72" t="n">
        <v>126.665099</v>
      </c>
      <c r="L72" t="n">
        <v>445.224589</v>
      </c>
      <c r="M72" t="n">
        <v>418.545351</v>
      </c>
      <c r="N72" t="n">
        <v>418.545351</v>
      </c>
      <c r="O72" t="n">
        <v>63.857635</v>
      </c>
      <c r="P72" t="n">
        <v>28.35152</v>
      </c>
      <c r="W72" t="n">
        <v>65.503055</v>
      </c>
      <c r="X72" t="n">
        <v>471.535709</v>
      </c>
      <c r="Z72" t="n">
        <v>40.283509</v>
      </c>
    </row>
    <row r="73" ht="21" customHeight="1">
      <c r="A73" t="inlineStr">
        <is>
          <t>Serranidae</t>
        </is>
      </c>
      <c r="B73" t="n">
        <v>3.98</v>
      </c>
      <c r="C73" t="n">
        <v>954.992586</v>
      </c>
      <c r="D73" s="11" t="inlineStr">
        <is>
          <t>Grouper/snapper | Juv. groupers</t>
        </is>
      </c>
      <c r="H73" t="n">
        <v>490.511951</v>
      </c>
      <c r="I73" t="n">
        <v>374.298234</v>
      </c>
      <c r="J73" t="n">
        <v>374.298234</v>
      </c>
      <c r="K73" t="n">
        <v>330.678405</v>
      </c>
      <c r="L73" t="n">
        <v>1297.204135</v>
      </c>
      <c r="M73" t="n">
        <v>1220.265871</v>
      </c>
      <c r="N73" t="n">
        <v>1220.265871</v>
      </c>
      <c r="O73" t="n">
        <v>163.320182</v>
      </c>
      <c r="P73" t="n">
        <v>62.822979</v>
      </c>
      <c r="W73" t="n">
        <v>168.925067</v>
      </c>
      <c r="X73" t="n">
        <v>1398.864018</v>
      </c>
      <c r="Z73" t="n">
        <v>102.926065</v>
      </c>
    </row>
    <row r="74" ht="21" customHeight="1">
      <c r="A74" t="inlineStr">
        <is>
          <t>Chirocentrus</t>
        </is>
      </c>
      <c r="B74" t="n">
        <v>4.3</v>
      </c>
      <c r="C74" t="n">
        <v>1995.262315</v>
      </c>
      <c r="D74" s="11" t="inlineStr">
        <is>
          <t>Juv.Lg.Pisciv. | Lg. piscivores</t>
        </is>
      </c>
      <c r="H74" t="n">
        <v>401.23396</v>
      </c>
      <c r="I74" t="n">
        <v>262.057593</v>
      </c>
      <c r="J74" t="n">
        <v>262.057593</v>
      </c>
      <c r="K74" t="n">
        <v>243.37383</v>
      </c>
      <c r="L74" t="n">
        <v>806.383997</v>
      </c>
      <c r="M74" t="n">
        <v>760.332928</v>
      </c>
      <c r="N74" t="n">
        <v>760.332928</v>
      </c>
      <c r="O74" t="n">
        <v>136.609619</v>
      </c>
      <c r="P74" t="n">
        <v>56.19878</v>
      </c>
      <c r="W74" t="n">
        <v>141.082797</v>
      </c>
      <c r="X74" t="n">
        <v>853.530558</v>
      </c>
      <c r="Z74" t="n">
        <v>90.598209</v>
      </c>
    </row>
    <row r="75" ht="21" customHeight="1">
      <c r="A75" t="inlineStr">
        <is>
          <t>Epinephelus</t>
        </is>
      </c>
      <c r="B75" t="n">
        <v>3.84</v>
      </c>
      <c r="C75" t="n">
        <v>691.830971</v>
      </c>
      <c r="D75" s="11" t="inlineStr">
        <is>
          <t>Grouper/snapper | Juv. groupers</t>
        </is>
      </c>
      <c r="H75" t="n">
        <v>490.511951</v>
      </c>
      <c r="I75" t="n">
        <v>374.298234</v>
      </c>
      <c r="J75" t="n">
        <v>374.298234</v>
      </c>
      <c r="K75" t="n">
        <v>330.678405</v>
      </c>
      <c r="L75" t="n">
        <v>1297.204135</v>
      </c>
      <c r="M75" t="n">
        <v>1220.265871</v>
      </c>
      <c r="N75" t="n">
        <v>1220.265871</v>
      </c>
      <c r="O75" t="n">
        <v>163.320182</v>
      </c>
      <c r="P75" t="n">
        <v>62.822979</v>
      </c>
      <c r="W75" t="n">
        <v>168.925067</v>
      </c>
      <c r="X75" t="n">
        <v>1398.864018</v>
      </c>
      <c r="Z75" t="n">
        <v>102.926065</v>
      </c>
    </row>
    <row r="76" ht="21" customHeight="1">
      <c r="A76" t="inlineStr">
        <is>
          <t>Portunidae</t>
        </is>
      </c>
      <c r="B76" t="n">
        <v>3.56</v>
      </c>
      <c r="C76" t="n">
        <v>363.078055</v>
      </c>
      <c r="D76" s="11" t="inlineStr">
        <is>
          <t>Crab, lobster</t>
        </is>
      </c>
      <c r="H76" t="n">
        <v>64.54244300000001</v>
      </c>
      <c r="I76" t="n">
        <v>77.512685</v>
      </c>
      <c r="J76" t="n">
        <v>77.512685</v>
      </c>
      <c r="K76" t="n">
        <v>66.489323</v>
      </c>
      <c r="L76" t="n">
        <v>295.897518</v>
      </c>
      <c r="M76" t="n">
        <v>277.943826</v>
      </c>
      <c r="N76" t="n">
        <v>277.943826</v>
      </c>
      <c r="O76" t="n">
        <v>27.221053</v>
      </c>
      <c r="P76" t="n">
        <v>12.636092</v>
      </c>
      <c r="W76" t="n">
        <v>27.422905</v>
      </c>
      <c r="X76" t="n">
        <v>312.087764</v>
      </c>
      <c r="Z76" t="n">
        <v>20.139757</v>
      </c>
    </row>
    <row r="77" ht="21" customHeight="1">
      <c r="A77" t="inlineStr">
        <is>
          <t>Lutjanus malabaricus</t>
        </is>
      </c>
      <c r="D77" s="11" t="inlineStr">
        <is>
          <t>Grouper/snapper | Juv. groupers</t>
        </is>
      </c>
      <c r="H77" t="n">
        <v>490.511951</v>
      </c>
      <c r="I77" t="n">
        <v>374.298234</v>
      </c>
      <c r="J77" t="n">
        <v>374.298234</v>
      </c>
      <c r="K77" t="n">
        <v>330.678405</v>
      </c>
      <c r="L77" t="n">
        <v>1297.204135</v>
      </c>
      <c r="M77" t="n">
        <v>1220.265871</v>
      </c>
      <c r="N77" t="n">
        <v>1220.265871</v>
      </c>
      <c r="O77" t="n">
        <v>163.320182</v>
      </c>
      <c r="P77" t="n">
        <v>62.822979</v>
      </c>
      <c r="W77" t="n">
        <v>168.925067</v>
      </c>
      <c r="X77" t="n">
        <v>1398.864018</v>
      </c>
      <c r="Z77" t="n">
        <v>102.926065</v>
      </c>
    </row>
    <row r="78" ht="21" customHeight="1">
      <c r="A78" t="inlineStr">
        <is>
          <t>Muraenesox cinereus</t>
        </is>
      </c>
      <c r="B78" t="n">
        <v>4.38</v>
      </c>
      <c r="C78" t="n">
        <v>2398.832919</v>
      </c>
      <c r="D78" s="11" t="inlineStr">
        <is>
          <t>Juv.Lg.Pisciv. | Lg. piscivores</t>
        </is>
      </c>
      <c r="H78" t="n">
        <v>401.23396</v>
      </c>
      <c r="I78" t="n">
        <v>262.057593</v>
      </c>
      <c r="J78" t="n">
        <v>262.057593</v>
      </c>
      <c r="K78" t="n">
        <v>243.37383</v>
      </c>
      <c r="L78" t="n">
        <v>806.383997</v>
      </c>
      <c r="M78" t="n">
        <v>760.332928</v>
      </c>
      <c r="N78" t="n">
        <v>760.332928</v>
      </c>
      <c r="O78" t="n">
        <v>136.609619</v>
      </c>
      <c r="P78" t="n">
        <v>56.19878</v>
      </c>
      <c r="W78" t="n">
        <v>141.082797</v>
      </c>
      <c r="X78" t="n">
        <v>853.530558</v>
      </c>
      <c r="Z78" t="n">
        <v>90.598209</v>
      </c>
    </row>
    <row r="79" ht="21" customHeight="1">
      <c r="A79" t="inlineStr">
        <is>
          <t>Upeneus</t>
        </is>
      </c>
      <c r="B79" t="n">
        <v>3.54</v>
      </c>
      <c r="C79" t="n">
        <v>346.73685</v>
      </c>
      <c r="D79" s="11" t="inlineStr">
        <is>
          <t>Med.dem.benth.</t>
        </is>
      </c>
      <c r="H79" t="n">
        <v>136.909799</v>
      </c>
      <c r="I79" t="n">
        <v>177.004212</v>
      </c>
      <c r="J79" t="n">
        <v>177.004212</v>
      </c>
      <c r="K79" t="n">
        <v>158.443355</v>
      </c>
      <c r="L79" t="n">
        <v>664.022909</v>
      </c>
      <c r="M79" t="n">
        <v>624.927413</v>
      </c>
      <c r="N79" t="n">
        <v>624.927413</v>
      </c>
      <c r="O79" t="n">
        <v>66.41242099999999</v>
      </c>
      <c r="P79" t="n">
        <v>30.269118</v>
      </c>
      <c r="W79" t="n">
        <v>67.525592</v>
      </c>
      <c r="X79" t="n">
        <v>706.254767</v>
      </c>
      <c r="Z79" t="n">
        <v>40.467693</v>
      </c>
    </row>
    <row r="80" ht="21" customHeight="1">
      <c r="A80" t="inlineStr">
        <is>
          <t>Gobiidae</t>
        </is>
      </c>
      <c r="B80" t="n">
        <v>3.11</v>
      </c>
      <c r="C80" t="n">
        <v>128.824955</v>
      </c>
      <c r="D80" s="11" t="inlineStr">
        <is>
          <t>Sm.dem.benth.</t>
        </is>
      </c>
      <c r="H80" t="n">
        <v>85.26248099999999</v>
      </c>
      <c r="I80" t="n">
        <v>87.40013</v>
      </c>
      <c r="J80" t="n">
        <v>87.40013</v>
      </c>
      <c r="K80" t="n">
        <v>73.65420399999999</v>
      </c>
      <c r="L80" t="n">
        <v>308.045854</v>
      </c>
      <c r="M80" t="n">
        <v>289.86806</v>
      </c>
      <c r="N80" t="n">
        <v>289.86806</v>
      </c>
      <c r="O80" t="n">
        <v>35.580632</v>
      </c>
      <c r="P80" t="n">
        <v>17.310642</v>
      </c>
      <c r="W80" t="n">
        <v>36.030766</v>
      </c>
      <c r="X80" t="n">
        <v>325.833864</v>
      </c>
      <c r="Z80" t="n">
        <v>27.099073</v>
      </c>
    </row>
    <row r="81" ht="21" customHeight="1">
      <c r="A81" t="inlineStr">
        <is>
          <t>Penaeus latisulcatus</t>
        </is>
      </c>
      <c r="B81" t="n">
        <v>2.7</v>
      </c>
      <c r="C81" t="n">
        <v>50.118723</v>
      </c>
      <c r="D81" s="11" t="inlineStr">
        <is>
          <t>Shrimps</t>
        </is>
      </c>
      <c r="H81" t="n">
        <v>29.428499</v>
      </c>
      <c r="I81" t="n">
        <v>30.201348</v>
      </c>
      <c r="J81" t="n">
        <v>30.201348</v>
      </c>
      <c r="K81" t="n">
        <v>28.691281</v>
      </c>
      <c r="L81" t="n">
        <v>110.883242</v>
      </c>
      <c r="M81" t="n">
        <v>103.574278</v>
      </c>
      <c r="N81" t="n">
        <v>103.574278</v>
      </c>
      <c r="O81" t="n">
        <v>13.035789</v>
      </c>
      <c r="P81" t="n">
        <v>6.34711</v>
      </c>
      <c r="W81" t="n">
        <v>13.241537</v>
      </c>
      <c r="X81" t="n">
        <v>117.005531</v>
      </c>
      <c r="Z81" t="n">
        <v>9.725251</v>
      </c>
    </row>
    <row r="82" ht="21" customHeight="1">
      <c r="A82" t="inlineStr">
        <is>
          <t>Sepioteuthis lessoniana</t>
        </is>
      </c>
      <c r="B82" t="n">
        <v>3.98</v>
      </c>
      <c r="C82" t="n">
        <v>954.992586</v>
      </c>
      <c r="D82" s="11" t="inlineStr">
        <is>
          <t>Cephalopods</t>
        </is>
      </c>
      <c r="H82" t="n">
        <v>123.705654</v>
      </c>
      <c r="I82" t="n">
        <v>98.832763</v>
      </c>
      <c r="J82" t="n">
        <v>98.832763</v>
      </c>
      <c r="K82" t="n">
        <v>95.965153</v>
      </c>
      <c r="L82" t="n">
        <v>349.557692</v>
      </c>
      <c r="M82" t="n">
        <v>328.556033</v>
      </c>
      <c r="N82" t="n">
        <v>328.556033</v>
      </c>
      <c r="O82" t="n">
        <v>60.210877</v>
      </c>
      <c r="P82" t="n">
        <v>27.458851</v>
      </c>
      <c r="W82" t="n">
        <v>61.37127</v>
      </c>
      <c r="X82" t="n">
        <v>358.735586</v>
      </c>
      <c r="Z82" t="n">
        <v>35.265425</v>
      </c>
    </row>
    <row r="83" ht="21" customHeight="1">
      <c r="A83" t="inlineStr">
        <is>
          <t>Pomadasys</t>
        </is>
      </c>
      <c r="B83" t="n">
        <v>3.59</v>
      </c>
      <c r="C83" t="n">
        <v>389.045145</v>
      </c>
      <c r="D83" s="11" t="inlineStr">
        <is>
          <t>Med.dem.benth.</t>
        </is>
      </c>
      <c r="H83" t="n">
        <v>136.909799</v>
      </c>
      <c r="I83" t="n">
        <v>177.004212</v>
      </c>
      <c r="J83" t="n">
        <v>177.004212</v>
      </c>
      <c r="K83" t="n">
        <v>158.443355</v>
      </c>
      <c r="L83" t="n">
        <v>664.022909</v>
      </c>
      <c r="M83" t="n">
        <v>624.927413</v>
      </c>
      <c r="N83" t="n">
        <v>624.927413</v>
      </c>
      <c r="O83" t="n">
        <v>66.41242099999999</v>
      </c>
      <c r="P83" t="n">
        <v>30.269118</v>
      </c>
      <c r="W83" t="n">
        <v>67.525592</v>
      </c>
      <c r="X83" t="n">
        <v>706.254767</v>
      </c>
      <c r="Z83" t="n">
        <v>40.467693</v>
      </c>
    </row>
    <row r="84" ht="21" customHeight="1">
      <c r="A84" t="inlineStr">
        <is>
          <t>Scylla serrata</t>
        </is>
      </c>
      <c r="B84" t="n">
        <v>3.17</v>
      </c>
      <c r="C84" t="n">
        <v>147.910839</v>
      </c>
      <c r="D84" s="11" t="inlineStr">
        <is>
          <t>Crab, lobster</t>
        </is>
      </c>
      <c r="H84" t="n">
        <v>64.54244300000001</v>
      </c>
      <c r="I84" t="n">
        <v>77.512685</v>
      </c>
      <c r="J84" t="n">
        <v>77.512685</v>
      </c>
      <c r="K84" t="n">
        <v>66.489323</v>
      </c>
      <c r="L84" t="n">
        <v>295.897518</v>
      </c>
      <c r="M84" t="n">
        <v>277.943826</v>
      </c>
      <c r="N84" t="n">
        <v>277.943826</v>
      </c>
      <c r="O84" t="n">
        <v>27.221053</v>
      </c>
      <c r="P84" t="n">
        <v>12.636092</v>
      </c>
      <c r="W84" t="n">
        <v>27.422905</v>
      </c>
      <c r="X84" t="n">
        <v>312.087764</v>
      </c>
      <c r="Z84" t="n">
        <v>20.139757</v>
      </c>
    </row>
    <row r="85" ht="21" customHeight="1">
      <c r="A85" t="inlineStr">
        <is>
          <t>Balistidae</t>
        </is>
      </c>
      <c r="B85" t="n">
        <v>3.25</v>
      </c>
      <c r="C85" t="n">
        <v>177.827941</v>
      </c>
      <c r="D85" s="11" t="inlineStr">
        <is>
          <t>Med.dem.benth.</t>
        </is>
      </c>
      <c r="H85" t="n">
        <v>136.909799</v>
      </c>
      <c r="I85" t="n">
        <v>177.004212</v>
      </c>
      <c r="J85" t="n">
        <v>177.004212</v>
      </c>
      <c r="K85" t="n">
        <v>158.443355</v>
      </c>
      <c r="L85" t="n">
        <v>664.022909</v>
      </c>
      <c r="M85" t="n">
        <v>624.927413</v>
      </c>
      <c r="N85" t="n">
        <v>624.927413</v>
      </c>
      <c r="O85" t="n">
        <v>66.41242099999999</v>
      </c>
      <c r="P85" t="n">
        <v>30.269118</v>
      </c>
      <c r="W85" t="n">
        <v>67.525592</v>
      </c>
      <c r="X85" t="n">
        <v>706.254767</v>
      </c>
      <c r="Z85" t="n">
        <v>40.467693</v>
      </c>
    </row>
    <row r="86" ht="21" customHeight="1">
      <c r="A86" t="inlineStr">
        <is>
          <t>Trichiurus</t>
        </is>
      </c>
      <c r="B86" t="n">
        <v>4.42</v>
      </c>
      <c r="C86" t="n">
        <v>2630.267992</v>
      </c>
      <c r="D86" s="11" t="inlineStr">
        <is>
          <t>Juv.Lg.Pisciv. | Lg. piscivores</t>
        </is>
      </c>
      <c r="H86" t="n">
        <v>401.23396</v>
      </c>
      <c r="I86" t="n">
        <v>262.057593</v>
      </c>
      <c r="J86" t="n">
        <v>262.057593</v>
      </c>
      <c r="K86" t="n">
        <v>243.37383</v>
      </c>
      <c r="L86" t="n">
        <v>806.383997</v>
      </c>
      <c r="M86" t="n">
        <v>760.332928</v>
      </c>
      <c r="N86" t="n">
        <v>760.332928</v>
      </c>
      <c r="O86" t="n">
        <v>136.609619</v>
      </c>
      <c r="P86" t="n">
        <v>56.19878</v>
      </c>
      <c r="W86" t="n">
        <v>141.082797</v>
      </c>
      <c r="X86" t="n">
        <v>853.530558</v>
      </c>
      <c r="Z86" t="n">
        <v>90.598209</v>
      </c>
    </row>
    <row r="87" ht="21" customHeight="1">
      <c r="A87" t="inlineStr">
        <is>
          <t>Penaeus semisulcatus</t>
        </is>
      </c>
      <c r="B87" t="n">
        <v>2</v>
      </c>
      <c r="C87" t="n">
        <v>10</v>
      </c>
      <c r="D87" s="11" t="inlineStr">
        <is>
          <t>Shrimps</t>
        </is>
      </c>
      <c r="H87" t="n">
        <v>29.428499</v>
      </c>
      <c r="I87" t="n">
        <v>30.201348</v>
      </c>
      <c r="J87" t="n">
        <v>30.201348</v>
      </c>
      <c r="K87" t="n">
        <v>28.691281</v>
      </c>
      <c r="L87" t="n">
        <v>110.883242</v>
      </c>
      <c r="M87" t="n">
        <v>103.574278</v>
      </c>
      <c r="N87" t="n">
        <v>103.574278</v>
      </c>
      <c r="O87" t="n">
        <v>13.035789</v>
      </c>
      <c r="P87" t="n">
        <v>6.34711</v>
      </c>
      <c r="W87" t="n">
        <v>13.241537</v>
      </c>
      <c r="X87" t="n">
        <v>117.005531</v>
      </c>
      <c r="Z87" t="n">
        <v>9.725251</v>
      </c>
    </row>
    <row r="88" ht="21" customHeight="1">
      <c r="A88" t="inlineStr">
        <is>
          <t>Carcharhinus</t>
        </is>
      </c>
      <c r="B88" t="n">
        <v>4.26</v>
      </c>
      <c r="C88" t="n">
        <v>1819.700859</v>
      </c>
      <c r="D88" s="11" t="inlineStr">
        <is>
          <t>Sharks | Juv. sharks</t>
        </is>
      </c>
      <c r="H88" t="n">
        <v>1428.928099</v>
      </c>
      <c r="I88" t="n">
        <v>692.907195</v>
      </c>
      <c r="J88" t="n">
        <v>692.907195</v>
      </c>
      <c r="K88" t="n">
        <v>659.911648</v>
      </c>
      <c r="L88" t="n">
        <v>2016.586739</v>
      </c>
      <c r="M88" t="n">
        <v>1902.823959</v>
      </c>
      <c r="N88" t="n">
        <v>1902.823959</v>
      </c>
      <c r="O88" t="n">
        <v>378.444678</v>
      </c>
      <c r="P88" t="n">
        <v>131.171791</v>
      </c>
      <c r="W88" t="n">
        <v>405.556761</v>
      </c>
      <c r="X88" t="n">
        <v>2124.182848</v>
      </c>
      <c r="Z88" t="n">
        <v>239.260998</v>
      </c>
    </row>
    <row r="89" ht="21" customHeight="1">
      <c r="A89" t="inlineStr">
        <is>
          <t>Katsuwonus pelamis</t>
        </is>
      </c>
      <c r="B89" t="n">
        <v>4.43</v>
      </c>
      <c r="C89" t="n">
        <v>2691.534804</v>
      </c>
      <c r="D89" s="11" t="inlineStr">
        <is>
          <t>Tuna</t>
        </is>
      </c>
      <c r="H89" t="n">
        <v>607.7580799999999</v>
      </c>
      <c r="I89" t="n">
        <v>280.575009</v>
      </c>
      <c r="J89" t="n">
        <v>280.575009</v>
      </c>
      <c r="K89" t="n">
        <v>266.546258</v>
      </c>
      <c r="L89" t="n">
        <v>675.870038</v>
      </c>
      <c r="M89" t="n">
        <v>640.5943130000001</v>
      </c>
      <c r="N89" t="n">
        <v>640.5943130000001</v>
      </c>
      <c r="O89" t="n">
        <v>182.123293</v>
      </c>
      <c r="P89" t="n">
        <v>73.82745199999999</v>
      </c>
      <c r="W89" t="n">
        <v>192.014278</v>
      </c>
      <c r="X89" t="n">
        <v>708.383019</v>
      </c>
      <c r="Z89" t="n">
        <v>131.160567</v>
      </c>
    </row>
    <row r="90" ht="21" customHeight="1">
      <c r="A90" t="inlineStr">
        <is>
          <t>Thenus orientalis</t>
        </is>
      </c>
      <c r="B90" t="n">
        <v>2.5</v>
      </c>
      <c r="C90" t="n">
        <v>31.622777</v>
      </c>
      <c r="D90" s="11" t="inlineStr">
        <is>
          <t>Crab, lobster</t>
        </is>
      </c>
      <c r="H90" t="n">
        <v>64.54244300000001</v>
      </c>
      <c r="I90" t="n">
        <v>77.512685</v>
      </c>
      <c r="J90" t="n">
        <v>77.512685</v>
      </c>
      <c r="K90" t="n">
        <v>66.489323</v>
      </c>
      <c r="L90" t="n">
        <v>295.897518</v>
      </c>
      <c r="M90" t="n">
        <v>277.943826</v>
      </c>
      <c r="N90" t="n">
        <v>277.943826</v>
      </c>
      <c r="O90" t="n">
        <v>27.221053</v>
      </c>
      <c r="P90" t="n">
        <v>12.636092</v>
      </c>
      <c r="W90" t="n">
        <v>27.422905</v>
      </c>
      <c r="X90" t="n">
        <v>312.087764</v>
      </c>
      <c r="Z90" t="n">
        <v>20.139757</v>
      </c>
    </row>
    <row r="91" ht="21" customHeight="1">
      <c r="A91" t="inlineStr">
        <is>
          <t>Penaeus monodon</t>
        </is>
      </c>
      <c r="B91" t="n">
        <v>2.6</v>
      </c>
      <c r="C91" t="n">
        <v>39.810717</v>
      </c>
      <c r="D91" s="11" t="inlineStr">
        <is>
          <t>Shrimps</t>
        </is>
      </c>
      <c r="H91" t="n">
        <v>29.428499</v>
      </c>
      <c r="I91" t="n">
        <v>30.201348</v>
      </c>
      <c r="J91" t="n">
        <v>30.201348</v>
      </c>
      <c r="K91" t="n">
        <v>28.691281</v>
      </c>
      <c r="L91" t="n">
        <v>110.883242</v>
      </c>
      <c r="M91" t="n">
        <v>103.574278</v>
      </c>
      <c r="N91" t="n">
        <v>103.574278</v>
      </c>
      <c r="O91" t="n">
        <v>13.035789</v>
      </c>
      <c r="P91" t="n">
        <v>6.34711</v>
      </c>
      <c r="W91" t="n">
        <v>13.241537</v>
      </c>
      <c r="X91" t="n">
        <v>117.005531</v>
      </c>
      <c r="Z91" t="n">
        <v>9.725251</v>
      </c>
    </row>
    <row r="92" ht="21" customHeight="1">
      <c r="A92" t="inlineStr">
        <is>
          <t>Terapon</t>
        </is>
      </c>
      <c r="B92" t="n">
        <v>3.5</v>
      </c>
      <c r="C92" t="n">
        <v>316.227766</v>
      </c>
      <c r="D92" s="11" t="inlineStr">
        <is>
          <t>Med.dem.benth.</t>
        </is>
      </c>
      <c r="H92" t="n">
        <v>136.909799</v>
      </c>
      <c r="I92" t="n">
        <v>177.004212</v>
      </c>
      <c r="J92" t="n">
        <v>177.004212</v>
      </c>
      <c r="K92" t="n">
        <v>158.443355</v>
      </c>
      <c r="L92" t="n">
        <v>664.022909</v>
      </c>
      <c r="M92" t="n">
        <v>624.927413</v>
      </c>
      <c r="N92" t="n">
        <v>624.927413</v>
      </c>
      <c r="O92" t="n">
        <v>66.41242099999999</v>
      </c>
      <c r="P92" t="n">
        <v>30.269118</v>
      </c>
      <c r="W92" t="n">
        <v>67.525592</v>
      </c>
      <c r="X92" t="n">
        <v>706.254767</v>
      </c>
      <c r="Z92" t="n">
        <v>40.467693</v>
      </c>
    </row>
    <row r="93" ht="21" customHeight="1">
      <c r="A93" t="inlineStr">
        <is>
          <t>Polynemidae</t>
        </is>
      </c>
      <c r="B93" t="n">
        <v>3.62</v>
      </c>
      <c r="C93" t="n">
        <v>416.869383</v>
      </c>
      <c r="D93" s="11" t="inlineStr">
        <is>
          <t>Sm.dem.benth.</t>
        </is>
      </c>
      <c r="H93" t="n">
        <v>85.26248099999999</v>
      </c>
      <c r="I93" t="n">
        <v>87.40013</v>
      </c>
      <c r="J93" t="n">
        <v>87.40013</v>
      </c>
      <c r="K93" t="n">
        <v>73.65420399999999</v>
      </c>
      <c r="L93" t="n">
        <v>308.045854</v>
      </c>
      <c r="M93" t="n">
        <v>289.86806</v>
      </c>
      <c r="N93" t="n">
        <v>289.86806</v>
      </c>
      <c r="O93" t="n">
        <v>35.580632</v>
      </c>
      <c r="P93" t="n">
        <v>17.310642</v>
      </c>
      <c r="W93" t="n">
        <v>36.030766</v>
      </c>
      <c r="X93" t="n">
        <v>325.833864</v>
      </c>
      <c r="Z93" t="n">
        <v>27.099073</v>
      </c>
    </row>
    <row r="94" ht="21" customHeight="1">
      <c r="A94" t="inlineStr">
        <is>
          <t>Cynoglossus</t>
        </is>
      </c>
      <c r="B94" t="n">
        <v>3.36</v>
      </c>
      <c r="C94" t="n">
        <v>229.086765</v>
      </c>
      <c r="D94" s="11" t="inlineStr">
        <is>
          <t>Flatfish</t>
        </is>
      </c>
      <c r="H94" t="n">
        <v>117.649149</v>
      </c>
      <c r="I94" t="n">
        <v>112.675872</v>
      </c>
      <c r="J94" t="n">
        <v>112.675872</v>
      </c>
      <c r="K94" t="n">
        <v>108.450527</v>
      </c>
      <c r="L94" t="n">
        <v>418.824939</v>
      </c>
      <c r="M94" t="n">
        <v>394.106352</v>
      </c>
      <c r="N94" t="n">
        <v>394.106352</v>
      </c>
      <c r="O94" t="n">
        <v>46.321684</v>
      </c>
      <c r="P94" t="n">
        <v>21.368116</v>
      </c>
      <c r="W94" t="n">
        <v>47.538999</v>
      </c>
      <c r="X94" t="n">
        <v>442.733725</v>
      </c>
      <c r="Z94" t="n">
        <v>35.556275</v>
      </c>
    </row>
    <row r="95" ht="21" customHeight="1">
      <c r="A95" t="inlineStr">
        <is>
          <t>Leiognathus</t>
        </is>
      </c>
      <c r="B95" t="n">
        <v>3.22</v>
      </c>
      <c r="C95" t="n">
        <v>165.958691</v>
      </c>
      <c r="D95" s="11" t="inlineStr">
        <is>
          <t>Ponyfishes</t>
        </is>
      </c>
      <c r="H95" t="n">
        <v>52.16736</v>
      </c>
      <c r="I95" t="n">
        <v>49.169549</v>
      </c>
      <c r="J95" t="n">
        <v>49.169549</v>
      </c>
      <c r="K95" t="n">
        <v>47.780249</v>
      </c>
      <c r="L95" t="n">
        <v>167.671166</v>
      </c>
      <c r="M95" t="n">
        <v>158.207025</v>
      </c>
      <c r="N95" t="n">
        <v>158.207025</v>
      </c>
      <c r="O95" t="n">
        <v>24.374737</v>
      </c>
      <c r="P95" t="n">
        <v>12.739675</v>
      </c>
      <c r="W95" t="n">
        <v>24.875478</v>
      </c>
      <c r="X95" t="n">
        <v>177.579863</v>
      </c>
      <c r="Z95" t="n">
        <v>18.864552</v>
      </c>
    </row>
    <row r="96" ht="21" customHeight="1">
      <c r="A96" t="inlineStr">
        <is>
          <t>Tetraodontidae</t>
        </is>
      </c>
      <c r="B96" t="n">
        <v>3.5</v>
      </c>
      <c r="C96" t="n">
        <v>316.227766</v>
      </c>
      <c r="D96" s="11" t="inlineStr">
        <is>
          <t>Med.dem.benth.</t>
        </is>
      </c>
      <c r="H96" t="n">
        <v>136.909799</v>
      </c>
      <c r="I96" t="n">
        <v>177.004212</v>
      </c>
      <c r="J96" t="n">
        <v>177.004212</v>
      </c>
      <c r="K96" t="n">
        <v>158.443355</v>
      </c>
      <c r="L96" t="n">
        <v>664.022909</v>
      </c>
      <c r="M96" t="n">
        <v>624.927413</v>
      </c>
      <c r="N96" t="n">
        <v>624.927413</v>
      </c>
      <c r="O96" t="n">
        <v>66.41242099999999</v>
      </c>
      <c r="P96" t="n">
        <v>30.269118</v>
      </c>
      <c r="W96" t="n">
        <v>67.525592</v>
      </c>
      <c r="X96" t="n">
        <v>706.254767</v>
      </c>
      <c r="Z96" t="n">
        <v>40.467693</v>
      </c>
    </row>
    <row r="97" ht="21" customHeight="1">
      <c r="A97" t="inlineStr">
        <is>
          <t>Seriolina nigrofasciata</t>
        </is>
      </c>
      <c r="B97" t="n">
        <v>4.17</v>
      </c>
      <c r="C97" t="n">
        <v>1479.108388</v>
      </c>
      <c r="D97" s="11" t="inlineStr">
        <is>
          <t>Lg. piscivores | Juv.Lg.Pisciv.</t>
        </is>
      </c>
      <c r="H97" t="n">
        <v>401.23396</v>
      </c>
      <c r="I97" t="n">
        <v>262.057593</v>
      </c>
      <c r="J97" t="n">
        <v>262.057593</v>
      </c>
      <c r="K97" t="n">
        <v>243.37383</v>
      </c>
      <c r="L97" t="n">
        <v>806.383997</v>
      </c>
      <c r="M97" t="n">
        <v>760.332928</v>
      </c>
      <c r="N97" t="n">
        <v>760.332928</v>
      </c>
      <c r="O97" t="n">
        <v>136.609619</v>
      </c>
      <c r="P97" t="n">
        <v>56.19878</v>
      </c>
      <c r="W97" t="n">
        <v>141.082797</v>
      </c>
      <c r="X97" t="n">
        <v>853.530558</v>
      </c>
      <c r="Z97" t="n">
        <v>90.598209</v>
      </c>
    </row>
    <row r="98" ht="21" customHeight="1">
      <c r="A98" t="inlineStr">
        <is>
          <t>Miscellaneous aquatic invertebrates</t>
        </is>
      </c>
      <c r="B98" t="n">
        <v>2.43</v>
      </c>
      <c r="C98" t="n">
        <v>26.915348</v>
      </c>
      <c r="D98" s="11" t="inlineStr">
        <is>
          <t>Benthos</t>
        </is>
      </c>
      <c r="H98" t="n">
        <v>19.803398</v>
      </c>
      <c r="I98" t="n">
        <v>33.244662</v>
      </c>
      <c r="J98" t="n">
        <v>33.244662</v>
      </c>
      <c r="K98" t="n">
        <v>10.824674</v>
      </c>
      <c r="L98" t="n">
        <v>126.575988</v>
      </c>
      <c r="M98" t="n">
        <v>119.208211</v>
      </c>
      <c r="N98" t="n">
        <v>119.208211</v>
      </c>
      <c r="O98" t="n">
        <v>13.610526</v>
      </c>
      <c r="P98" t="n">
        <v>7.897558</v>
      </c>
      <c r="W98" t="n">
        <v>13.71813</v>
      </c>
      <c r="X98" t="n">
        <v>133.108159</v>
      </c>
      <c r="Z98" t="n">
        <v>9.089086999999999</v>
      </c>
    </row>
    <row r="99" ht="21" customHeight="1">
      <c r="A99" t="inlineStr">
        <is>
          <t>Parapenaeopsis</t>
        </is>
      </c>
      <c r="B99" t="n">
        <v>2.72</v>
      </c>
      <c r="C99" t="n">
        <v>52.480746</v>
      </c>
      <c r="D99" s="11" t="inlineStr">
        <is>
          <t>Shrimps</t>
        </is>
      </c>
      <c r="H99" t="n">
        <v>29.428499</v>
      </c>
      <c r="I99" t="n">
        <v>30.201348</v>
      </c>
      <c r="J99" t="n">
        <v>30.201348</v>
      </c>
      <c r="K99" t="n">
        <v>28.691281</v>
      </c>
      <c r="L99" t="n">
        <v>110.883242</v>
      </c>
      <c r="M99" t="n">
        <v>103.574278</v>
      </c>
      <c r="N99" t="n">
        <v>103.574278</v>
      </c>
      <c r="O99" t="n">
        <v>13.035789</v>
      </c>
      <c r="P99" t="n">
        <v>6.34711</v>
      </c>
      <c r="W99" t="n">
        <v>13.241537</v>
      </c>
      <c r="X99" t="n">
        <v>117.005531</v>
      </c>
      <c r="Z99" t="n">
        <v>9.725251</v>
      </c>
    </row>
    <row r="100" ht="21" customHeight="1">
      <c r="A100" t="inlineStr">
        <is>
          <t>Lutjanus</t>
        </is>
      </c>
      <c r="B100" t="n">
        <v>4.02</v>
      </c>
      <c r="C100" t="n">
        <v>1047.128548</v>
      </c>
      <c r="D100" s="11" t="inlineStr">
        <is>
          <t>Grouper/snapper | Juv. groupers</t>
        </is>
      </c>
      <c r="H100" t="n">
        <v>490.511951</v>
      </c>
      <c r="I100" t="n">
        <v>374.298234</v>
      </c>
      <c r="J100" t="n">
        <v>374.298234</v>
      </c>
      <c r="K100" t="n">
        <v>330.678405</v>
      </c>
      <c r="L100" t="n">
        <v>1297.204135</v>
      </c>
      <c r="M100" t="n">
        <v>1220.265871</v>
      </c>
      <c r="N100" t="n">
        <v>1220.265871</v>
      </c>
      <c r="O100" t="n">
        <v>163.320182</v>
      </c>
      <c r="P100" t="n">
        <v>62.822979</v>
      </c>
      <c r="W100" t="n">
        <v>168.925067</v>
      </c>
      <c r="X100" t="n">
        <v>1398.864018</v>
      </c>
      <c r="Z100" t="n">
        <v>102.926065</v>
      </c>
    </row>
    <row r="101" ht="21" customHeight="1">
      <c r="A101" t="inlineStr">
        <is>
          <t>Cephalopoda</t>
        </is>
      </c>
      <c r="B101" t="n">
        <v>3.81</v>
      </c>
      <c r="C101" t="n">
        <v>645.654229</v>
      </c>
      <c r="D101" s="11" t="inlineStr">
        <is>
          <t>Cephalopods</t>
        </is>
      </c>
      <c r="H101" t="n">
        <v>123.705654</v>
      </c>
      <c r="I101" t="n">
        <v>98.832763</v>
      </c>
      <c r="J101" t="n">
        <v>98.832763</v>
      </c>
      <c r="K101" t="n">
        <v>95.965153</v>
      </c>
      <c r="L101" t="n">
        <v>349.557692</v>
      </c>
      <c r="M101" t="n">
        <v>328.556033</v>
      </c>
      <c r="N101" t="n">
        <v>328.556033</v>
      </c>
      <c r="O101" t="n">
        <v>60.210877</v>
      </c>
      <c r="P101" t="n">
        <v>27.458851</v>
      </c>
      <c r="W101" t="n">
        <v>61.37127</v>
      </c>
      <c r="X101" t="n">
        <v>358.735586</v>
      </c>
      <c r="Z101" t="n">
        <v>35.265425</v>
      </c>
    </row>
    <row r="102" ht="21" customHeight="1">
      <c r="A102" t="inlineStr">
        <is>
          <t>Pristipomoides</t>
        </is>
      </c>
      <c r="B102" t="n">
        <v>3.91</v>
      </c>
      <c r="C102" t="n">
        <v>812.830516</v>
      </c>
      <c r="D102" s="11" t="inlineStr">
        <is>
          <t>Grouper/snapper | Juv. groupers</t>
        </is>
      </c>
      <c r="H102" t="n">
        <v>490.511951</v>
      </c>
      <c r="I102" t="n">
        <v>374.298234</v>
      </c>
      <c r="J102" t="n">
        <v>374.298234</v>
      </c>
      <c r="K102" t="n">
        <v>330.678405</v>
      </c>
      <c r="L102" t="n">
        <v>1297.204135</v>
      </c>
      <c r="M102" t="n">
        <v>1220.265871</v>
      </c>
      <c r="N102" t="n">
        <v>1220.265871</v>
      </c>
      <c r="O102" t="n">
        <v>163.320182</v>
      </c>
      <c r="P102" t="n">
        <v>62.822979</v>
      </c>
      <c r="W102" t="n">
        <v>168.925067</v>
      </c>
      <c r="X102" t="n">
        <v>1398.864018</v>
      </c>
      <c r="Z102" t="n">
        <v>102.926065</v>
      </c>
    </row>
    <row r="103" ht="21" customHeight="1">
      <c r="A103" t="inlineStr">
        <is>
          <t>Lutjanus quinquelineatus</t>
        </is>
      </c>
      <c r="B103" t="n">
        <v>3.68</v>
      </c>
      <c r="C103" t="n">
        <v>478.630092</v>
      </c>
      <c r="D103" s="11" t="inlineStr">
        <is>
          <t>Grouper/snapper | Juv. groupers</t>
        </is>
      </c>
      <c r="H103" t="n">
        <v>490.511951</v>
      </c>
      <c r="I103" t="n">
        <v>374.298234</v>
      </c>
      <c r="J103" t="n">
        <v>374.298234</v>
      </c>
      <c r="K103" t="n">
        <v>330.678405</v>
      </c>
      <c r="L103" t="n">
        <v>1297.204135</v>
      </c>
      <c r="M103" t="n">
        <v>1220.265871</v>
      </c>
      <c r="N103" t="n">
        <v>1220.265871</v>
      </c>
      <c r="O103" t="n">
        <v>163.320182</v>
      </c>
      <c r="P103" t="n">
        <v>62.822979</v>
      </c>
      <c r="W103" t="n">
        <v>168.925067</v>
      </c>
      <c r="X103" t="n">
        <v>1398.864018</v>
      </c>
      <c r="Z103" t="n">
        <v>102.926065</v>
      </c>
    </row>
    <row r="104" ht="21" customHeight="1">
      <c r="A104" t="inlineStr">
        <is>
          <t>Siganus</t>
        </is>
      </c>
      <c r="B104" t="n">
        <v>2.11</v>
      </c>
      <c r="C104" t="n">
        <v>12.882496</v>
      </c>
      <c r="D104" s="11" t="inlineStr">
        <is>
          <t>O.fish</t>
        </is>
      </c>
      <c r="H104" t="n">
        <v>42.929607</v>
      </c>
      <c r="I104" t="n">
        <v>39.536769</v>
      </c>
      <c r="J104" t="n">
        <v>39.536769</v>
      </c>
      <c r="K104" t="n">
        <v>39.483541</v>
      </c>
      <c r="L104" t="n">
        <v>135.960121</v>
      </c>
      <c r="M104" t="n">
        <v>127.952962</v>
      </c>
      <c r="N104" t="n">
        <v>127.952962</v>
      </c>
      <c r="O104" t="n">
        <v>19.978947</v>
      </c>
      <c r="P104" t="n">
        <v>10.349729</v>
      </c>
      <c r="W104" t="n">
        <v>20.259997</v>
      </c>
      <c r="X104" t="n">
        <v>144.304672</v>
      </c>
      <c r="Z104" t="n">
        <v>15.351157</v>
      </c>
    </row>
    <row r="105" ht="21" customHeight="1">
      <c r="A105" t="inlineStr">
        <is>
          <t>Nemipterus japonicus</t>
        </is>
      </c>
      <c r="B105" t="n">
        <v>3.77</v>
      </c>
      <c r="C105" t="n">
        <v>588.843655</v>
      </c>
      <c r="D105" s="11" t="inlineStr">
        <is>
          <t>Sm.dem.benth.</t>
        </is>
      </c>
      <c r="H105" t="n">
        <v>85.26248099999999</v>
      </c>
      <c r="I105" t="n">
        <v>87.40013</v>
      </c>
      <c r="J105" t="n">
        <v>87.40013</v>
      </c>
      <c r="K105" t="n">
        <v>73.65420399999999</v>
      </c>
      <c r="L105" t="n">
        <v>308.045854</v>
      </c>
      <c r="M105" t="n">
        <v>289.86806</v>
      </c>
      <c r="N105" t="n">
        <v>289.86806</v>
      </c>
      <c r="O105" t="n">
        <v>35.580632</v>
      </c>
      <c r="P105" t="n">
        <v>17.310642</v>
      </c>
      <c r="W105" t="n">
        <v>36.030766</v>
      </c>
      <c r="X105" t="n">
        <v>325.833864</v>
      </c>
      <c r="Z105" t="n">
        <v>27.099073</v>
      </c>
    </row>
    <row r="106" ht="21" customHeight="1">
      <c r="A106" t="inlineStr">
        <is>
          <t>Mugil</t>
        </is>
      </c>
      <c r="B106" t="n">
        <v>2.26</v>
      </c>
      <c r="C106" t="n">
        <v>18.197009</v>
      </c>
      <c r="D106" s="11" t="inlineStr">
        <is>
          <t>O.fish</t>
        </is>
      </c>
      <c r="H106" t="n">
        <v>42.929607</v>
      </c>
      <c r="I106" t="n">
        <v>39.536769</v>
      </c>
      <c r="J106" t="n">
        <v>39.536769</v>
      </c>
      <c r="K106" t="n">
        <v>39.483541</v>
      </c>
      <c r="L106" t="n">
        <v>135.960121</v>
      </c>
      <c r="M106" t="n">
        <v>127.952962</v>
      </c>
      <c r="N106" t="n">
        <v>127.952962</v>
      </c>
      <c r="O106" t="n">
        <v>19.978947</v>
      </c>
      <c r="P106" t="n">
        <v>10.349729</v>
      </c>
      <c r="W106" t="n">
        <v>20.259997</v>
      </c>
      <c r="X106" t="n">
        <v>144.304672</v>
      </c>
      <c r="Z106" t="n">
        <v>15.351157</v>
      </c>
    </row>
    <row r="107" ht="21" customHeight="1">
      <c r="A107" t="inlineStr">
        <is>
          <t>Ilisha elongata</t>
        </is>
      </c>
      <c r="B107" t="n">
        <v>3.79</v>
      </c>
      <c r="C107" t="n">
        <v>616.595002</v>
      </c>
      <c r="D107" s="11" t="inlineStr">
        <is>
          <t>Sm. pelagics</t>
        </is>
      </c>
      <c r="H107" t="n">
        <v>33.155531</v>
      </c>
      <c r="I107" t="n">
        <v>20.273647</v>
      </c>
      <c r="J107" t="n">
        <v>20.273647</v>
      </c>
      <c r="K107" t="n">
        <v>19.259964</v>
      </c>
      <c r="L107" t="n">
        <v>30.239099</v>
      </c>
      <c r="M107" t="n">
        <v>29.116795</v>
      </c>
      <c r="N107" t="n">
        <v>29.116795</v>
      </c>
      <c r="O107" t="n">
        <v>19.726316</v>
      </c>
      <c r="P107" t="n">
        <v>11.954059</v>
      </c>
      <c r="W107" t="n">
        <v>20.400136</v>
      </c>
      <c r="X107" t="n">
        <v>29.971091</v>
      </c>
      <c r="Z107" t="n">
        <v>15.467293</v>
      </c>
    </row>
    <row r="108" ht="21" customHeight="1">
      <c r="A108" t="inlineStr">
        <is>
          <t>Carangoides</t>
        </is>
      </c>
      <c r="B108" t="n">
        <v>4.34</v>
      </c>
      <c r="C108" t="n">
        <v>2187.761624</v>
      </c>
      <c r="D108" s="11" t="inlineStr">
        <is>
          <t>Lg. piscivores | Juv.Lg.Pisciv.</t>
        </is>
      </c>
      <c r="H108" t="n">
        <v>401.23396</v>
      </c>
      <c r="I108" t="n">
        <v>262.057593</v>
      </c>
      <c r="J108" t="n">
        <v>262.057593</v>
      </c>
      <c r="K108" t="n">
        <v>243.37383</v>
      </c>
      <c r="L108" t="n">
        <v>806.383997</v>
      </c>
      <c r="M108" t="n">
        <v>760.332928</v>
      </c>
      <c r="N108" t="n">
        <v>760.332928</v>
      </c>
      <c r="O108" t="n">
        <v>136.609619</v>
      </c>
      <c r="P108" t="n">
        <v>56.19878</v>
      </c>
      <c r="W108" t="n">
        <v>141.082797</v>
      </c>
      <c r="X108" t="n">
        <v>853.530558</v>
      </c>
      <c r="Z108" t="n">
        <v>90.598209</v>
      </c>
    </row>
    <row r="109" ht="21" customHeight="1">
      <c r="A109" t="inlineStr">
        <is>
          <t>Tegillarca granosa</t>
        </is>
      </c>
      <c r="B109" t="n">
        <v>2</v>
      </c>
      <c r="C109" t="n">
        <v>10</v>
      </c>
      <c r="D109" s="11" t="inlineStr">
        <is>
          <t>Molluscs</t>
        </is>
      </c>
      <c r="H109" t="n">
        <v>12.4377</v>
      </c>
      <c r="I109" t="n">
        <v>8.212337</v>
      </c>
      <c r="J109" t="n">
        <v>8.212337</v>
      </c>
      <c r="K109" t="n">
        <v>7.391103</v>
      </c>
      <c r="L109" t="n">
        <v>10.549912</v>
      </c>
      <c r="M109" t="n">
        <v>10.286656</v>
      </c>
      <c r="N109" t="n">
        <v>10.286656</v>
      </c>
      <c r="O109" t="n">
        <v>7.494737</v>
      </c>
      <c r="P109" t="n">
        <v>5.145347</v>
      </c>
      <c r="W109" t="n">
        <v>7.580281</v>
      </c>
      <c r="X109" t="n">
        <v>10.586653</v>
      </c>
      <c r="Z109" t="n">
        <v>6.884003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O.fish</t>
        </is>
      </c>
      <c r="H110" t="n">
        <v>42.929607</v>
      </c>
      <c r="I110" t="n">
        <v>39.536769</v>
      </c>
      <c r="J110" t="n">
        <v>39.536769</v>
      </c>
      <c r="K110" t="n">
        <v>39.483541</v>
      </c>
      <c r="L110" t="n">
        <v>135.960121</v>
      </c>
      <c r="M110" t="n">
        <v>127.952962</v>
      </c>
      <c r="N110" t="n">
        <v>127.952962</v>
      </c>
      <c r="O110" t="n">
        <v>19.978947</v>
      </c>
      <c r="P110" t="n">
        <v>10.349729</v>
      </c>
      <c r="W110" t="n">
        <v>20.259997</v>
      </c>
      <c r="X110" t="n">
        <v>144.304672</v>
      </c>
      <c r="Z110" t="n">
        <v>15.351157</v>
      </c>
    </row>
    <row r="111" ht="21" customHeight="1">
      <c r="A111" t="inlineStr">
        <is>
          <t>Mierspenaeopsis sculptilis</t>
        </is>
      </c>
      <c r="B111" t="n">
        <v>2.71</v>
      </c>
      <c r="C111" t="n">
        <v>51.286138</v>
      </c>
      <c r="D111" s="11" t="inlineStr">
        <is>
          <t>Shrimps</t>
        </is>
      </c>
      <c r="H111" t="n">
        <v>29.428499</v>
      </c>
      <c r="I111" t="n">
        <v>30.201348</v>
      </c>
      <c r="J111" t="n">
        <v>30.201348</v>
      </c>
      <c r="K111" t="n">
        <v>28.691281</v>
      </c>
      <c r="L111" t="n">
        <v>110.883242</v>
      </c>
      <c r="M111" t="n">
        <v>103.574278</v>
      </c>
      <c r="N111" t="n">
        <v>103.574278</v>
      </c>
      <c r="O111" t="n">
        <v>13.035789</v>
      </c>
      <c r="P111" t="n">
        <v>6.34711</v>
      </c>
      <c r="W111" t="n">
        <v>13.241537</v>
      </c>
      <c r="X111" t="n">
        <v>117.005531</v>
      </c>
      <c r="Z111" t="n">
        <v>9.725251</v>
      </c>
    </row>
    <row r="112" ht="21" customHeight="1">
      <c r="A112" t="inlineStr">
        <is>
          <t>Ozius guttatus</t>
        </is>
      </c>
      <c r="B112" t="n">
        <v>3.7</v>
      </c>
      <c r="C112" t="n">
        <v>501.187234</v>
      </c>
      <c r="D112" s="11" t="inlineStr">
        <is>
          <t>Crab, lobster</t>
        </is>
      </c>
      <c r="H112" t="n">
        <v>64.54244300000001</v>
      </c>
      <c r="I112" t="n">
        <v>77.512685</v>
      </c>
      <c r="J112" t="n">
        <v>77.512685</v>
      </c>
      <c r="K112" t="n">
        <v>66.489323</v>
      </c>
      <c r="L112" t="n">
        <v>295.897518</v>
      </c>
      <c r="M112" t="n">
        <v>277.943826</v>
      </c>
      <c r="N112" t="n">
        <v>277.943826</v>
      </c>
      <c r="O112" t="n">
        <v>27.221053</v>
      </c>
      <c r="P112" t="n">
        <v>12.636092</v>
      </c>
      <c r="W112" t="n">
        <v>27.422905</v>
      </c>
      <c r="X112" t="n">
        <v>312.087764</v>
      </c>
      <c r="Z112" t="n">
        <v>20.139757</v>
      </c>
    </row>
    <row r="113" ht="51" customHeight="1">
      <c r="A113" t="inlineStr">
        <is>
          <t>Marine groundfishes not identified</t>
        </is>
      </c>
      <c r="B113" t="n">
        <v>3.22</v>
      </c>
      <c r="C113" t="n">
        <v>165.958691</v>
      </c>
      <c r="D113" s="11" t="inlineStr">
        <is>
          <t>Med.dem.benth. | Med.dem.pisc. | Sm.dem.benth. | Sm.dem.pisc. | O.fish</t>
        </is>
      </c>
      <c r="H113" t="n">
        <v>141.12383</v>
      </c>
      <c r="I113" t="n">
        <v>124.203751</v>
      </c>
      <c r="J113" t="n">
        <v>124.203751</v>
      </c>
      <c r="K113" t="n">
        <v>119.811472</v>
      </c>
      <c r="L113" t="n">
        <v>437.074857</v>
      </c>
      <c r="M113" t="n">
        <v>410.961047</v>
      </c>
      <c r="N113" t="n">
        <v>410.961047</v>
      </c>
      <c r="O113" t="n">
        <v>58.599411</v>
      </c>
      <c r="P113" t="n">
        <v>26.317868</v>
      </c>
      <c r="W113" t="n">
        <v>59.983424</v>
      </c>
      <c r="X113" t="n">
        <v>463.781454</v>
      </c>
      <c r="Z113" t="n">
        <v>37.875731</v>
      </c>
    </row>
    <row r="114" ht="21" customHeight="1">
      <c r="A114" t="inlineStr">
        <is>
          <t>Bothidae</t>
        </is>
      </c>
      <c r="B114" t="n">
        <v>3.77</v>
      </c>
      <c r="C114" t="n">
        <v>588.843655</v>
      </c>
      <c r="D114" s="11" t="inlineStr">
        <is>
          <t>Flatfish</t>
        </is>
      </c>
      <c r="H114" t="n">
        <v>117.649149</v>
      </c>
      <c r="I114" t="n">
        <v>112.675872</v>
      </c>
      <c r="J114" t="n">
        <v>112.675872</v>
      </c>
      <c r="K114" t="n">
        <v>108.450527</v>
      </c>
      <c r="L114" t="n">
        <v>418.824939</v>
      </c>
      <c r="M114" t="n">
        <v>394.106352</v>
      </c>
      <c r="N114" t="n">
        <v>394.106352</v>
      </c>
      <c r="O114" t="n">
        <v>46.321684</v>
      </c>
      <c r="P114" t="n">
        <v>21.368116</v>
      </c>
      <c r="W114" t="n">
        <v>47.538999</v>
      </c>
      <c r="X114" t="n">
        <v>442.733725</v>
      </c>
      <c r="Z114" t="n">
        <v>35.556275</v>
      </c>
    </row>
    <row r="115" ht="21" customHeight="1">
      <c r="A115" t="inlineStr">
        <is>
          <t>Thunnus albacares</t>
        </is>
      </c>
      <c r="B115" t="n">
        <v>4.41</v>
      </c>
      <c r="C115" t="n">
        <v>2570.395783</v>
      </c>
      <c r="D115" s="11" t="inlineStr">
        <is>
          <t>Tuna</t>
        </is>
      </c>
      <c r="H115" t="n">
        <v>607.7580799999999</v>
      </c>
      <c r="I115" t="n">
        <v>280.575009</v>
      </c>
      <c r="J115" t="n">
        <v>280.575009</v>
      </c>
      <c r="K115" t="n">
        <v>266.546258</v>
      </c>
      <c r="L115" t="n">
        <v>675.870038</v>
      </c>
      <c r="M115" t="n">
        <v>640.5943130000001</v>
      </c>
      <c r="N115" t="n">
        <v>640.5943130000001</v>
      </c>
      <c r="O115" t="n">
        <v>182.123293</v>
      </c>
      <c r="P115" t="n">
        <v>73.82745199999999</v>
      </c>
      <c r="W115" t="n">
        <v>192.014278</v>
      </c>
      <c r="X115" t="n">
        <v>708.383019</v>
      </c>
      <c r="Z115" t="n">
        <v>131.160567</v>
      </c>
    </row>
    <row r="116" ht="21" customHeight="1">
      <c r="A116" t="inlineStr">
        <is>
          <t>Rachycentron canadum</t>
        </is>
      </c>
      <c r="B116" t="n">
        <v>3.96</v>
      </c>
      <c r="C116" t="n">
        <v>912.010839</v>
      </c>
      <c r="D116" s="11" t="inlineStr">
        <is>
          <t>Lg. piscivores | Juv.Lg.Pisciv.</t>
        </is>
      </c>
      <c r="H116" t="n">
        <v>401.23396</v>
      </c>
      <c r="I116" t="n">
        <v>262.057593</v>
      </c>
      <c r="J116" t="n">
        <v>262.057593</v>
      </c>
      <c r="K116" t="n">
        <v>243.37383</v>
      </c>
      <c r="L116" t="n">
        <v>806.383997</v>
      </c>
      <c r="M116" t="n">
        <v>760.332928</v>
      </c>
      <c r="N116" t="n">
        <v>760.332928</v>
      </c>
      <c r="O116" t="n">
        <v>136.609619</v>
      </c>
      <c r="P116" t="n">
        <v>56.19878</v>
      </c>
      <c r="W116" t="n">
        <v>141.082797</v>
      </c>
      <c r="X116" t="n">
        <v>853.530558</v>
      </c>
      <c r="Z116" t="n">
        <v>90.598209</v>
      </c>
    </row>
    <row r="117" ht="21" customHeight="1">
      <c r="A117" t="inlineStr">
        <is>
          <t>Penaeus japonicus</t>
        </is>
      </c>
      <c r="B117" t="n">
        <v>2.7</v>
      </c>
      <c r="C117" t="n">
        <v>50.118723</v>
      </c>
      <c r="D117" s="11" t="inlineStr">
        <is>
          <t>Shrimps</t>
        </is>
      </c>
      <c r="H117" t="n">
        <v>29.428499</v>
      </c>
      <c r="I117" t="n">
        <v>30.201348</v>
      </c>
      <c r="J117" t="n">
        <v>30.201348</v>
      </c>
      <c r="K117" t="n">
        <v>28.691281</v>
      </c>
      <c r="L117" t="n">
        <v>110.883242</v>
      </c>
      <c r="M117" t="n">
        <v>103.574278</v>
      </c>
      <c r="N117" t="n">
        <v>103.574278</v>
      </c>
      <c r="O117" t="n">
        <v>13.035789</v>
      </c>
      <c r="P117" t="n">
        <v>6.34711</v>
      </c>
      <c r="W117" t="n">
        <v>13.241537</v>
      </c>
      <c r="X117" t="n">
        <v>117.005531</v>
      </c>
      <c r="Z117" t="n">
        <v>9.725251</v>
      </c>
    </row>
    <row r="118" ht="21" customHeight="1">
      <c r="A118" t="inlineStr">
        <is>
          <t>Melicertus canaliculatus</t>
        </is>
      </c>
      <c r="B118" t="n">
        <v>3.77</v>
      </c>
      <c r="C118" t="n">
        <v>588.843655</v>
      </c>
      <c r="D118" s="11" t="inlineStr">
        <is>
          <t>Shrimps</t>
        </is>
      </c>
      <c r="H118" t="n">
        <v>29.428499</v>
      </c>
      <c r="I118" t="n">
        <v>30.201348</v>
      </c>
      <c r="J118" t="n">
        <v>30.201348</v>
      </c>
      <c r="K118" t="n">
        <v>28.691281</v>
      </c>
      <c r="L118" t="n">
        <v>110.883242</v>
      </c>
      <c r="M118" t="n">
        <v>103.574278</v>
      </c>
      <c r="N118" t="n">
        <v>103.574278</v>
      </c>
      <c r="O118" t="n">
        <v>13.035789</v>
      </c>
      <c r="P118" t="n">
        <v>6.34711</v>
      </c>
      <c r="W118" t="n">
        <v>13.241537</v>
      </c>
      <c r="X118" t="n">
        <v>117.005531</v>
      </c>
      <c r="Z118" t="n">
        <v>9.725251</v>
      </c>
    </row>
    <row r="119" ht="21" customHeight="1">
      <c r="A119" t="inlineStr">
        <is>
          <t>Plectorhinchus</t>
        </is>
      </c>
      <c r="B119" t="n">
        <v>3.43</v>
      </c>
      <c r="C119" t="n">
        <v>269.15348</v>
      </c>
      <c r="D119" s="11" t="inlineStr">
        <is>
          <t>Med.dem.benth.</t>
        </is>
      </c>
      <c r="H119" t="n">
        <v>136.909799</v>
      </c>
      <c r="I119" t="n">
        <v>177.004212</v>
      </c>
      <c r="J119" t="n">
        <v>177.004212</v>
      </c>
      <c r="K119" t="n">
        <v>158.443355</v>
      </c>
      <c r="L119" t="n">
        <v>664.022909</v>
      </c>
      <c r="M119" t="n">
        <v>624.927413</v>
      </c>
      <c r="N119" t="n">
        <v>624.927413</v>
      </c>
      <c r="O119" t="n">
        <v>66.41242099999999</v>
      </c>
      <c r="P119" t="n">
        <v>30.269118</v>
      </c>
      <c r="W119" t="n">
        <v>67.525592</v>
      </c>
      <c r="X119" t="n">
        <v>706.254767</v>
      </c>
      <c r="Z119" t="n">
        <v>40.467693</v>
      </c>
    </row>
    <row r="120" ht="21" customHeight="1">
      <c r="A120" t="inlineStr">
        <is>
          <t>Pampus argenteus</t>
        </is>
      </c>
      <c r="B120" t="n">
        <v>3.3</v>
      </c>
      <c r="C120" t="n">
        <v>199.526231</v>
      </c>
      <c r="D120" s="11" t="inlineStr">
        <is>
          <t>Med.dem.benth.</t>
        </is>
      </c>
      <c r="H120" t="n">
        <v>136.909799</v>
      </c>
      <c r="I120" t="n">
        <v>177.004212</v>
      </c>
      <c r="J120" t="n">
        <v>177.004212</v>
      </c>
      <c r="K120" t="n">
        <v>158.443355</v>
      </c>
      <c r="L120" t="n">
        <v>664.022909</v>
      </c>
      <c r="M120" t="n">
        <v>624.927413</v>
      </c>
      <c r="N120" t="n">
        <v>624.927413</v>
      </c>
      <c r="O120" t="n">
        <v>66.41242099999999</v>
      </c>
      <c r="P120" t="n">
        <v>30.269118</v>
      </c>
      <c r="W120" t="n">
        <v>67.525592</v>
      </c>
      <c r="X120" t="n">
        <v>706.254767</v>
      </c>
      <c r="Z120" t="n">
        <v>40.467693</v>
      </c>
    </row>
    <row r="121" ht="21" customHeight="1">
      <c r="A121" t="inlineStr">
        <is>
          <t>Muraenesox</t>
        </is>
      </c>
      <c r="B121" t="n">
        <v>3.99</v>
      </c>
      <c r="C121" t="n">
        <v>977.237221</v>
      </c>
      <c r="D121" s="11" t="inlineStr">
        <is>
          <t>Juv.Lg.Pisciv. | Lg. piscivores</t>
        </is>
      </c>
      <c r="H121" t="n">
        <v>401.23396</v>
      </c>
      <c r="I121" t="n">
        <v>262.057593</v>
      </c>
      <c r="J121" t="n">
        <v>262.057593</v>
      </c>
      <c r="K121" t="n">
        <v>243.37383</v>
      </c>
      <c r="L121" t="n">
        <v>806.383997</v>
      </c>
      <c r="M121" t="n">
        <v>760.332928</v>
      </c>
      <c r="N121" t="n">
        <v>760.332928</v>
      </c>
      <c r="O121" t="n">
        <v>136.609619</v>
      </c>
      <c r="P121" t="n">
        <v>56.19878</v>
      </c>
      <c r="W121" t="n">
        <v>141.082797</v>
      </c>
      <c r="X121" t="n">
        <v>853.530558</v>
      </c>
      <c r="Z121" t="n">
        <v>90.598209</v>
      </c>
    </row>
    <row r="122" ht="21" customHeight="1">
      <c r="A122" t="inlineStr">
        <is>
          <t>Scomberomorus commerson</t>
        </is>
      </c>
      <c r="B122" t="n">
        <v>4.5</v>
      </c>
      <c r="C122" t="n">
        <v>3162.27766</v>
      </c>
      <c r="D122" s="11" t="inlineStr">
        <is>
          <t>Scomberomorus</t>
        </is>
      </c>
      <c r="H122" t="n">
        <v>379.212004</v>
      </c>
      <c r="I122" t="n">
        <v>198.00731</v>
      </c>
      <c r="J122" t="n">
        <v>198.00731</v>
      </c>
      <c r="K122" t="n">
        <v>188.106944</v>
      </c>
      <c r="L122" t="n">
        <v>510.434635</v>
      </c>
      <c r="M122" t="n">
        <v>482.657057</v>
      </c>
      <c r="N122" t="n">
        <v>482.657057</v>
      </c>
      <c r="O122" t="n">
        <v>132.608509</v>
      </c>
      <c r="P122" t="n">
        <v>56.265654</v>
      </c>
      <c r="W122" t="n">
        <v>138.408302</v>
      </c>
      <c r="X122" t="n">
        <v>535.480646</v>
      </c>
      <c r="Z122" t="n">
        <v>91.36308099999999</v>
      </c>
    </row>
    <row r="123" ht="36" customHeight="1">
      <c r="A123" t="inlineStr">
        <is>
          <t>Clupeiformes</t>
        </is>
      </c>
      <c r="B123" t="n">
        <v>3.24</v>
      </c>
      <c r="C123" t="n">
        <v>173.780083</v>
      </c>
      <c r="D123" s="11" t="inlineStr">
        <is>
          <t>Sm. pelagics | Lg. piscivores | Juv.Lg.Pisciv.</t>
        </is>
      </c>
      <c r="H123" t="n">
        <v>90.43387199999999</v>
      </c>
      <c r="I123" t="n">
        <v>57.898735</v>
      </c>
      <c r="J123" t="n">
        <v>57.898735</v>
      </c>
      <c r="K123" t="n">
        <v>54.135332</v>
      </c>
      <c r="L123" t="n">
        <v>151.0185</v>
      </c>
      <c r="M123" t="n">
        <v>142.904628</v>
      </c>
      <c r="N123" t="n">
        <v>142.904628</v>
      </c>
      <c r="O123" t="n">
        <v>37.915053</v>
      </c>
      <c r="P123" t="n">
        <v>18.839179</v>
      </c>
      <c r="W123" t="n">
        <v>39.180108</v>
      </c>
      <c r="X123" t="n">
        <v>158.128886</v>
      </c>
      <c r="Z123" t="n">
        <v>27.158753</v>
      </c>
    </row>
    <row r="124" ht="21" customHeight="1">
      <c r="A124" t="inlineStr">
        <is>
          <t>Sphyraena obtusata</t>
        </is>
      </c>
      <c r="B124" t="n">
        <v>4.5</v>
      </c>
      <c r="C124" t="n">
        <v>3162.27766</v>
      </c>
      <c r="D124" s="11" t="inlineStr">
        <is>
          <t>Juv.Lg.Pisciv. | Lg. piscivores</t>
        </is>
      </c>
      <c r="H124" t="n">
        <v>401.23396</v>
      </c>
      <c r="I124" t="n">
        <v>262.057593</v>
      </c>
      <c r="J124" t="n">
        <v>262.057593</v>
      </c>
      <c r="K124" t="n">
        <v>243.37383</v>
      </c>
      <c r="L124" t="n">
        <v>806.383997</v>
      </c>
      <c r="M124" t="n">
        <v>760.332928</v>
      </c>
      <c r="N124" t="n">
        <v>760.332928</v>
      </c>
      <c r="O124" t="n">
        <v>136.609619</v>
      </c>
      <c r="P124" t="n">
        <v>56.19878</v>
      </c>
      <c r="W124" t="n">
        <v>141.082797</v>
      </c>
      <c r="X124" t="n">
        <v>853.530558</v>
      </c>
      <c r="Z124" t="n">
        <v>90.598209</v>
      </c>
    </row>
    <row r="125" ht="21" customHeight="1">
      <c r="A125" t="inlineStr">
        <is>
          <t>Scyris indica</t>
        </is>
      </c>
      <c r="B125" t="n">
        <v>4.09</v>
      </c>
      <c r="C125" t="n">
        <v>1230.268771</v>
      </c>
      <c r="D125" s="11" t="inlineStr">
        <is>
          <t>Lg. piscivores | Juv.Lg.Pisciv.</t>
        </is>
      </c>
      <c r="H125" t="n">
        <v>401.23396</v>
      </c>
      <c r="I125" t="n">
        <v>262.057593</v>
      </c>
      <c r="J125" t="n">
        <v>262.057593</v>
      </c>
      <c r="K125" t="n">
        <v>243.37383</v>
      </c>
      <c r="L125" t="n">
        <v>806.383997</v>
      </c>
      <c r="M125" t="n">
        <v>760.332928</v>
      </c>
      <c r="N125" t="n">
        <v>760.332928</v>
      </c>
      <c r="O125" t="n">
        <v>136.609619</v>
      </c>
      <c r="P125" t="n">
        <v>56.19878</v>
      </c>
      <c r="W125" t="n">
        <v>141.082797</v>
      </c>
      <c r="X125" t="n">
        <v>853.530558</v>
      </c>
      <c r="Z125" t="n">
        <v>90.598209</v>
      </c>
    </row>
    <row r="126" ht="21" customHeight="1">
      <c r="A126" t="inlineStr">
        <is>
          <t>Anodontostoma chacunda</t>
        </is>
      </c>
      <c r="B126" t="n">
        <v>2.84</v>
      </c>
      <c r="C126" t="n">
        <v>69.183097</v>
      </c>
      <c r="D126" s="11" t="inlineStr">
        <is>
          <t>Sm. pelagics</t>
        </is>
      </c>
      <c r="H126" t="n">
        <v>33.155531</v>
      </c>
      <c r="I126" t="n">
        <v>20.273647</v>
      </c>
      <c r="J126" t="n">
        <v>20.273647</v>
      </c>
      <c r="K126" t="n">
        <v>19.259964</v>
      </c>
      <c r="L126" t="n">
        <v>30.239099</v>
      </c>
      <c r="M126" t="n">
        <v>29.116795</v>
      </c>
      <c r="N126" t="n">
        <v>29.116795</v>
      </c>
      <c r="O126" t="n">
        <v>19.726316</v>
      </c>
      <c r="P126" t="n">
        <v>11.954059</v>
      </c>
      <c r="W126" t="n">
        <v>20.400136</v>
      </c>
      <c r="X126" t="n">
        <v>29.971091</v>
      </c>
      <c r="Z126" t="n">
        <v>15.467293</v>
      </c>
    </row>
    <row r="127" ht="21" customHeight="1">
      <c r="A127" t="inlineStr">
        <is>
          <t>Auxis thazard</t>
        </is>
      </c>
      <c r="B127" t="n">
        <v>4.37</v>
      </c>
      <c r="C127" t="n">
        <v>2344.228815</v>
      </c>
      <c r="D127" s="11" t="inlineStr">
        <is>
          <t>Tuna</t>
        </is>
      </c>
      <c r="H127" t="n">
        <v>607.7580799999999</v>
      </c>
      <c r="I127" t="n">
        <v>280.575009</v>
      </c>
      <c r="J127" t="n">
        <v>280.575009</v>
      </c>
      <c r="K127" t="n">
        <v>266.546258</v>
      </c>
      <c r="L127" t="n">
        <v>675.870038</v>
      </c>
      <c r="M127" t="n">
        <v>640.5943130000001</v>
      </c>
      <c r="N127" t="n">
        <v>640.5943130000001</v>
      </c>
      <c r="O127" t="n">
        <v>182.123293</v>
      </c>
      <c r="P127" t="n">
        <v>73.82745199999999</v>
      </c>
      <c r="W127" t="n">
        <v>192.014278</v>
      </c>
      <c r="X127" t="n">
        <v>708.383019</v>
      </c>
      <c r="Z127" t="n">
        <v>131.160567</v>
      </c>
    </row>
    <row r="128" ht="21" customHeight="1">
      <c r="A128" t="inlineStr">
        <is>
          <t>Malacostraca</t>
        </is>
      </c>
      <c r="B128" t="n">
        <v>3</v>
      </c>
      <c r="C128" t="n">
        <v>100</v>
      </c>
      <c r="D128" s="11" t="inlineStr">
        <is>
          <t>Shrimps | Crab, lobster</t>
        </is>
      </c>
      <c r="H128" t="n">
        <v>37.413057</v>
      </c>
      <c r="I128" t="n">
        <v>40.95947</v>
      </c>
      <c r="J128" t="n">
        <v>40.95947</v>
      </c>
      <c r="K128" t="n">
        <v>37.286176</v>
      </c>
      <c r="L128" t="n">
        <v>152.953628</v>
      </c>
      <c r="M128" t="n">
        <v>143.224159</v>
      </c>
      <c r="N128" t="n">
        <v>143.224159</v>
      </c>
      <c r="O128" t="n">
        <v>16.261376</v>
      </c>
      <c r="P128" t="n">
        <v>7.777162</v>
      </c>
      <c r="W128" t="n">
        <v>16.466237</v>
      </c>
      <c r="X128" t="n">
        <v>161.365268</v>
      </c>
      <c r="Z128" t="n">
        <v>12.093405</v>
      </c>
    </row>
    <row r="129" ht="21" customHeight="1">
      <c r="A129" t="inlineStr">
        <is>
          <t>Lutjanus johnii</t>
        </is>
      </c>
      <c r="B129" t="n">
        <v>4.2</v>
      </c>
      <c r="C129" t="n">
        <v>1584.893192</v>
      </c>
      <c r="D129" s="11" t="inlineStr">
        <is>
          <t>Grouper/snapper | Juv. groupers</t>
        </is>
      </c>
      <c r="H129" t="n">
        <v>490.511951</v>
      </c>
      <c r="I129" t="n">
        <v>374.298234</v>
      </c>
      <c r="J129" t="n">
        <v>374.298234</v>
      </c>
      <c r="K129" t="n">
        <v>330.678405</v>
      </c>
      <c r="L129" t="n">
        <v>1297.204135</v>
      </c>
      <c r="M129" t="n">
        <v>1220.265871</v>
      </c>
      <c r="N129" t="n">
        <v>1220.265871</v>
      </c>
      <c r="O129" t="n">
        <v>163.320182</v>
      </c>
      <c r="P129" t="n">
        <v>62.822979</v>
      </c>
      <c r="W129" t="n">
        <v>168.925067</v>
      </c>
      <c r="X129" t="n">
        <v>1398.864018</v>
      </c>
      <c r="Z129" t="n">
        <v>102.926065</v>
      </c>
    </row>
    <row r="130" ht="21" customHeight="1">
      <c r="A130" t="inlineStr">
        <is>
          <t>Gerreidae</t>
        </is>
      </c>
      <c r="B130" t="n">
        <v>3.03</v>
      </c>
      <c r="C130" t="n">
        <v>107.151931</v>
      </c>
      <c r="D130" s="11" t="inlineStr">
        <is>
          <t>Sm.dem.benth.</t>
        </is>
      </c>
      <c r="H130" t="n">
        <v>85.26248099999999</v>
      </c>
      <c r="I130" t="n">
        <v>87.40013</v>
      </c>
      <c r="J130" t="n">
        <v>87.40013</v>
      </c>
      <c r="K130" t="n">
        <v>73.65420399999999</v>
      </c>
      <c r="L130" t="n">
        <v>308.045854</v>
      </c>
      <c r="M130" t="n">
        <v>289.86806</v>
      </c>
      <c r="N130" t="n">
        <v>289.86806</v>
      </c>
      <c r="O130" t="n">
        <v>35.580632</v>
      </c>
      <c r="P130" t="n">
        <v>17.310642</v>
      </c>
      <c r="W130" t="n">
        <v>36.030766</v>
      </c>
      <c r="X130" t="n">
        <v>325.833864</v>
      </c>
      <c r="Z130" t="n">
        <v>27.099073</v>
      </c>
    </row>
    <row r="131" ht="21" customHeight="1">
      <c r="A131" t="inlineStr">
        <is>
          <t>Caesionidae</t>
        </is>
      </c>
      <c r="B131" t="n">
        <v>3.39</v>
      </c>
      <c r="C131" t="n">
        <v>245.470892</v>
      </c>
      <c r="D131" s="11" t="inlineStr">
        <is>
          <t>Sm. pelagics</t>
        </is>
      </c>
      <c r="H131" t="n">
        <v>33.155531</v>
      </c>
      <c r="I131" t="n">
        <v>20.273647</v>
      </c>
      <c r="J131" t="n">
        <v>20.273647</v>
      </c>
      <c r="K131" t="n">
        <v>19.259964</v>
      </c>
      <c r="L131" t="n">
        <v>30.239099</v>
      </c>
      <c r="M131" t="n">
        <v>29.116795</v>
      </c>
      <c r="N131" t="n">
        <v>29.116795</v>
      </c>
      <c r="O131" t="n">
        <v>19.726316</v>
      </c>
      <c r="P131" t="n">
        <v>11.954059</v>
      </c>
      <c r="W131" t="n">
        <v>20.400136</v>
      </c>
      <c r="X131" t="n">
        <v>29.971091</v>
      </c>
      <c r="Z131" t="n">
        <v>15.467293</v>
      </c>
    </row>
    <row r="132" ht="21" customHeight="1">
      <c r="A132" t="inlineStr">
        <is>
          <t>Charybdis</t>
        </is>
      </c>
      <c r="B132" t="n">
        <v>2.7</v>
      </c>
      <c r="C132" t="n">
        <v>50.118723</v>
      </c>
      <c r="D132" s="11" t="inlineStr">
        <is>
          <t>Crab, lobster</t>
        </is>
      </c>
      <c r="H132" t="n">
        <v>64.54244300000001</v>
      </c>
      <c r="I132" t="n">
        <v>77.512685</v>
      </c>
      <c r="J132" t="n">
        <v>77.512685</v>
      </c>
      <c r="K132" t="n">
        <v>66.489323</v>
      </c>
      <c r="L132" t="n">
        <v>295.897518</v>
      </c>
      <c r="M132" t="n">
        <v>277.943826</v>
      </c>
      <c r="N132" t="n">
        <v>277.943826</v>
      </c>
      <c r="O132" t="n">
        <v>27.221053</v>
      </c>
      <c r="P132" t="n">
        <v>12.636092</v>
      </c>
      <c r="W132" t="n">
        <v>27.422905</v>
      </c>
      <c r="X132" t="n">
        <v>312.087764</v>
      </c>
      <c r="Z132" t="n">
        <v>20.139757</v>
      </c>
    </row>
    <row r="133" ht="21" customHeight="1">
      <c r="A133" t="inlineStr">
        <is>
          <t>Scorpaenidae</t>
        </is>
      </c>
      <c r="B133" t="n">
        <v>3.92</v>
      </c>
      <c r="C133" t="n">
        <v>831.763771</v>
      </c>
      <c r="D133" s="11" t="inlineStr">
        <is>
          <t>Lg. piscivores | Juv.Lg.Pisciv.</t>
        </is>
      </c>
      <c r="H133" t="n">
        <v>401.23396</v>
      </c>
      <c r="I133" t="n">
        <v>262.057593</v>
      </c>
      <c r="J133" t="n">
        <v>262.057593</v>
      </c>
      <c r="K133" t="n">
        <v>243.37383</v>
      </c>
      <c r="L133" t="n">
        <v>806.383997</v>
      </c>
      <c r="M133" t="n">
        <v>760.332928</v>
      </c>
      <c r="N133" t="n">
        <v>760.332928</v>
      </c>
      <c r="O133" t="n">
        <v>136.609619</v>
      </c>
      <c r="P133" t="n">
        <v>56.19878</v>
      </c>
      <c r="W133" t="n">
        <v>141.082797</v>
      </c>
      <c r="X133" t="n">
        <v>853.530558</v>
      </c>
      <c r="Z133" t="n">
        <v>90.598209</v>
      </c>
    </row>
    <row r="134" ht="21" customHeight="1">
      <c r="A134" t="inlineStr">
        <is>
          <t>Podophthalmus vigil</t>
        </is>
      </c>
      <c r="B134" t="n">
        <v>3.36</v>
      </c>
      <c r="C134" t="n">
        <v>229.086765</v>
      </c>
      <c r="D134" s="11" t="inlineStr">
        <is>
          <t>Crab, lobster</t>
        </is>
      </c>
      <c r="H134" t="n">
        <v>64.54244300000001</v>
      </c>
      <c r="I134" t="n">
        <v>77.512685</v>
      </c>
      <c r="J134" t="n">
        <v>77.512685</v>
      </c>
      <c r="K134" t="n">
        <v>66.489323</v>
      </c>
      <c r="L134" t="n">
        <v>295.897518</v>
      </c>
      <c r="M134" t="n">
        <v>277.943826</v>
      </c>
      <c r="N134" t="n">
        <v>277.943826</v>
      </c>
      <c r="O134" t="n">
        <v>27.221053</v>
      </c>
      <c r="P134" t="n">
        <v>12.636092</v>
      </c>
      <c r="W134" t="n">
        <v>27.422905</v>
      </c>
      <c r="X134" t="n">
        <v>312.087764</v>
      </c>
      <c r="Z134" t="n">
        <v>20.139757</v>
      </c>
    </row>
    <row r="135" ht="21" customHeight="1">
      <c r="A135" t="inlineStr">
        <is>
          <t>Charybdis feriatus</t>
        </is>
      </c>
      <c r="B135" t="n">
        <v>3.51</v>
      </c>
      <c r="C135" t="n">
        <v>323.593657</v>
      </c>
      <c r="D135" s="11" t="inlineStr">
        <is>
          <t>Crab, lobster</t>
        </is>
      </c>
      <c r="H135" t="n">
        <v>64.54244300000001</v>
      </c>
      <c r="I135" t="n">
        <v>77.512685</v>
      </c>
      <c r="J135" t="n">
        <v>77.512685</v>
      </c>
      <c r="K135" t="n">
        <v>66.489323</v>
      </c>
      <c r="L135" t="n">
        <v>295.897518</v>
      </c>
      <c r="M135" t="n">
        <v>277.943826</v>
      </c>
      <c r="N135" t="n">
        <v>277.943826</v>
      </c>
      <c r="O135" t="n">
        <v>27.221053</v>
      </c>
      <c r="P135" t="n">
        <v>12.636092</v>
      </c>
      <c r="W135" t="n">
        <v>27.422905</v>
      </c>
      <c r="X135" t="n">
        <v>312.087764</v>
      </c>
      <c r="Z135" t="n">
        <v>20.139757</v>
      </c>
    </row>
    <row r="136" ht="21" customHeight="1">
      <c r="A136" t="inlineStr">
        <is>
          <t>Scomberoides</t>
        </is>
      </c>
      <c r="B136" t="n">
        <v>4.47</v>
      </c>
      <c r="C136" t="n">
        <v>2951.209227</v>
      </c>
      <c r="D136" s="11" t="inlineStr">
        <is>
          <t>Lg. piscivores | Juv.Lg.Pisciv.</t>
        </is>
      </c>
      <c r="H136" t="n">
        <v>401.23396</v>
      </c>
      <c r="I136" t="n">
        <v>262.057593</v>
      </c>
      <c r="J136" t="n">
        <v>262.057593</v>
      </c>
      <c r="K136" t="n">
        <v>243.37383</v>
      </c>
      <c r="L136" t="n">
        <v>806.383997</v>
      </c>
      <c r="M136" t="n">
        <v>760.332928</v>
      </c>
      <c r="N136" t="n">
        <v>760.332928</v>
      </c>
      <c r="O136" t="n">
        <v>136.609619</v>
      </c>
      <c r="P136" t="n">
        <v>56.19878</v>
      </c>
      <c r="W136" t="n">
        <v>141.082797</v>
      </c>
      <c r="X136" t="n">
        <v>853.530558</v>
      </c>
      <c r="Z136" t="n">
        <v>90.598209</v>
      </c>
    </row>
    <row r="137" ht="21" customHeight="1">
      <c r="A137" t="inlineStr">
        <is>
          <t>Caesio</t>
        </is>
      </c>
      <c r="B137" t="n">
        <v>3.4</v>
      </c>
      <c r="C137" t="n">
        <v>251.188643</v>
      </c>
      <c r="D137" s="11" t="inlineStr">
        <is>
          <t>Sm. pelagics</t>
        </is>
      </c>
      <c r="H137" t="n">
        <v>33.155531</v>
      </c>
      <c r="I137" t="n">
        <v>20.273647</v>
      </c>
      <c r="J137" t="n">
        <v>20.273647</v>
      </c>
      <c r="K137" t="n">
        <v>19.259964</v>
      </c>
      <c r="L137" t="n">
        <v>30.239099</v>
      </c>
      <c r="M137" t="n">
        <v>29.116795</v>
      </c>
      <c r="N137" t="n">
        <v>29.116795</v>
      </c>
      <c r="O137" t="n">
        <v>19.726316</v>
      </c>
      <c r="P137" t="n">
        <v>11.954059</v>
      </c>
      <c r="W137" t="n">
        <v>20.400136</v>
      </c>
      <c r="X137" t="n">
        <v>29.971091</v>
      </c>
      <c r="Z137" t="n">
        <v>15.467293</v>
      </c>
    </row>
    <row r="138" ht="21" customHeight="1">
      <c r="A138" t="inlineStr">
        <is>
          <t>Charybdis anisodon</t>
        </is>
      </c>
      <c r="B138" t="n">
        <v>3.42</v>
      </c>
      <c r="C138" t="n">
        <v>263.026799</v>
      </c>
      <c r="D138" s="11" t="inlineStr">
        <is>
          <t>Crab, lobster</t>
        </is>
      </c>
      <c r="H138" t="n">
        <v>64.54244300000001</v>
      </c>
      <c r="I138" t="n">
        <v>77.512685</v>
      </c>
      <c r="J138" t="n">
        <v>77.512685</v>
      </c>
      <c r="K138" t="n">
        <v>66.489323</v>
      </c>
      <c r="L138" t="n">
        <v>295.897518</v>
      </c>
      <c r="M138" t="n">
        <v>277.943826</v>
      </c>
      <c r="N138" t="n">
        <v>277.943826</v>
      </c>
      <c r="O138" t="n">
        <v>27.221053</v>
      </c>
      <c r="P138" t="n">
        <v>12.636092</v>
      </c>
      <c r="W138" t="n">
        <v>27.422905</v>
      </c>
      <c r="X138" t="n">
        <v>312.087764</v>
      </c>
      <c r="Z138" t="n">
        <v>20.139757</v>
      </c>
    </row>
    <row r="139" ht="21" customHeight="1">
      <c r="A139" t="inlineStr">
        <is>
          <t>Mierspenaeopsis hardwickii</t>
        </is>
      </c>
      <c r="D139" s="11" t="inlineStr">
        <is>
          <t>Shrimps</t>
        </is>
      </c>
      <c r="H139" t="n">
        <v>29.428499</v>
      </c>
      <c r="I139" t="n">
        <v>30.201348</v>
      </c>
      <c r="J139" t="n">
        <v>30.201348</v>
      </c>
      <c r="K139" t="n">
        <v>28.691281</v>
      </c>
      <c r="L139" t="n">
        <v>110.883242</v>
      </c>
      <c r="M139" t="n">
        <v>103.574278</v>
      </c>
      <c r="N139" t="n">
        <v>103.574278</v>
      </c>
      <c r="O139" t="n">
        <v>13.035789</v>
      </c>
      <c r="P139" t="n">
        <v>6.34711</v>
      </c>
      <c r="W139" t="n">
        <v>13.241537</v>
      </c>
      <c r="X139" t="n">
        <v>117.005531</v>
      </c>
      <c r="Z139" t="n">
        <v>9.725251</v>
      </c>
    </row>
    <row r="140" ht="21" customHeight="1">
      <c r="A140" t="inlineStr">
        <is>
          <t>Plotosidae</t>
        </is>
      </c>
      <c r="B140" t="n">
        <v>3.49</v>
      </c>
      <c r="C140" t="n">
        <v>309.029543</v>
      </c>
      <c r="D140" s="11" t="inlineStr">
        <is>
          <t>Med.dem.benth.</t>
        </is>
      </c>
      <c r="H140" t="n">
        <v>136.909799</v>
      </c>
      <c r="I140" t="n">
        <v>177.004212</v>
      </c>
      <c r="J140" t="n">
        <v>177.004212</v>
      </c>
      <c r="K140" t="n">
        <v>158.443355</v>
      </c>
      <c r="L140" t="n">
        <v>664.022909</v>
      </c>
      <c r="M140" t="n">
        <v>624.927413</v>
      </c>
      <c r="N140" t="n">
        <v>624.927413</v>
      </c>
      <c r="O140" t="n">
        <v>66.41242099999999</v>
      </c>
      <c r="P140" t="n">
        <v>30.269118</v>
      </c>
      <c r="W140" t="n">
        <v>67.525592</v>
      </c>
      <c r="X140" t="n">
        <v>706.254767</v>
      </c>
      <c r="Z140" t="n">
        <v>40.467693</v>
      </c>
    </row>
    <row r="141" ht="21" customHeight="1">
      <c r="A141" t="inlineStr">
        <is>
          <t>Dussumieria</t>
        </is>
      </c>
      <c r="B141" t="n">
        <v>3.4</v>
      </c>
      <c r="C141" t="n">
        <v>251.188643</v>
      </c>
      <c r="D141" s="11" t="inlineStr">
        <is>
          <t>Sm. pelagics</t>
        </is>
      </c>
      <c r="H141" t="n">
        <v>33.155531</v>
      </c>
      <c r="I141" t="n">
        <v>20.273647</v>
      </c>
      <c r="J141" t="n">
        <v>20.273647</v>
      </c>
      <c r="K141" t="n">
        <v>19.259964</v>
      </c>
      <c r="L141" t="n">
        <v>30.239099</v>
      </c>
      <c r="M141" t="n">
        <v>29.116795</v>
      </c>
      <c r="N141" t="n">
        <v>29.116795</v>
      </c>
      <c r="O141" t="n">
        <v>19.726316</v>
      </c>
      <c r="P141" t="n">
        <v>11.954059</v>
      </c>
      <c r="W141" t="n">
        <v>20.400136</v>
      </c>
      <c r="X141" t="n">
        <v>29.971091</v>
      </c>
      <c r="Z141" t="n">
        <v>15.467293</v>
      </c>
    </row>
    <row r="142" ht="21" customHeight="1">
      <c r="A142" t="inlineStr">
        <is>
          <t>Paralichthyidae</t>
        </is>
      </c>
      <c r="B142" t="n">
        <v>4.06</v>
      </c>
      <c r="C142" t="n">
        <v>1148.153621</v>
      </c>
      <c r="D142" s="11" t="inlineStr">
        <is>
          <t>Flatfish</t>
        </is>
      </c>
      <c r="H142" t="n">
        <v>117.649149</v>
      </c>
      <c r="I142" t="n">
        <v>112.675872</v>
      </c>
      <c r="J142" t="n">
        <v>112.675872</v>
      </c>
      <c r="K142" t="n">
        <v>108.450527</v>
      </c>
      <c r="L142" t="n">
        <v>418.824939</v>
      </c>
      <c r="M142" t="n">
        <v>394.106352</v>
      </c>
      <c r="N142" t="n">
        <v>394.106352</v>
      </c>
      <c r="O142" t="n">
        <v>46.321684</v>
      </c>
      <c r="P142" t="n">
        <v>21.368116</v>
      </c>
      <c r="W142" t="n">
        <v>47.538999</v>
      </c>
      <c r="X142" t="n">
        <v>442.733725</v>
      </c>
      <c r="Z142" t="n">
        <v>35.556275</v>
      </c>
    </row>
    <row r="143" ht="21" customHeight="1">
      <c r="A143" t="inlineStr">
        <is>
          <t>Siganus canaliculatus</t>
        </is>
      </c>
      <c r="B143" t="n">
        <v>2.76</v>
      </c>
      <c r="C143" t="n">
        <v>57.543994</v>
      </c>
      <c r="D143" s="11" t="inlineStr">
        <is>
          <t>O.fish</t>
        </is>
      </c>
      <c r="H143" t="n">
        <v>42.929607</v>
      </c>
      <c r="I143" t="n">
        <v>39.536769</v>
      </c>
      <c r="J143" t="n">
        <v>39.536769</v>
      </c>
      <c r="K143" t="n">
        <v>39.483541</v>
      </c>
      <c r="L143" t="n">
        <v>135.960121</v>
      </c>
      <c r="M143" t="n">
        <v>127.952962</v>
      </c>
      <c r="N143" t="n">
        <v>127.952962</v>
      </c>
      <c r="O143" t="n">
        <v>19.978947</v>
      </c>
      <c r="P143" t="n">
        <v>10.349729</v>
      </c>
      <c r="W143" t="n">
        <v>20.259997</v>
      </c>
      <c r="X143" t="n">
        <v>144.304672</v>
      </c>
      <c r="Z143" t="n">
        <v>15.351157</v>
      </c>
    </row>
    <row r="144" ht="21" customHeight="1">
      <c r="A144" t="inlineStr">
        <is>
          <t>Plotosus</t>
        </is>
      </c>
      <c r="B144" t="n">
        <v>3.49</v>
      </c>
      <c r="C144" t="n">
        <v>309.029543</v>
      </c>
      <c r="D144" s="11" t="inlineStr">
        <is>
          <t>Med.dem.benth.</t>
        </is>
      </c>
      <c r="H144" t="n">
        <v>136.909799</v>
      </c>
      <c r="I144" t="n">
        <v>177.004212</v>
      </c>
      <c r="J144" t="n">
        <v>177.004212</v>
      </c>
      <c r="K144" t="n">
        <v>158.443355</v>
      </c>
      <c r="L144" t="n">
        <v>664.022909</v>
      </c>
      <c r="M144" t="n">
        <v>624.927413</v>
      </c>
      <c r="N144" t="n">
        <v>624.927413</v>
      </c>
      <c r="O144" t="n">
        <v>66.41242099999999</v>
      </c>
      <c r="P144" t="n">
        <v>30.269118</v>
      </c>
      <c r="W144" t="n">
        <v>67.525592</v>
      </c>
      <c r="X144" t="n">
        <v>706.254767</v>
      </c>
      <c r="Z144" t="n">
        <v>40.467693</v>
      </c>
    </row>
    <row r="145" ht="21" customHeight="1">
      <c r="A145" t="inlineStr">
        <is>
          <t>Siganidae</t>
        </is>
      </c>
      <c r="B145" t="n">
        <v>2.11</v>
      </c>
      <c r="C145" t="n">
        <v>12.882496</v>
      </c>
      <c r="D145" s="11" t="inlineStr">
        <is>
          <t>O.fish</t>
        </is>
      </c>
      <c r="H145" t="n">
        <v>42.929607</v>
      </c>
      <c r="I145" t="n">
        <v>39.536769</v>
      </c>
      <c r="J145" t="n">
        <v>39.536769</v>
      </c>
      <c r="K145" t="n">
        <v>39.483541</v>
      </c>
      <c r="L145" t="n">
        <v>135.960121</v>
      </c>
      <c r="M145" t="n">
        <v>127.952962</v>
      </c>
      <c r="N145" t="n">
        <v>127.952962</v>
      </c>
      <c r="O145" t="n">
        <v>19.978947</v>
      </c>
      <c r="P145" t="n">
        <v>10.349729</v>
      </c>
      <c r="W145" t="n">
        <v>20.259997</v>
      </c>
      <c r="X145" t="n">
        <v>144.304672</v>
      </c>
      <c r="Z145" t="n">
        <v>15.351157</v>
      </c>
    </row>
    <row r="146" ht="21" customHeight="1">
      <c r="A146" t="inlineStr">
        <is>
          <t>Panulirus longipes</t>
        </is>
      </c>
      <c r="B146" t="n">
        <v>2.6</v>
      </c>
      <c r="C146" t="n">
        <v>39.810717</v>
      </c>
      <c r="D146" s="11" t="inlineStr">
        <is>
          <t>Crab, lobster</t>
        </is>
      </c>
      <c r="H146" t="n">
        <v>64.54244300000001</v>
      </c>
      <c r="I146" t="n">
        <v>77.512685</v>
      </c>
      <c r="J146" t="n">
        <v>77.512685</v>
      </c>
      <c r="K146" t="n">
        <v>66.489323</v>
      </c>
      <c r="L146" t="n">
        <v>295.897518</v>
      </c>
      <c r="M146" t="n">
        <v>277.943826</v>
      </c>
      <c r="N146" t="n">
        <v>277.943826</v>
      </c>
      <c r="O146" t="n">
        <v>27.221053</v>
      </c>
      <c r="P146" t="n">
        <v>12.636092</v>
      </c>
      <c r="W146" t="n">
        <v>27.422905</v>
      </c>
      <c r="X146" t="n">
        <v>312.087764</v>
      </c>
      <c r="Z146" t="n">
        <v>20.139757</v>
      </c>
    </row>
    <row r="147" ht="21" customHeight="1">
      <c r="A147" t="inlineStr">
        <is>
          <t>Solenocera crassicornis</t>
        </is>
      </c>
      <c r="B147" t="n">
        <v>2.2</v>
      </c>
      <c r="C147" t="n">
        <v>15.848932</v>
      </c>
      <c r="D147" s="11" t="inlineStr">
        <is>
          <t>Shrimps</t>
        </is>
      </c>
      <c r="H147" t="n">
        <v>29.428499</v>
      </c>
      <c r="I147" t="n">
        <v>30.201348</v>
      </c>
      <c r="J147" t="n">
        <v>30.201348</v>
      </c>
      <c r="K147" t="n">
        <v>28.691281</v>
      </c>
      <c r="L147" t="n">
        <v>110.883242</v>
      </c>
      <c r="M147" t="n">
        <v>103.574278</v>
      </c>
      <c r="N147" t="n">
        <v>103.574278</v>
      </c>
      <c r="O147" t="n">
        <v>13.035789</v>
      </c>
      <c r="P147" t="n">
        <v>6.34711</v>
      </c>
      <c r="W147" t="n">
        <v>13.241537</v>
      </c>
      <c r="X147" t="n">
        <v>117.005531</v>
      </c>
      <c r="Z147" t="n">
        <v>9.725251</v>
      </c>
    </row>
    <row r="148" ht="21" customHeight="1">
      <c r="A148" t="inlineStr">
        <is>
          <t>Rhizostomeae</t>
        </is>
      </c>
      <c r="B148" t="n">
        <v>3.46</v>
      </c>
      <c r="C148" t="n">
        <v>288.40315</v>
      </c>
      <c r="D148" s="11" t="inlineStr">
        <is>
          <t>Jellyfish</t>
        </is>
      </c>
      <c r="H148" t="n">
        <v>36.115221</v>
      </c>
      <c r="I148" t="n">
        <v>0</v>
      </c>
      <c r="J148" t="n">
        <v>5.238879</v>
      </c>
      <c r="L148" t="n">
        <v>0</v>
      </c>
      <c r="M148" t="n">
        <v>0</v>
      </c>
      <c r="N148" t="n">
        <v>0</v>
      </c>
      <c r="O148" t="n">
        <v>21.473684</v>
      </c>
      <c r="P148" t="n">
        <v>12.926733</v>
      </c>
      <c r="W148" t="n">
        <v>21.770807</v>
      </c>
      <c r="X148" t="n">
        <v>0</v>
      </c>
      <c r="Z148" t="n">
        <v>16.693478</v>
      </c>
    </row>
    <row r="149" ht="21" customHeight="1">
      <c r="A149" t="inlineStr">
        <is>
          <t>Elagatis bipinnulata</t>
        </is>
      </c>
      <c r="B149" t="n">
        <v>4.27</v>
      </c>
      <c r="C149" t="n">
        <v>1862.087137</v>
      </c>
      <c r="D149" s="11" t="inlineStr">
        <is>
          <t>Lg. piscivores | Juv.Lg.Pisciv.</t>
        </is>
      </c>
      <c r="H149" t="n">
        <v>401.23396</v>
      </c>
      <c r="I149" t="n">
        <v>262.057593</v>
      </c>
      <c r="J149" t="n">
        <v>262.057593</v>
      </c>
      <c r="K149" t="n">
        <v>243.37383</v>
      </c>
      <c r="L149" t="n">
        <v>806.383997</v>
      </c>
      <c r="M149" t="n">
        <v>760.332928</v>
      </c>
      <c r="N149" t="n">
        <v>760.332928</v>
      </c>
      <c r="O149" t="n">
        <v>136.609619</v>
      </c>
      <c r="P149" t="n">
        <v>56.19878</v>
      </c>
      <c r="W149" t="n">
        <v>141.082797</v>
      </c>
      <c r="X149" t="n">
        <v>853.530558</v>
      </c>
      <c r="Z149" t="n">
        <v>90.598209</v>
      </c>
    </row>
    <row r="150" ht="21" customHeight="1">
      <c r="A150" t="inlineStr">
        <is>
          <t>Istiophorus</t>
        </is>
      </c>
      <c r="B150" t="n">
        <v>4.5</v>
      </c>
      <c r="C150" t="n">
        <v>3162.27766</v>
      </c>
      <c r="D150" s="11" t="inlineStr">
        <is>
          <t>Unresolved</t>
        </is>
      </c>
    </row>
    <row r="151" ht="21" customHeight="1">
      <c r="A151" t="inlineStr">
        <is>
          <t>Thunnus obesus</t>
        </is>
      </c>
      <c r="B151" t="n">
        <v>4.49</v>
      </c>
      <c r="C151" t="n">
        <v>3090.295433</v>
      </c>
      <c r="D151" s="11" t="inlineStr">
        <is>
          <t>Tuna</t>
        </is>
      </c>
      <c r="H151" t="n">
        <v>607.7580799999999</v>
      </c>
      <c r="I151" t="n">
        <v>280.575009</v>
      </c>
      <c r="J151" t="n">
        <v>280.575009</v>
      </c>
      <c r="K151" t="n">
        <v>266.546258</v>
      </c>
      <c r="L151" t="n">
        <v>675.870038</v>
      </c>
      <c r="M151" t="n">
        <v>640.5943130000001</v>
      </c>
      <c r="N151" t="n">
        <v>640.5943130000001</v>
      </c>
      <c r="O151" t="n">
        <v>182.123293</v>
      </c>
      <c r="P151" t="n">
        <v>73.82745199999999</v>
      </c>
      <c r="W151" t="n">
        <v>192.014278</v>
      </c>
      <c r="X151" t="n">
        <v>708.383019</v>
      </c>
      <c r="Z151" t="n">
        <v>131.160567</v>
      </c>
    </row>
    <row r="152" ht="21" customHeight="1">
      <c r="A152" t="inlineStr">
        <is>
          <t>Lates calcarifer</t>
        </is>
      </c>
      <c r="B152" t="n">
        <v>4.35</v>
      </c>
      <c r="C152" t="n">
        <v>2238.721139</v>
      </c>
      <c r="D152" s="11" t="inlineStr">
        <is>
          <t>Lg. piscivores | Juv.Lg.Pisciv.</t>
        </is>
      </c>
      <c r="H152" t="n">
        <v>401.23396</v>
      </c>
      <c r="I152" t="n">
        <v>262.057593</v>
      </c>
      <c r="J152" t="n">
        <v>262.057593</v>
      </c>
      <c r="K152" t="n">
        <v>243.37383</v>
      </c>
      <c r="L152" t="n">
        <v>806.383997</v>
      </c>
      <c r="M152" t="n">
        <v>760.332928</v>
      </c>
      <c r="N152" t="n">
        <v>760.332928</v>
      </c>
      <c r="O152" t="n">
        <v>136.609619</v>
      </c>
      <c r="P152" t="n">
        <v>56.19878</v>
      </c>
      <c r="W152" t="n">
        <v>141.082797</v>
      </c>
      <c r="X152" t="n">
        <v>853.530558</v>
      </c>
      <c r="Z152" t="n">
        <v>90.598209</v>
      </c>
    </row>
    <row r="153" ht="21" customHeight="1">
      <c r="A153" t="inlineStr">
        <is>
          <t>Monacanthidae</t>
        </is>
      </c>
      <c r="B153" t="n">
        <v>3</v>
      </c>
      <c r="C153" t="n">
        <v>100</v>
      </c>
      <c r="D153" s="11" t="inlineStr">
        <is>
          <t>Med.dem.benth.</t>
        </is>
      </c>
      <c r="H153" t="n">
        <v>136.909799</v>
      </c>
      <c r="I153" t="n">
        <v>177.004212</v>
      </c>
      <c r="J153" t="n">
        <v>177.004212</v>
      </c>
      <c r="K153" t="n">
        <v>158.443355</v>
      </c>
      <c r="L153" t="n">
        <v>664.022909</v>
      </c>
      <c r="M153" t="n">
        <v>624.927413</v>
      </c>
      <c r="N153" t="n">
        <v>624.927413</v>
      </c>
      <c r="O153" t="n">
        <v>66.41242099999999</v>
      </c>
      <c r="P153" t="n">
        <v>30.269118</v>
      </c>
      <c r="W153" t="n">
        <v>67.525592</v>
      </c>
      <c r="X153" t="n">
        <v>706.254767</v>
      </c>
      <c r="Z153" t="n">
        <v>40.467693</v>
      </c>
    </row>
    <row r="154" ht="21" customHeight="1">
      <c r="A154" t="inlineStr">
        <is>
          <t>Thunnus</t>
        </is>
      </c>
      <c r="D154" s="11" t="inlineStr">
        <is>
          <t>Tuna</t>
        </is>
      </c>
      <c r="H154" t="n">
        <v>607.7580799999999</v>
      </c>
      <c r="I154" t="n">
        <v>280.575009</v>
      </c>
      <c r="J154" t="n">
        <v>280.575009</v>
      </c>
      <c r="K154" t="n">
        <v>266.546258</v>
      </c>
      <c r="L154" t="n">
        <v>675.870038</v>
      </c>
      <c r="M154" t="n">
        <v>640.5943130000001</v>
      </c>
      <c r="N154" t="n">
        <v>640.5943130000001</v>
      </c>
      <c r="O154" t="n">
        <v>182.123293</v>
      </c>
      <c r="P154" t="n">
        <v>73.82745199999999</v>
      </c>
      <c r="W154" t="n">
        <v>192.014278</v>
      </c>
      <c r="X154" t="n">
        <v>708.383019</v>
      </c>
      <c r="Z154" t="n">
        <v>131.160567</v>
      </c>
    </row>
    <row r="155" ht="21" customHeight="1">
      <c r="A155" t="inlineStr">
        <is>
          <t>Bivalvia</t>
        </is>
      </c>
      <c r="D155" s="11" t="inlineStr">
        <is>
          <t>Molluscs</t>
        </is>
      </c>
      <c r="H155" t="n">
        <v>12.4377</v>
      </c>
      <c r="I155" t="n">
        <v>8.212337</v>
      </c>
      <c r="J155" t="n">
        <v>8.212337</v>
      </c>
      <c r="K155" t="n">
        <v>7.391103</v>
      </c>
      <c r="L155" t="n">
        <v>10.549912</v>
      </c>
      <c r="M155" t="n">
        <v>10.286656</v>
      </c>
      <c r="N155" t="n">
        <v>10.286656</v>
      </c>
      <c r="O155" t="n">
        <v>7.494737</v>
      </c>
      <c r="P155" t="n">
        <v>5.145347</v>
      </c>
      <c r="W155" t="n">
        <v>7.580281</v>
      </c>
      <c r="X155" t="n">
        <v>10.586653</v>
      </c>
      <c r="Z155" t="n">
        <v>6.884003</v>
      </c>
    </row>
    <row r="156" ht="21" customHeight="1">
      <c r="A156" t="inlineStr">
        <is>
          <t>Scarus</t>
        </is>
      </c>
      <c r="B156" t="n">
        <v>2</v>
      </c>
      <c r="C156" t="n">
        <v>10</v>
      </c>
      <c r="D156" s="11" t="inlineStr">
        <is>
          <t>O.fish</t>
        </is>
      </c>
      <c r="H156" t="n">
        <v>42.929607</v>
      </c>
      <c r="I156" t="n">
        <v>39.536769</v>
      </c>
      <c r="J156" t="n">
        <v>39.536769</v>
      </c>
      <c r="K156" t="n">
        <v>39.483541</v>
      </c>
      <c r="L156" t="n">
        <v>135.960121</v>
      </c>
      <c r="M156" t="n">
        <v>127.952962</v>
      </c>
      <c r="N156" t="n">
        <v>127.952962</v>
      </c>
      <c r="O156" t="n">
        <v>19.978947</v>
      </c>
      <c r="P156" t="n">
        <v>10.349729</v>
      </c>
      <c r="W156" t="n">
        <v>20.259997</v>
      </c>
      <c r="X156" t="n">
        <v>144.304672</v>
      </c>
      <c r="Z156" t="n">
        <v>15.351157</v>
      </c>
    </row>
    <row r="157" ht="21" customHeight="1">
      <c r="A157" t="inlineStr">
        <is>
          <t>Lactarius lactarius</t>
        </is>
      </c>
      <c r="B157" t="n">
        <v>3.97</v>
      </c>
      <c r="C157" t="n">
        <v>933.2543010000001</v>
      </c>
      <c r="D157" s="11" t="inlineStr">
        <is>
          <t>Med.dem.pisc.</t>
        </is>
      </c>
      <c r="H157" t="n">
        <v>155.33566</v>
      </c>
      <c r="I157" t="n">
        <v>128.379185</v>
      </c>
      <c r="J157" t="n">
        <v>128.379185</v>
      </c>
      <c r="K157" t="n">
        <v>126.665099</v>
      </c>
      <c r="L157" t="n">
        <v>445.224589</v>
      </c>
      <c r="M157" t="n">
        <v>418.545351</v>
      </c>
      <c r="N157" t="n">
        <v>418.545351</v>
      </c>
      <c r="O157" t="n">
        <v>63.857635</v>
      </c>
      <c r="P157" t="n">
        <v>28.35152</v>
      </c>
      <c r="W157" t="n">
        <v>65.503055</v>
      </c>
      <c r="X157" t="n">
        <v>471.535709</v>
      </c>
      <c r="Z157" t="n">
        <v>40.283509</v>
      </c>
    </row>
    <row r="158" ht="21" customHeight="1">
      <c r="A158" t="inlineStr">
        <is>
          <t>Drepane</t>
        </is>
      </c>
      <c r="B158" t="n">
        <v>3.32</v>
      </c>
      <c r="C158" t="n">
        <v>208.929613</v>
      </c>
      <c r="D158" s="11" t="inlineStr">
        <is>
          <t>Med.dem.benth.</t>
        </is>
      </c>
      <c r="H158" t="n">
        <v>136.909799</v>
      </c>
      <c r="I158" t="n">
        <v>177.004212</v>
      </c>
      <c r="J158" t="n">
        <v>177.004212</v>
      </c>
      <c r="K158" t="n">
        <v>158.443355</v>
      </c>
      <c r="L158" t="n">
        <v>664.022909</v>
      </c>
      <c r="M158" t="n">
        <v>624.927413</v>
      </c>
      <c r="N158" t="n">
        <v>624.927413</v>
      </c>
      <c r="O158" t="n">
        <v>66.41242099999999</v>
      </c>
      <c r="P158" t="n">
        <v>30.269118</v>
      </c>
      <c r="W158" t="n">
        <v>67.525592</v>
      </c>
      <c r="X158" t="n">
        <v>706.254767</v>
      </c>
      <c r="Z158" t="n">
        <v>40.467693</v>
      </c>
    </row>
    <row r="159" ht="21" customHeight="1">
      <c r="A159" t="inlineStr">
        <is>
          <t>Lethrinus</t>
        </is>
      </c>
      <c r="B159" t="n">
        <v>3.75</v>
      </c>
      <c r="C159" t="n">
        <v>562.341325</v>
      </c>
      <c r="D159" s="11" t="inlineStr">
        <is>
          <t>Med.dem.pisc.</t>
        </is>
      </c>
      <c r="H159" t="n">
        <v>155.33566</v>
      </c>
      <c r="I159" t="n">
        <v>128.379185</v>
      </c>
      <c r="J159" t="n">
        <v>128.379185</v>
      </c>
      <c r="K159" t="n">
        <v>126.665099</v>
      </c>
      <c r="L159" t="n">
        <v>445.224589</v>
      </c>
      <c r="M159" t="n">
        <v>418.545351</v>
      </c>
      <c r="N159" t="n">
        <v>418.545351</v>
      </c>
      <c r="O159" t="n">
        <v>63.857635</v>
      </c>
      <c r="P159" t="n">
        <v>28.35152</v>
      </c>
      <c r="W159" t="n">
        <v>65.503055</v>
      </c>
      <c r="X159" t="n">
        <v>471.535709</v>
      </c>
      <c r="Z159" t="n">
        <v>40.283509</v>
      </c>
    </row>
    <row r="160" ht="21" customHeight="1">
      <c r="A160" t="inlineStr">
        <is>
          <t>Dussumieria elopsoides</t>
        </is>
      </c>
      <c r="B160" t="n">
        <v>3.4</v>
      </c>
      <c r="C160" t="n">
        <v>251.188643</v>
      </c>
      <c r="D160" s="11" t="inlineStr">
        <is>
          <t>Sm. pelagics</t>
        </is>
      </c>
      <c r="H160" t="n">
        <v>33.155531</v>
      </c>
      <c r="I160" t="n">
        <v>20.273647</v>
      </c>
      <c r="J160" t="n">
        <v>20.273647</v>
      </c>
      <c r="K160" t="n">
        <v>19.259964</v>
      </c>
      <c r="L160" t="n">
        <v>30.239099</v>
      </c>
      <c r="M160" t="n">
        <v>29.116795</v>
      </c>
      <c r="N160" t="n">
        <v>29.116795</v>
      </c>
      <c r="O160" t="n">
        <v>19.726316</v>
      </c>
      <c r="P160" t="n">
        <v>11.954059</v>
      </c>
      <c r="W160" t="n">
        <v>20.400136</v>
      </c>
      <c r="X160" t="n">
        <v>29.971091</v>
      </c>
      <c r="Z160" t="n">
        <v>15.467293</v>
      </c>
    </row>
    <row r="161" ht="21" customHeight="1">
      <c r="A161" t="inlineStr">
        <is>
          <t>Rastrelliger brachysoma</t>
        </is>
      </c>
      <c r="B161" t="n">
        <v>2.72</v>
      </c>
      <c r="C161" t="n">
        <v>52.480746</v>
      </c>
      <c r="D161" s="11" t="inlineStr">
        <is>
          <t>Mackerel</t>
        </is>
      </c>
      <c r="H161" t="n">
        <v>33.155531</v>
      </c>
      <c r="I161" t="n">
        <v>20.273647</v>
      </c>
      <c r="J161" t="n">
        <v>20.273647</v>
      </c>
      <c r="K161" t="n">
        <v>19.259964</v>
      </c>
      <c r="L161" t="n">
        <v>30.239099</v>
      </c>
      <c r="M161" t="n">
        <v>29.116795</v>
      </c>
      <c r="N161" t="n">
        <v>29.116795</v>
      </c>
      <c r="O161" t="n">
        <v>19.726316</v>
      </c>
      <c r="P161" t="n">
        <v>11.954059</v>
      </c>
      <c r="W161" t="n">
        <v>20.385039</v>
      </c>
      <c r="X161" t="n">
        <v>29.832435</v>
      </c>
      <c r="Z161" t="n">
        <v>15.467293</v>
      </c>
    </row>
    <row r="162" ht="21" customHeight="1">
      <c r="A162" t="inlineStr">
        <is>
          <t>Photopectoralis bindus</t>
        </is>
      </c>
      <c r="B162" t="n">
        <v>2.93</v>
      </c>
      <c r="C162" t="n">
        <v>85.113804</v>
      </c>
      <c r="D162" s="11" t="inlineStr">
        <is>
          <t>Ponyfishes</t>
        </is>
      </c>
      <c r="H162" t="n">
        <v>52.16736</v>
      </c>
      <c r="I162" t="n">
        <v>49.169549</v>
      </c>
      <c r="J162" t="n">
        <v>49.169549</v>
      </c>
      <c r="K162" t="n">
        <v>47.780249</v>
      </c>
      <c r="L162" t="n">
        <v>167.671166</v>
      </c>
      <c r="M162" t="n">
        <v>158.207025</v>
      </c>
      <c r="N162" t="n">
        <v>158.207025</v>
      </c>
      <c r="O162" t="n">
        <v>24.374737</v>
      </c>
      <c r="P162" t="n">
        <v>12.739675</v>
      </c>
      <c r="W162" t="n">
        <v>24.875478</v>
      </c>
      <c r="X162" t="n">
        <v>177.579863</v>
      </c>
      <c r="Z162" t="n">
        <v>18.864552</v>
      </c>
    </row>
    <row r="163" ht="21" customHeight="1">
      <c r="A163" t="inlineStr">
        <is>
          <t>Istiophoridae</t>
        </is>
      </c>
      <c r="B163" t="n">
        <v>4.48</v>
      </c>
      <c r="C163" t="n">
        <v>3019.95172</v>
      </c>
      <c r="D163" s="11" t="inlineStr">
        <is>
          <t>Unresolved</t>
        </is>
      </c>
    </row>
    <row r="164" ht="21" customHeight="1">
      <c r="A164" t="inlineStr">
        <is>
          <t>Palinuridae</t>
        </is>
      </c>
      <c r="B164" t="n">
        <v>3.14</v>
      </c>
      <c r="C164" t="n">
        <v>138.038426</v>
      </c>
      <c r="D164" s="11" t="inlineStr">
        <is>
          <t>Crab, lobster</t>
        </is>
      </c>
      <c r="H164" t="n">
        <v>64.54244300000001</v>
      </c>
      <c r="I164" t="n">
        <v>77.512685</v>
      </c>
      <c r="J164" t="n">
        <v>77.512685</v>
      </c>
      <c r="K164" t="n">
        <v>66.489323</v>
      </c>
      <c r="L164" t="n">
        <v>295.897518</v>
      </c>
      <c r="M164" t="n">
        <v>277.943826</v>
      </c>
      <c r="N164" t="n">
        <v>277.943826</v>
      </c>
      <c r="O164" t="n">
        <v>27.221053</v>
      </c>
      <c r="P164" t="n">
        <v>12.636092</v>
      </c>
      <c r="W164" t="n">
        <v>27.422905</v>
      </c>
      <c r="X164" t="n">
        <v>312.087764</v>
      </c>
      <c r="Z164" t="n">
        <v>20.139757</v>
      </c>
    </row>
    <row r="165" ht="21" customHeight="1">
      <c r="A165" t="inlineStr">
        <is>
          <t>Gazza minuta</t>
        </is>
      </c>
      <c r="B165" t="n">
        <v>4.19</v>
      </c>
      <c r="C165" t="n">
        <v>1548.816619</v>
      </c>
      <c r="D165" s="11" t="inlineStr">
        <is>
          <t>Ponyfishes</t>
        </is>
      </c>
      <c r="H165" t="n">
        <v>52.16736</v>
      </c>
      <c r="I165" t="n">
        <v>49.169549</v>
      </c>
      <c r="J165" t="n">
        <v>49.169549</v>
      </c>
      <c r="K165" t="n">
        <v>47.780249</v>
      </c>
      <c r="L165" t="n">
        <v>167.671166</v>
      </c>
      <c r="M165" t="n">
        <v>158.207025</v>
      </c>
      <c r="N165" t="n">
        <v>158.207025</v>
      </c>
      <c r="O165" t="n">
        <v>24.374737</v>
      </c>
      <c r="P165" t="n">
        <v>12.739675</v>
      </c>
      <c r="W165" t="n">
        <v>24.875478</v>
      </c>
      <c r="X165" t="n">
        <v>177.579863</v>
      </c>
      <c r="Z165" t="n">
        <v>18.864552</v>
      </c>
    </row>
    <row r="166" ht="21" customHeight="1">
      <c r="A166" t="inlineStr">
        <is>
          <t>Sardinella fimbriata</t>
        </is>
      </c>
      <c r="B166" t="n">
        <v>2.7</v>
      </c>
      <c r="C166" t="n">
        <v>50.118723</v>
      </c>
      <c r="D166" s="11" t="inlineStr">
        <is>
          <t>Sm. pelagics</t>
        </is>
      </c>
      <c r="H166" t="n">
        <v>33.155531</v>
      </c>
      <c r="I166" t="n">
        <v>20.273647</v>
      </c>
      <c r="J166" t="n">
        <v>20.273647</v>
      </c>
      <c r="K166" t="n">
        <v>19.259964</v>
      </c>
      <c r="L166" t="n">
        <v>30.239099</v>
      </c>
      <c r="M166" t="n">
        <v>29.116795</v>
      </c>
      <c r="N166" t="n">
        <v>29.116795</v>
      </c>
      <c r="O166" t="n">
        <v>19.726316</v>
      </c>
      <c r="P166" t="n">
        <v>11.954059</v>
      </c>
      <c r="W166" t="n">
        <v>20.400136</v>
      </c>
      <c r="X166" t="n">
        <v>29.971091</v>
      </c>
      <c r="Z166" t="n">
        <v>15.467293</v>
      </c>
    </row>
    <row r="167" ht="21" customHeight="1">
      <c r="A167" t="inlineStr">
        <is>
          <t>Terapon theraps</t>
        </is>
      </c>
      <c r="B167" t="n">
        <v>3.49</v>
      </c>
      <c r="C167" t="n">
        <v>309.029543</v>
      </c>
      <c r="D167" s="11" t="inlineStr">
        <is>
          <t>Sm.dem.benth.</t>
        </is>
      </c>
      <c r="H167" t="n">
        <v>85.26248099999999</v>
      </c>
      <c r="I167" t="n">
        <v>87.40013</v>
      </c>
      <c r="J167" t="n">
        <v>87.40013</v>
      </c>
      <c r="K167" t="n">
        <v>73.65420399999999</v>
      </c>
      <c r="L167" t="n">
        <v>308.045854</v>
      </c>
      <c r="M167" t="n">
        <v>289.86806</v>
      </c>
      <c r="N167" t="n">
        <v>289.86806</v>
      </c>
      <c r="O167" t="n">
        <v>35.580632</v>
      </c>
      <c r="P167" t="n">
        <v>17.310642</v>
      </c>
      <c r="W167" t="n">
        <v>36.030766</v>
      </c>
      <c r="X167" t="n">
        <v>325.833864</v>
      </c>
      <c r="Z167" t="n">
        <v>27.099073</v>
      </c>
    </row>
    <row r="168" ht="21" customHeight="1">
      <c r="A168" t="inlineStr">
        <is>
          <t>Psettodidae</t>
        </is>
      </c>
      <c r="B168" t="n">
        <v>3.83</v>
      </c>
      <c r="C168" t="n">
        <v>676.082975</v>
      </c>
      <c r="D168" s="11" t="inlineStr">
        <is>
          <t>Med.dem.pisc.</t>
        </is>
      </c>
      <c r="H168" t="n">
        <v>155.33566</v>
      </c>
      <c r="I168" t="n">
        <v>128.379185</v>
      </c>
      <c r="J168" t="n">
        <v>128.379185</v>
      </c>
      <c r="K168" t="n">
        <v>126.665099</v>
      </c>
      <c r="L168" t="n">
        <v>445.224589</v>
      </c>
      <c r="M168" t="n">
        <v>418.545351</v>
      </c>
      <c r="N168" t="n">
        <v>418.545351</v>
      </c>
      <c r="O168" t="n">
        <v>63.857635</v>
      </c>
      <c r="P168" t="n">
        <v>28.35152</v>
      </c>
      <c r="W168" t="n">
        <v>65.503055</v>
      </c>
      <c r="X168" t="n">
        <v>471.535709</v>
      </c>
      <c r="Z168" t="n">
        <v>40.283509</v>
      </c>
    </row>
    <row r="169" ht="21" customHeight="1">
      <c r="A169" t="inlineStr">
        <is>
          <t>Pampus chinensis</t>
        </is>
      </c>
      <c r="B169" t="n">
        <v>3.6</v>
      </c>
      <c r="C169" t="n">
        <v>398.107171</v>
      </c>
      <c r="D169" s="11" t="inlineStr">
        <is>
          <t>Med.dem.benth.</t>
        </is>
      </c>
      <c r="H169" t="n">
        <v>136.909799</v>
      </c>
      <c r="I169" t="n">
        <v>177.004212</v>
      </c>
      <c r="J169" t="n">
        <v>177.004212</v>
      </c>
      <c r="K169" t="n">
        <v>158.443355</v>
      </c>
      <c r="L169" t="n">
        <v>664.022909</v>
      </c>
      <c r="M169" t="n">
        <v>624.927413</v>
      </c>
      <c r="N169" t="n">
        <v>624.927413</v>
      </c>
      <c r="O169" t="n">
        <v>66.41242099999999</v>
      </c>
      <c r="P169" t="n">
        <v>30.269118</v>
      </c>
      <c r="W169" t="n">
        <v>67.525592</v>
      </c>
      <c r="X169" t="n">
        <v>706.254767</v>
      </c>
      <c r="Z169" t="n">
        <v>40.467693</v>
      </c>
    </row>
    <row r="170" ht="66" customHeight="1">
      <c r="A170" t="inlineStr">
        <is>
          <t>Perciformes</t>
        </is>
      </c>
      <c r="B170" t="n">
        <v>3.53</v>
      </c>
      <c r="C170" t="n">
        <v>338.844156</v>
      </c>
      <c r="D170" s="11" t="inlineStr">
        <is>
          <t>Grouper/snapper | Juv. groupers | Med.dem.benth. | Med.dem.pisc. | O.fish | Sm.dem.benth. | Sm.dem.pisc.</t>
        </is>
      </c>
      <c r="H170" t="n">
        <v>98.303166</v>
      </c>
      <c r="I170" t="n">
        <v>87.442769</v>
      </c>
      <c r="J170" t="n">
        <v>87.442769</v>
      </c>
      <c r="K170" t="n">
        <v>81.98878999999999</v>
      </c>
      <c r="L170" t="n">
        <v>307.384185</v>
      </c>
      <c r="M170" t="n">
        <v>289.110024</v>
      </c>
      <c r="N170" t="n">
        <v>289.110024</v>
      </c>
      <c r="O170" t="n">
        <v>39.827246</v>
      </c>
      <c r="P170" t="n">
        <v>18.383532</v>
      </c>
      <c r="W170" t="n">
        <v>40.657329</v>
      </c>
      <c r="X170" t="n">
        <v>327.597188</v>
      </c>
      <c r="Z170" t="n">
        <v>28.000603</v>
      </c>
    </row>
    <row r="171" ht="21" customHeight="1">
      <c r="A171" t="inlineStr">
        <is>
          <t>Priacanthus tayenus</t>
        </is>
      </c>
      <c r="B171" t="n">
        <v>3.79</v>
      </c>
      <c r="C171" t="n">
        <v>616.595002</v>
      </c>
      <c r="D171" s="11" t="inlineStr">
        <is>
          <t>Sm.dem.pisc.</t>
        </is>
      </c>
      <c r="H171" t="n">
        <v>122.904552</v>
      </c>
      <c r="I171" t="n">
        <v>93.21507200000001</v>
      </c>
      <c r="J171" t="n">
        <v>93.21507200000001</v>
      </c>
      <c r="K171" t="n">
        <v>91.37699600000001</v>
      </c>
      <c r="L171" t="n">
        <v>329.659655</v>
      </c>
      <c r="M171" t="n">
        <v>309.636678</v>
      </c>
      <c r="N171" t="n">
        <v>309.636678</v>
      </c>
      <c r="O171" t="n">
        <v>43.487158</v>
      </c>
      <c r="P171" t="n">
        <v>19.855194</v>
      </c>
      <c r="W171" t="n">
        <v>44.41051</v>
      </c>
      <c r="X171" t="n">
        <v>355.505872</v>
      </c>
      <c r="Z171" t="n">
        <v>34.257735</v>
      </c>
    </row>
    <row r="172" ht="21" customHeight="1">
      <c r="A172" t="inlineStr">
        <is>
          <t>Eubleekeria splendens</t>
        </is>
      </c>
      <c r="B172" t="n">
        <v>2.94</v>
      </c>
      <c r="C172" t="n">
        <v>87.09635900000001</v>
      </c>
      <c r="D172" s="11" t="inlineStr">
        <is>
          <t>Ponyfishes</t>
        </is>
      </c>
      <c r="H172" t="n">
        <v>52.16736</v>
      </c>
      <c r="I172" t="n">
        <v>49.169549</v>
      </c>
      <c r="J172" t="n">
        <v>49.169549</v>
      </c>
      <c r="K172" t="n">
        <v>47.780249</v>
      </c>
      <c r="L172" t="n">
        <v>167.671166</v>
      </c>
      <c r="M172" t="n">
        <v>158.207025</v>
      </c>
      <c r="N172" t="n">
        <v>158.207025</v>
      </c>
      <c r="O172" t="n">
        <v>24.374737</v>
      </c>
      <c r="P172" t="n">
        <v>12.739675</v>
      </c>
      <c r="W172" t="n">
        <v>24.875478</v>
      </c>
      <c r="X172" t="n">
        <v>177.579863</v>
      </c>
      <c r="Z172" t="n">
        <v>18.864552</v>
      </c>
    </row>
    <row r="173" ht="21" customHeight="1">
      <c r="A173" t="inlineStr">
        <is>
          <t>Scyllaridae</t>
        </is>
      </c>
      <c r="B173" t="n">
        <v>2.87</v>
      </c>
      <c r="C173" t="n">
        <v>74.131024</v>
      </c>
      <c r="D173" s="11" t="inlineStr">
        <is>
          <t>Crab, lobster</t>
        </is>
      </c>
      <c r="H173" t="n">
        <v>64.54244300000001</v>
      </c>
      <c r="I173" t="n">
        <v>77.512685</v>
      </c>
      <c r="J173" t="n">
        <v>77.512685</v>
      </c>
      <c r="K173" t="n">
        <v>66.489323</v>
      </c>
      <c r="L173" t="n">
        <v>295.897518</v>
      </c>
      <c r="M173" t="n">
        <v>277.943826</v>
      </c>
      <c r="N173" t="n">
        <v>277.943826</v>
      </c>
      <c r="O173" t="n">
        <v>27.221053</v>
      </c>
      <c r="P173" t="n">
        <v>12.636092</v>
      </c>
      <c r="W173" t="n">
        <v>27.422905</v>
      </c>
      <c r="X173" t="n">
        <v>312.087764</v>
      </c>
      <c r="Z173" t="n">
        <v>20.139757</v>
      </c>
    </row>
    <row r="174" ht="21" customHeight="1">
      <c r="A174" t="inlineStr">
        <is>
          <t>Sphyraenidae</t>
        </is>
      </c>
      <c r="B174" t="n">
        <v>4.4</v>
      </c>
      <c r="C174" t="n">
        <v>2511.886432</v>
      </c>
      <c r="D174" s="11" t="inlineStr">
        <is>
          <t>Juv.Lg.Pisciv. | Lg. piscivores</t>
        </is>
      </c>
      <c r="H174" t="n">
        <v>401.23396</v>
      </c>
      <c r="I174" t="n">
        <v>262.057593</v>
      </c>
      <c r="J174" t="n">
        <v>262.057593</v>
      </c>
      <c r="K174" t="n">
        <v>243.37383</v>
      </c>
      <c r="L174" t="n">
        <v>806.383997</v>
      </c>
      <c r="M174" t="n">
        <v>760.332928</v>
      </c>
      <c r="N174" t="n">
        <v>760.332928</v>
      </c>
      <c r="O174" t="n">
        <v>136.609619</v>
      </c>
      <c r="P174" t="n">
        <v>56.19878</v>
      </c>
      <c r="W174" t="n">
        <v>141.082797</v>
      </c>
      <c r="X174" t="n">
        <v>853.530558</v>
      </c>
      <c r="Z174" t="n">
        <v>90.598209</v>
      </c>
    </row>
    <row r="175" ht="21" customHeight="1">
      <c r="A175" t="inlineStr">
        <is>
          <t>Gerres</t>
        </is>
      </c>
      <c r="B175" t="n">
        <v>3.27</v>
      </c>
      <c r="C175" t="n">
        <v>186.208714</v>
      </c>
      <c r="D175" s="11" t="inlineStr">
        <is>
          <t>Sm.dem.benth.</t>
        </is>
      </c>
      <c r="H175" t="n">
        <v>85.26248099999999</v>
      </c>
      <c r="I175" t="n">
        <v>87.40013</v>
      </c>
      <c r="J175" t="n">
        <v>87.40013</v>
      </c>
      <c r="K175" t="n">
        <v>73.65420399999999</v>
      </c>
      <c r="L175" t="n">
        <v>308.045854</v>
      </c>
      <c r="M175" t="n">
        <v>289.86806</v>
      </c>
      <c r="N175" t="n">
        <v>289.86806</v>
      </c>
      <c r="O175" t="n">
        <v>35.580632</v>
      </c>
      <c r="P175" t="n">
        <v>17.310642</v>
      </c>
      <c r="W175" t="n">
        <v>36.030766</v>
      </c>
      <c r="X175" t="n">
        <v>325.833864</v>
      </c>
      <c r="Z175" t="n">
        <v>27.099073</v>
      </c>
    </row>
    <row r="176" ht="21" customHeight="1">
      <c r="A176" t="inlineStr">
        <is>
          <t>Xiphias gladius</t>
        </is>
      </c>
      <c r="B176" t="n">
        <v>4.53</v>
      </c>
      <c r="C176" t="n">
        <v>3388.441561</v>
      </c>
      <c r="D176" s="11" t="inlineStr">
        <is>
          <t>Unresolved</t>
        </is>
      </c>
    </row>
    <row r="177" ht="21" customHeight="1">
      <c r="A177" t="inlineStr">
        <is>
          <t>Haemulidae</t>
        </is>
      </c>
      <c r="B177" t="n">
        <v>3.36</v>
      </c>
      <c r="C177" t="n">
        <v>229.086765</v>
      </c>
      <c r="D177" s="11" t="inlineStr">
        <is>
          <t>Med.dem.benth.</t>
        </is>
      </c>
      <c r="H177" t="n">
        <v>136.909799</v>
      </c>
      <c r="I177" t="n">
        <v>177.004212</v>
      </c>
      <c r="J177" t="n">
        <v>177.004212</v>
      </c>
      <c r="K177" t="n">
        <v>158.443355</v>
      </c>
      <c r="L177" t="n">
        <v>664.022909</v>
      </c>
      <c r="M177" t="n">
        <v>624.927413</v>
      </c>
      <c r="N177" t="n">
        <v>624.927413</v>
      </c>
      <c r="O177" t="n">
        <v>66.41242099999999</v>
      </c>
      <c r="P177" t="n">
        <v>30.269118</v>
      </c>
      <c r="W177" t="n">
        <v>67.525592</v>
      </c>
      <c r="X177" t="n">
        <v>706.254767</v>
      </c>
      <c r="Z177" t="n">
        <v>40.467693</v>
      </c>
    </row>
    <row r="178" ht="21" customHeight="1">
      <c r="A178" t="inlineStr">
        <is>
          <t>Thryssa</t>
        </is>
      </c>
      <c r="B178" t="n">
        <v>3.34</v>
      </c>
      <c r="C178" t="n">
        <v>218.776162</v>
      </c>
      <c r="D178" s="11" t="inlineStr">
        <is>
          <t>Sm. pelagics</t>
        </is>
      </c>
      <c r="H178" t="n">
        <v>33.155531</v>
      </c>
      <c r="I178" t="n">
        <v>20.273647</v>
      </c>
      <c r="J178" t="n">
        <v>20.273647</v>
      </c>
      <c r="K178" t="n">
        <v>19.259964</v>
      </c>
      <c r="L178" t="n">
        <v>30.239099</v>
      </c>
      <c r="M178" t="n">
        <v>29.116795</v>
      </c>
      <c r="N178" t="n">
        <v>29.116795</v>
      </c>
      <c r="O178" t="n">
        <v>19.726316</v>
      </c>
      <c r="P178" t="n">
        <v>11.954059</v>
      </c>
      <c r="W178" t="n">
        <v>20.400136</v>
      </c>
      <c r="X178" t="n">
        <v>29.971091</v>
      </c>
      <c r="Z178" t="n">
        <v>15.467293</v>
      </c>
    </row>
    <row r="179" ht="21" customHeight="1">
      <c r="A179" t="inlineStr">
        <is>
          <t>Hilsa kelee</t>
        </is>
      </c>
      <c r="B179" t="n">
        <v>3.25</v>
      </c>
      <c r="C179" t="n">
        <v>177.827941</v>
      </c>
      <c r="D179" s="11" t="inlineStr">
        <is>
          <t>Sm. pelagics</t>
        </is>
      </c>
      <c r="H179" t="n">
        <v>33.155531</v>
      </c>
      <c r="I179" t="n">
        <v>20.273647</v>
      </c>
      <c r="J179" t="n">
        <v>20.273647</v>
      </c>
      <c r="K179" t="n">
        <v>19.259964</v>
      </c>
      <c r="L179" t="n">
        <v>30.239099</v>
      </c>
      <c r="M179" t="n">
        <v>29.116795</v>
      </c>
      <c r="N179" t="n">
        <v>29.116795</v>
      </c>
      <c r="O179" t="n">
        <v>19.726316</v>
      </c>
      <c r="P179" t="n">
        <v>11.954059</v>
      </c>
      <c r="W179" t="n">
        <v>20.400136</v>
      </c>
      <c r="X179" t="n">
        <v>29.971091</v>
      </c>
      <c r="Z179" t="n">
        <v>15.467293</v>
      </c>
    </row>
    <row r="180" ht="21" customHeight="1">
      <c r="A180" t="inlineStr">
        <is>
          <t>Octopus</t>
        </is>
      </c>
      <c r="B180" t="n">
        <v>3.8</v>
      </c>
      <c r="C180" t="n">
        <v>630.957344</v>
      </c>
      <c r="D180" s="11" t="inlineStr">
        <is>
          <t>Cephalopods</t>
        </is>
      </c>
      <c r="H180" t="n">
        <v>123.705654</v>
      </c>
      <c r="I180" t="n">
        <v>98.832763</v>
      </c>
      <c r="J180" t="n">
        <v>98.832763</v>
      </c>
      <c r="K180" t="n">
        <v>95.965153</v>
      </c>
      <c r="L180" t="n">
        <v>349.557692</v>
      </c>
      <c r="M180" t="n">
        <v>328.556033</v>
      </c>
      <c r="N180" t="n">
        <v>328.556033</v>
      </c>
      <c r="O180" t="n">
        <v>60.210877</v>
      </c>
      <c r="P180" t="n">
        <v>27.458851</v>
      </c>
      <c r="W180" t="n">
        <v>61.37127</v>
      </c>
      <c r="X180" t="n">
        <v>358.735586</v>
      </c>
      <c r="Z180" t="n">
        <v>35.265425</v>
      </c>
    </row>
    <row r="181" ht="21" customHeight="1">
      <c r="A181" t="inlineStr">
        <is>
          <t>Lethrinidae</t>
        </is>
      </c>
      <c r="B181" t="n">
        <v>3.59</v>
      </c>
      <c r="C181" t="n">
        <v>389.045145</v>
      </c>
      <c r="D181" s="11" t="inlineStr">
        <is>
          <t>Med.dem.pisc.</t>
        </is>
      </c>
      <c r="H181" t="n">
        <v>155.33566</v>
      </c>
      <c r="I181" t="n">
        <v>128.379185</v>
      </c>
      <c r="J181" t="n">
        <v>128.379185</v>
      </c>
      <c r="K181" t="n">
        <v>126.665099</v>
      </c>
      <c r="L181" t="n">
        <v>445.224589</v>
      </c>
      <c r="M181" t="n">
        <v>418.545351</v>
      </c>
      <c r="N181" t="n">
        <v>418.545351</v>
      </c>
      <c r="O181" t="n">
        <v>63.857635</v>
      </c>
      <c r="P181" t="n">
        <v>28.35152</v>
      </c>
      <c r="W181" t="n">
        <v>65.503055</v>
      </c>
      <c r="X181" t="n">
        <v>471.535709</v>
      </c>
      <c r="Z181" t="n">
        <v>40.283509</v>
      </c>
    </row>
    <row r="182" ht="21" customHeight="1">
      <c r="A182" t="inlineStr">
        <is>
          <t>Pampus</t>
        </is>
      </c>
      <c r="B182" t="n">
        <v>3.41</v>
      </c>
      <c r="C182" t="n">
        <v>257.039578</v>
      </c>
      <c r="D182" s="11" t="inlineStr">
        <is>
          <t>Med.dem.benth.</t>
        </is>
      </c>
      <c r="H182" t="n">
        <v>136.909799</v>
      </c>
      <c r="I182" t="n">
        <v>177.004212</v>
      </c>
      <c r="J182" t="n">
        <v>177.004212</v>
      </c>
      <c r="K182" t="n">
        <v>158.443355</v>
      </c>
      <c r="L182" t="n">
        <v>664.022909</v>
      </c>
      <c r="M182" t="n">
        <v>624.927413</v>
      </c>
      <c r="N182" t="n">
        <v>624.927413</v>
      </c>
      <c r="O182" t="n">
        <v>66.41242099999999</v>
      </c>
      <c r="P182" t="n">
        <v>30.269118</v>
      </c>
      <c r="W182" t="n">
        <v>67.525592</v>
      </c>
      <c r="X182" t="n">
        <v>706.254767</v>
      </c>
      <c r="Z182" t="n">
        <v>40.467693</v>
      </c>
    </row>
    <row r="183" ht="21" customHeight="1">
      <c r="A183" t="inlineStr">
        <is>
          <t>Platycaranx malabaricus</t>
        </is>
      </c>
      <c r="B183" t="n">
        <v>3.88</v>
      </c>
      <c r="C183" t="n">
        <v>758.577575</v>
      </c>
      <c r="D183" s="11" t="inlineStr">
        <is>
          <t>Lg. piscivores | Juv.Lg.Pisciv.</t>
        </is>
      </c>
      <c r="H183" t="n">
        <v>401.23396</v>
      </c>
      <c r="I183" t="n">
        <v>262.057593</v>
      </c>
      <c r="J183" t="n">
        <v>262.057593</v>
      </c>
      <c r="K183" t="n">
        <v>243.37383</v>
      </c>
      <c r="L183" t="n">
        <v>806.383997</v>
      </c>
      <c r="M183" t="n">
        <v>760.332928</v>
      </c>
      <c r="N183" t="n">
        <v>760.332928</v>
      </c>
      <c r="O183" t="n">
        <v>136.609619</v>
      </c>
      <c r="P183" t="n">
        <v>56.19878</v>
      </c>
      <c r="W183" t="n">
        <v>141.082797</v>
      </c>
      <c r="X183" t="n">
        <v>853.530558</v>
      </c>
      <c r="Z183" t="n">
        <v>90.598209</v>
      </c>
    </row>
    <row r="184" ht="21" customHeight="1">
      <c r="A184" t="inlineStr">
        <is>
          <t>Crassostrea</t>
        </is>
      </c>
      <c r="D184" s="11" t="inlineStr">
        <is>
          <t>Molluscs</t>
        </is>
      </c>
      <c r="H184" t="n">
        <v>12.4377</v>
      </c>
      <c r="I184" t="n">
        <v>8.212337</v>
      </c>
      <c r="J184" t="n">
        <v>8.212337</v>
      </c>
      <c r="K184" t="n">
        <v>7.391103</v>
      </c>
      <c r="L184" t="n">
        <v>10.549912</v>
      </c>
      <c r="M184" t="n">
        <v>10.286656</v>
      </c>
      <c r="N184" t="n">
        <v>10.286656</v>
      </c>
      <c r="O184" t="n">
        <v>7.494737</v>
      </c>
      <c r="P184" t="n">
        <v>5.145347</v>
      </c>
      <c r="W184" t="n">
        <v>7.580281</v>
      </c>
      <c r="X184" t="n">
        <v>10.586653</v>
      </c>
      <c r="Z184" t="n">
        <v>6.884003</v>
      </c>
    </row>
    <row r="185" ht="21" customHeight="1">
      <c r="A185" t="inlineStr">
        <is>
          <t>Gnathanodon speciosus</t>
        </is>
      </c>
      <c r="B185" t="n">
        <v>3.84</v>
      </c>
      <c r="C185" t="n">
        <v>691.830971</v>
      </c>
      <c r="D185" s="11" t="inlineStr">
        <is>
          <t>Lg. piscivores | Juv.Lg.Pisciv.</t>
        </is>
      </c>
      <c r="H185" t="n">
        <v>401.23396</v>
      </c>
      <c r="I185" t="n">
        <v>262.057593</v>
      </c>
      <c r="J185" t="n">
        <v>262.057593</v>
      </c>
      <c r="K185" t="n">
        <v>243.37383</v>
      </c>
      <c r="L185" t="n">
        <v>806.383997</v>
      </c>
      <c r="M185" t="n">
        <v>760.332928</v>
      </c>
      <c r="N185" t="n">
        <v>760.332928</v>
      </c>
      <c r="O185" t="n">
        <v>136.609619</v>
      </c>
      <c r="P185" t="n">
        <v>56.19878</v>
      </c>
      <c r="W185" t="n">
        <v>141.082797</v>
      </c>
      <c r="X185" t="n">
        <v>853.530558</v>
      </c>
      <c r="Z185" t="n">
        <v>90.598209</v>
      </c>
    </row>
    <row r="186" ht="21" customHeight="1">
      <c r="A186" t="inlineStr">
        <is>
          <t>Aluterus</t>
        </is>
      </c>
      <c r="B186" t="n">
        <v>2.81</v>
      </c>
      <c r="C186" t="n">
        <v>64.565423</v>
      </c>
      <c r="D186" s="11" t="inlineStr">
        <is>
          <t>Med.dem.benth.</t>
        </is>
      </c>
      <c r="H186" t="n">
        <v>136.909799</v>
      </c>
      <c r="I186" t="n">
        <v>177.004212</v>
      </c>
      <c r="J186" t="n">
        <v>177.004212</v>
      </c>
      <c r="K186" t="n">
        <v>158.443355</v>
      </c>
      <c r="L186" t="n">
        <v>664.022909</v>
      </c>
      <c r="M186" t="n">
        <v>624.927413</v>
      </c>
      <c r="N186" t="n">
        <v>624.927413</v>
      </c>
      <c r="O186" t="n">
        <v>66.41242099999999</v>
      </c>
      <c r="P186" t="n">
        <v>30.269118</v>
      </c>
      <c r="W186" t="n">
        <v>67.525592</v>
      </c>
      <c r="X186" t="n">
        <v>706.254767</v>
      </c>
      <c r="Z186" t="n">
        <v>40.467693</v>
      </c>
    </row>
    <row r="187" ht="21" customHeight="1">
      <c r="A187" t="inlineStr">
        <is>
          <t>Scatophagus</t>
        </is>
      </c>
      <c r="B187" t="n">
        <v>2.75</v>
      </c>
      <c r="C187" t="n">
        <v>56.234133</v>
      </c>
      <c r="D187" s="11" t="inlineStr">
        <is>
          <t>O.fish</t>
        </is>
      </c>
      <c r="H187" t="n">
        <v>42.929607</v>
      </c>
      <c r="I187" t="n">
        <v>39.536769</v>
      </c>
      <c r="J187" t="n">
        <v>39.536769</v>
      </c>
      <c r="K187" t="n">
        <v>39.483541</v>
      </c>
      <c r="L187" t="n">
        <v>135.960121</v>
      </c>
      <c r="M187" t="n">
        <v>127.952962</v>
      </c>
      <c r="N187" t="n">
        <v>127.952962</v>
      </c>
      <c r="O187" t="n">
        <v>19.978947</v>
      </c>
      <c r="P187" t="n">
        <v>10.349729</v>
      </c>
      <c r="W187" t="n">
        <v>20.259997</v>
      </c>
      <c r="X187" t="n">
        <v>144.304672</v>
      </c>
      <c r="Z187" t="n">
        <v>15.351157</v>
      </c>
    </row>
    <row r="188" ht="21" customHeight="1">
      <c r="A188" t="inlineStr">
        <is>
          <t>Panulirus polyphagus</t>
        </is>
      </c>
      <c r="B188" t="n">
        <v>2.94</v>
      </c>
      <c r="C188" t="n">
        <v>87.09635900000001</v>
      </c>
      <c r="D188" s="11" t="inlineStr">
        <is>
          <t>Crab, lobster</t>
        </is>
      </c>
      <c r="H188" t="n">
        <v>64.54244300000001</v>
      </c>
      <c r="I188" t="n">
        <v>77.512685</v>
      </c>
      <c r="J188" t="n">
        <v>77.512685</v>
      </c>
      <c r="K188" t="n">
        <v>66.489323</v>
      </c>
      <c r="L188" t="n">
        <v>295.897518</v>
      </c>
      <c r="M188" t="n">
        <v>277.943826</v>
      </c>
      <c r="N188" t="n">
        <v>277.943826</v>
      </c>
      <c r="O188" t="n">
        <v>27.221053</v>
      </c>
      <c r="P188" t="n">
        <v>12.636092</v>
      </c>
      <c r="W188" t="n">
        <v>27.422905</v>
      </c>
      <c r="X188" t="n">
        <v>312.087764</v>
      </c>
      <c r="Z188" t="n">
        <v>20.139757</v>
      </c>
    </row>
    <row r="189" ht="21" customHeight="1">
      <c r="A189" t="inlineStr">
        <is>
          <t>Makaira mazara</t>
        </is>
      </c>
      <c r="B189" t="n">
        <v>4.46</v>
      </c>
      <c r="C189" t="n">
        <v>2884.031503</v>
      </c>
      <c r="D189" s="11" t="inlineStr">
        <is>
          <t>Unresolved</t>
        </is>
      </c>
    </row>
    <row r="190" ht="21" customHeight="1">
      <c r="A190" t="inlineStr">
        <is>
          <t>Miscellaneous marine crustaceans</t>
        </is>
      </c>
      <c r="B190" t="n">
        <v>2.7</v>
      </c>
      <c r="C190" t="n">
        <v>50.118723</v>
      </c>
      <c r="D190" s="11" t="inlineStr">
        <is>
          <t>Shrimps</t>
        </is>
      </c>
      <c r="H190" t="n">
        <v>29.428499</v>
      </c>
      <c r="I190" t="n">
        <v>30.201348</v>
      </c>
      <c r="J190" t="n">
        <v>30.201348</v>
      </c>
      <c r="K190" t="n">
        <v>28.691281</v>
      </c>
      <c r="L190" t="n">
        <v>110.883242</v>
      </c>
      <c r="M190" t="n">
        <v>103.574278</v>
      </c>
      <c r="N190" t="n">
        <v>103.574278</v>
      </c>
      <c r="O190" t="n">
        <v>13.035789</v>
      </c>
      <c r="P190" t="n">
        <v>6.34711</v>
      </c>
      <c r="W190" t="n">
        <v>13.241537</v>
      </c>
      <c r="X190" t="n">
        <v>117.005531</v>
      </c>
      <c r="Z190" t="n">
        <v>9.725251</v>
      </c>
    </row>
    <row r="191" ht="21" customHeight="1">
      <c r="A191" t="inlineStr">
        <is>
          <t>Platycephalus indicus</t>
        </is>
      </c>
      <c r="B191" t="n">
        <v>3.6</v>
      </c>
      <c r="C191" t="n">
        <v>398.107171</v>
      </c>
      <c r="D191" s="11" t="inlineStr">
        <is>
          <t>Med.dem.pisc.</t>
        </is>
      </c>
      <c r="H191" t="n">
        <v>155.33566</v>
      </c>
      <c r="I191" t="n">
        <v>128.379185</v>
      </c>
      <c r="J191" t="n">
        <v>128.379185</v>
      </c>
      <c r="K191" t="n">
        <v>126.665099</v>
      </c>
      <c r="L191" t="n">
        <v>445.224589</v>
      </c>
      <c r="M191" t="n">
        <v>418.545351</v>
      </c>
      <c r="N191" t="n">
        <v>418.545351</v>
      </c>
      <c r="O191" t="n">
        <v>63.857635</v>
      </c>
      <c r="P191" t="n">
        <v>28.35152</v>
      </c>
      <c r="W191" t="n">
        <v>65.503055</v>
      </c>
      <c r="X191" t="n">
        <v>471.535709</v>
      </c>
      <c r="Z191" t="n">
        <v>40.283509</v>
      </c>
    </row>
    <row r="192" ht="21" customHeight="1">
      <c r="A192" t="inlineStr">
        <is>
          <t>Holothuriidae</t>
        </is>
      </c>
      <c r="D192" s="11" t="inlineStr">
        <is>
          <t>Benthos</t>
        </is>
      </c>
      <c r="H192" t="n">
        <v>19.803398</v>
      </c>
      <c r="I192" t="n">
        <v>33.244662</v>
      </c>
      <c r="J192" t="n">
        <v>33.244662</v>
      </c>
      <c r="K192" t="n">
        <v>10.824674</v>
      </c>
      <c r="L192" t="n">
        <v>126.575988</v>
      </c>
      <c r="M192" t="n">
        <v>119.208211</v>
      </c>
      <c r="N192" t="n">
        <v>119.208211</v>
      </c>
      <c r="O192" t="n">
        <v>13.610526</v>
      </c>
      <c r="P192" t="n">
        <v>7.897558</v>
      </c>
      <c r="W192" t="n">
        <v>13.71813</v>
      </c>
      <c r="X192" t="n">
        <v>133.108159</v>
      </c>
      <c r="Z192" t="n">
        <v>9.089086999999999</v>
      </c>
    </row>
    <row r="193" ht="21" customHeight="1">
      <c r="A193" t="inlineStr">
        <is>
          <t>Istiompax indica</t>
        </is>
      </c>
      <c r="B193" t="n">
        <v>4.5</v>
      </c>
      <c r="C193" t="n">
        <v>3162.27766</v>
      </c>
      <c r="D193" s="11" t="inlineStr">
        <is>
          <t>Unresolved</t>
        </is>
      </c>
    </row>
    <row r="194" ht="21" customHeight="1">
      <c r="A194" t="inlineStr">
        <is>
          <t>Menidae</t>
        </is>
      </c>
      <c r="B194" t="n">
        <v>3.45</v>
      </c>
      <c r="C194" t="n">
        <v>281.838293</v>
      </c>
      <c r="D194" s="11" t="inlineStr">
        <is>
          <t>Med.dem.benth.</t>
        </is>
      </c>
      <c r="H194" t="n">
        <v>136.909799</v>
      </c>
      <c r="I194" t="n">
        <v>177.004212</v>
      </c>
      <c r="J194" t="n">
        <v>177.004212</v>
      </c>
      <c r="K194" t="n">
        <v>158.443355</v>
      </c>
      <c r="L194" t="n">
        <v>664.022909</v>
      </c>
      <c r="M194" t="n">
        <v>624.927413</v>
      </c>
      <c r="N194" t="n">
        <v>624.927413</v>
      </c>
      <c r="O194" t="n">
        <v>66.41242099999999</v>
      </c>
      <c r="P194" t="n">
        <v>30.269118</v>
      </c>
      <c r="W194" t="n">
        <v>67.525592</v>
      </c>
      <c r="X194" t="n">
        <v>706.254767</v>
      </c>
      <c r="Z194" t="n">
        <v>40.467693</v>
      </c>
    </row>
    <row r="195" ht="21" customHeight="1">
      <c r="A195" t="inlineStr">
        <is>
          <t>Hyporhamphus</t>
        </is>
      </c>
      <c r="B195" t="n">
        <v>3.3</v>
      </c>
      <c r="C195" t="n">
        <v>199.526231</v>
      </c>
      <c r="D195" s="11" t="inlineStr">
        <is>
          <t>Sm. pelagics</t>
        </is>
      </c>
      <c r="H195" t="n">
        <v>33.155531</v>
      </c>
      <c r="I195" t="n">
        <v>20.273647</v>
      </c>
      <c r="J195" t="n">
        <v>20.273647</v>
      </c>
      <c r="K195" t="n">
        <v>19.259964</v>
      </c>
      <c r="L195" t="n">
        <v>30.239099</v>
      </c>
      <c r="M195" t="n">
        <v>29.116795</v>
      </c>
      <c r="N195" t="n">
        <v>29.116795</v>
      </c>
      <c r="O195" t="n">
        <v>19.726316</v>
      </c>
      <c r="P195" t="n">
        <v>11.954059</v>
      </c>
      <c r="W195" t="n">
        <v>20.400136</v>
      </c>
      <c r="X195" t="n">
        <v>29.971091</v>
      </c>
      <c r="Z195" t="n">
        <v>15.467293</v>
      </c>
    </row>
    <row r="196" ht="21" customHeight="1">
      <c r="A196" t="inlineStr">
        <is>
          <t>Caranx sexfasciatus</t>
        </is>
      </c>
      <c r="B196" t="n">
        <v>4.5</v>
      </c>
      <c r="C196" t="n">
        <v>3162.27766</v>
      </c>
      <c r="D196" s="11" t="inlineStr">
        <is>
          <t>Lg. piscivores | Juv.Lg.Pisciv.</t>
        </is>
      </c>
      <c r="H196" t="n">
        <v>401.23396</v>
      </c>
      <c r="I196" t="n">
        <v>262.057593</v>
      </c>
      <c r="J196" t="n">
        <v>262.057593</v>
      </c>
      <c r="K196" t="n">
        <v>243.37383</v>
      </c>
      <c r="L196" t="n">
        <v>806.383997</v>
      </c>
      <c r="M196" t="n">
        <v>760.332928</v>
      </c>
      <c r="N196" t="n">
        <v>760.332928</v>
      </c>
      <c r="O196" t="n">
        <v>136.609619</v>
      </c>
      <c r="P196" t="n">
        <v>56.19878</v>
      </c>
      <c r="W196" t="n">
        <v>141.082797</v>
      </c>
      <c r="X196" t="n">
        <v>853.530558</v>
      </c>
      <c r="Z196" t="n">
        <v>90.598209</v>
      </c>
    </row>
    <row r="197" ht="21" customHeight="1">
      <c r="A197" t="inlineStr">
        <is>
          <t>Megalops cyprinoides</t>
        </is>
      </c>
      <c r="B197" t="n">
        <v>3.48</v>
      </c>
      <c r="C197" t="n">
        <v>301.995172</v>
      </c>
      <c r="D197" s="11" t="inlineStr">
        <is>
          <t>Lg. piscivores | Juv.Lg.Pisciv.</t>
        </is>
      </c>
      <c r="H197" t="n">
        <v>401.23396</v>
      </c>
      <c r="I197" t="n">
        <v>262.057593</v>
      </c>
      <c r="J197" t="n">
        <v>262.057593</v>
      </c>
      <c r="K197" t="n">
        <v>243.37383</v>
      </c>
      <c r="L197" t="n">
        <v>806.383997</v>
      </c>
      <c r="M197" t="n">
        <v>760.332928</v>
      </c>
      <c r="N197" t="n">
        <v>760.332928</v>
      </c>
      <c r="O197" t="n">
        <v>136.609619</v>
      </c>
      <c r="P197" t="n">
        <v>56.19878</v>
      </c>
      <c r="W197" t="n">
        <v>141.082797</v>
      </c>
      <c r="X197" t="n">
        <v>853.530558</v>
      </c>
      <c r="Z197" t="n">
        <v>90.598209</v>
      </c>
    </row>
    <row r="198" ht="21" customHeight="1">
      <c r="A198" t="inlineStr">
        <is>
          <t>Spratelloides</t>
        </is>
      </c>
      <c r="D198" s="11" t="inlineStr">
        <is>
          <t>Sm. pelagics</t>
        </is>
      </c>
      <c r="H198" t="n">
        <v>33.155531</v>
      </c>
      <c r="I198" t="n">
        <v>20.273647</v>
      </c>
      <c r="J198" t="n">
        <v>20.273647</v>
      </c>
      <c r="K198" t="n">
        <v>19.259964</v>
      </c>
      <c r="L198" t="n">
        <v>30.239099</v>
      </c>
      <c r="M198" t="n">
        <v>29.116795</v>
      </c>
      <c r="N198" t="n">
        <v>29.116795</v>
      </c>
      <c r="O198" t="n">
        <v>19.726316</v>
      </c>
      <c r="P198" t="n">
        <v>11.954059</v>
      </c>
      <c r="W198" t="n">
        <v>20.400136</v>
      </c>
      <c r="X198" t="n">
        <v>29.971091</v>
      </c>
      <c r="Z198" t="n">
        <v>15.467293</v>
      </c>
    </row>
    <row r="199" ht="21" customHeight="1">
      <c r="A199" t="inlineStr">
        <is>
          <t>Marine pelagic fishes not identified</t>
        </is>
      </c>
      <c r="D199" s="11" t="inlineStr">
        <is>
          <t>Sm. pelagics | Scad</t>
        </is>
      </c>
      <c r="H199" t="n">
        <v>69.315335</v>
      </c>
      <c r="I199" t="n">
        <v>38.554429</v>
      </c>
      <c r="J199" t="n">
        <v>38.554429</v>
      </c>
      <c r="K199" t="n">
        <v>36.626707</v>
      </c>
      <c r="L199" t="n">
        <v>82.177165</v>
      </c>
      <c r="M199" t="n">
        <v>78.127025</v>
      </c>
      <c r="N199" t="n">
        <v>78.127025</v>
      </c>
      <c r="O199" t="n">
        <v>30.70388</v>
      </c>
      <c r="P199" t="n">
        <v>16.501128</v>
      </c>
      <c r="W199" t="n">
        <v>31.757189</v>
      </c>
      <c r="X199" t="n">
        <v>83.828125</v>
      </c>
      <c r="Z199" t="n">
        <v>25.000928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Unresolved</t>
        </is>
      </c>
    </row>
    <row r="201" ht="21" customHeight="1">
      <c r="A201" t="inlineStr">
        <is>
          <t>Thunnus alalunga</t>
        </is>
      </c>
      <c r="B201" t="n">
        <v>4.3</v>
      </c>
      <c r="C201" t="n">
        <v>1995.262315</v>
      </c>
      <c r="D201" s="11" t="inlineStr">
        <is>
          <t>Tuna</t>
        </is>
      </c>
      <c r="H201" t="n">
        <v>607.7580799999999</v>
      </c>
      <c r="I201" t="n">
        <v>280.575009</v>
      </c>
      <c r="J201" t="n">
        <v>280.575009</v>
      </c>
      <c r="K201" t="n">
        <v>266.546258</v>
      </c>
      <c r="L201" t="n">
        <v>675.870038</v>
      </c>
      <c r="M201" t="n">
        <v>640.5943130000001</v>
      </c>
      <c r="N201" t="n">
        <v>640.5943130000001</v>
      </c>
      <c r="O201" t="n">
        <v>182.123293</v>
      </c>
      <c r="P201" t="n">
        <v>73.82745199999999</v>
      </c>
      <c r="W201" t="n">
        <v>192.014278</v>
      </c>
      <c r="X201" t="n">
        <v>708.383019</v>
      </c>
      <c r="Z201" t="n">
        <v>131.160567</v>
      </c>
    </row>
    <row r="202" ht="21" customHeight="1">
      <c r="A202" t="inlineStr">
        <is>
          <t>Scatophagus argus</t>
        </is>
      </c>
      <c r="B202" t="n">
        <v>2.99</v>
      </c>
      <c r="C202" t="n">
        <v>97.723722</v>
      </c>
      <c r="D202" s="11" t="inlineStr">
        <is>
          <t>O.fish</t>
        </is>
      </c>
      <c r="H202" t="n">
        <v>42.929607</v>
      </c>
      <c r="I202" t="n">
        <v>39.536769</v>
      </c>
      <c r="J202" t="n">
        <v>39.536769</v>
      </c>
      <c r="K202" t="n">
        <v>39.483541</v>
      </c>
      <c r="L202" t="n">
        <v>135.960121</v>
      </c>
      <c r="M202" t="n">
        <v>127.952962</v>
      </c>
      <c r="N202" t="n">
        <v>127.952962</v>
      </c>
      <c r="O202" t="n">
        <v>19.978947</v>
      </c>
      <c r="P202" t="n">
        <v>10.349729</v>
      </c>
      <c r="W202" t="n">
        <v>20.259997</v>
      </c>
      <c r="X202" t="n">
        <v>144.304672</v>
      </c>
      <c r="Z202" t="n">
        <v>15.351157</v>
      </c>
    </row>
    <row r="203" ht="21" customHeight="1">
      <c r="A203" t="inlineStr">
        <is>
          <t>Panulirus</t>
        </is>
      </c>
      <c r="D203" s="11" t="inlineStr">
        <is>
          <t>Crab, lobster</t>
        </is>
      </c>
      <c r="H203" t="n">
        <v>64.54244300000001</v>
      </c>
      <c r="I203" t="n">
        <v>77.512685</v>
      </c>
      <c r="J203" t="n">
        <v>77.512685</v>
      </c>
      <c r="K203" t="n">
        <v>66.489323</v>
      </c>
      <c r="L203" t="n">
        <v>295.897518</v>
      </c>
      <c r="M203" t="n">
        <v>277.943826</v>
      </c>
      <c r="N203" t="n">
        <v>277.943826</v>
      </c>
      <c r="O203" t="n">
        <v>27.221053</v>
      </c>
      <c r="P203" t="n">
        <v>12.636092</v>
      </c>
      <c r="W203" t="n">
        <v>27.422905</v>
      </c>
      <c r="X203" t="n">
        <v>312.087764</v>
      </c>
      <c r="Z203" t="n">
        <v>20.139757</v>
      </c>
    </row>
    <row r="204" ht="21" customHeight="1">
      <c r="A204" t="inlineStr">
        <is>
          <t>Istiophorus platypterus</t>
        </is>
      </c>
      <c r="D204" s="11" t="inlineStr">
        <is>
          <t>Unresolved</t>
        </is>
      </c>
    </row>
    <row r="205" ht="21" customHeight="1">
      <c r="A205" t="inlineStr">
        <is>
          <t>Ostreidae</t>
        </is>
      </c>
      <c r="B205" t="n">
        <v>2</v>
      </c>
      <c r="C205" t="n">
        <v>10</v>
      </c>
      <c r="D205" s="11" t="inlineStr">
        <is>
          <t>Molluscs</t>
        </is>
      </c>
      <c r="H205" t="n">
        <v>12.4377</v>
      </c>
      <c r="I205" t="n">
        <v>8.212337</v>
      </c>
      <c r="J205" t="n">
        <v>8.212337</v>
      </c>
      <c r="K205" t="n">
        <v>7.391103</v>
      </c>
      <c r="L205" t="n">
        <v>10.549912</v>
      </c>
      <c r="M205" t="n">
        <v>10.286656</v>
      </c>
      <c r="N205" t="n">
        <v>10.286656</v>
      </c>
      <c r="O205" t="n">
        <v>7.494737</v>
      </c>
      <c r="P205" t="n">
        <v>5.145347</v>
      </c>
      <c r="W205" t="n">
        <v>7.580281</v>
      </c>
      <c r="X205" t="n">
        <v>10.586653</v>
      </c>
      <c r="Z205" t="n">
        <v>6.884003</v>
      </c>
    </row>
    <row r="206" ht="21" customHeight="1">
      <c r="A206" t="inlineStr">
        <is>
          <t>Stromateidae</t>
        </is>
      </c>
      <c r="D206" s="11" t="inlineStr">
        <is>
          <t>Med.dem.benth.</t>
        </is>
      </c>
      <c r="H206" t="n">
        <v>136.909799</v>
      </c>
      <c r="I206" t="n">
        <v>177.004212</v>
      </c>
      <c r="J206" t="n">
        <v>177.004212</v>
      </c>
      <c r="K206" t="n">
        <v>158.443355</v>
      </c>
      <c r="L206" t="n">
        <v>664.022909</v>
      </c>
      <c r="M206" t="n">
        <v>624.927413</v>
      </c>
      <c r="N206" t="n">
        <v>624.927413</v>
      </c>
      <c r="O206" t="n">
        <v>66.41242099999999</v>
      </c>
      <c r="P206" t="n">
        <v>30.269118</v>
      </c>
      <c r="W206" t="n">
        <v>67.525592</v>
      </c>
      <c r="X206" t="n">
        <v>706.254767</v>
      </c>
      <c r="Z206" t="n">
        <v>40.467693</v>
      </c>
    </row>
    <row r="207" ht="21" customHeight="1">
      <c r="A207" t="inlineStr">
        <is>
          <t>Aluterus monoceros</t>
        </is>
      </c>
      <c r="B207" t="n">
        <v>3.84</v>
      </c>
      <c r="C207" t="n">
        <v>691.830971</v>
      </c>
      <c r="D207" s="11" t="inlineStr">
        <is>
          <t>Med.dem.benth.</t>
        </is>
      </c>
      <c r="H207" t="n">
        <v>136.909799</v>
      </c>
      <c r="I207" t="n">
        <v>177.004212</v>
      </c>
      <c r="J207" t="n">
        <v>177.004212</v>
      </c>
      <c r="K207" t="n">
        <v>158.443355</v>
      </c>
      <c r="L207" t="n">
        <v>664.022909</v>
      </c>
      <c r="M207" t="n">
        <v>624.927413</v>
      </c>
      <c r="N207" t="n">
        <v>624.927413</v>
      </c>
      <c r="O207" t="n">
        <v>66.41242099999999</v>
      </c>
      <c r="P207" t="n">
        <v>30.269118</v>
      </c>
      <c r="W207" t="n">
        <v>67.525592</v>
      </c>
      <c r="X207" t="n">
        <v>706.254767</v>
      </c>
      <c r="Z207" t="n">
        <v>40.467693</v>
      </c>
    </row>
    <row r="208" ht="21" customHeight="1">
      <c r="A208" t="inlineStr">
        <is>
          <t>Chondrichthyes</t>
        </is>
      </c>
      <c r="B208" t="n">
        <v>4</v>
      </c>
      <c r="C208" t="n">
        <v>1000</v>
      </c>
      <c r="D208" s="11" t="inlineStr">
        <is>
          <t>Sharks | Juv. sharks | Rays</t>
        </is>
      </c>
      <c r="H208" t="n">
        <v>122.450346</v>
      </c>
      <c r="I208" t="n">
        <v>155.483265</v>
      </c>
      <c r="J208" t="n">
        <v>155.483265</v>
      </c>
      <c r="K208" t="n">
        <v>148.079307</v>
      </c>
      <c r="L208" t="n">
        <v>590.0073</v>
      </c>
      <c r="M208" t="n">
        <v>555.0509029999999</v>
      </c>
      <c r="N208" t="n">
        <v>555.0509029999999</v>
      </c>
      <c r="O208" t="n">
        <v>60.959994</v>
      </c>
      <c r="P208" t="n">
        <v>27.811026</v>
      </c>
      <c r="W208" t="n">
        <v>63.14505</v>
      </c>
      <c r="X208" t="n">
        <v>630.554609</v>
      </c>
      <c r="Z208" t="n">
        <v>36.533488</v>
      </c>
    </row>
    <row r="209" ht="21" customHeight="1">
      <c r="A209" t="inlineStr">
        <is>
          <t>Echinodermata</t>
        </is>
      </c>
      <c r="B209" t="n">
        <v>2.3</v>
      </c>
      <c r="C209" t="n">
        <v>19.952623</v>
      </c>
      <c r="D209" s="11" t="inlineStr">
        <is>
          <t>Benthos</t>
        </is>
      </c>
      <c r="H209" t="n">
        <v>19.803398</v>
      </c>
      <c r="I209" t="n">
        <v>33.244662</v>
      </c>
      <c r="J209" t="n">
        <v>33.244662</v>
      </c>
      <c r="K209" t="n">
        <v>10.824674</v>
      </c>
      <c r="L209" t="n">
        <v>126.575988</v>
      </c>
      <c r="M209" t="n">
        <v>119.208211</v>
      </c>
      <c r="N209" t="n">
        <v>119.208211</v>
      </c>
      <c r="O209" t="n">
        <v>13.610526</v>
      </c>
      <c r="P209" t="n">
        <v>7.897558</v>
      </c>
      <c r="W209" t="n">
        <v>13.71813</v>
      </c>
      <c r="X209" t="n">
        <v>133.108159</v>
      </c>
      <c r="Z209" t="n">
        <v>9.089086999999999</v>
      </c>
    </row>
    <row r="210" ht="21" customHeight="1">
      <c r="A210" t="inlineStr">
        <is>
          <t>Caranx</t>
        </is>
      </c>
      <c r="D210" s="11" t="inlineStr">
        <is>
          <t>Lg. piscivores | Juv.Lg.Pisciv.</t>
        </is>
      </c>
      <c r="H210" t="n">
        <v>401.23396</v>
      </c>
      <c r="I210" t="n">
        <v>262.057593</v>
      </c>
      <c r="J210" t="n">
        <v>262.057593</v>
      </c>
      <c r="K210" t="n">
        <v>243.37383</v>
      </c>
      <c r="L210" t="n">
        <v>806.383997</v>
      </c>
      <c r="M210" t="n">
        <v>760.332928</v>
      </c>
      <c r="N210" t="n">
        <v>760.332928</v>
      </c>
      <c r="O210" t="n">
        <v>136.609619</v>
      </c>
      <c r="P210" t="n">
        <v>56.19878</v>
      </c>
      <c r="W210" t="n">
        <v>141.082797</v>
      </c>
      <c r="X210" t="n">
        <v>853.530558</v>
      </c>
      <c r="Z210" t="n">
        <v>90.598209</v>
      </c>
    </row>
    <row r="211" ht="21" customHeight="1">
      <c r="A211" t="inlineStr">
        <is>
          <t>Pellona ditchela</t>
        </is>
      </c>
      <c r="B211" t="n">
        <v>3.37</v>
      </c>
      <c r="C211" t="n">
        <v>234.422882</v>
      </c>
      <c r="D211" s="11" t="inlineStr">
        <is>
          <t>Sm. pelagics</t>
        </is>
      </c>
      <c r="H211" t="n">
        <v>33.155531</v>
      </c>
      <c r="I211" t="n">
        <v>20.273647</v>
      </c>
      <c r="J211" t="n">
        <v>20.273647</v>
      </c>
      <c r="K211" t="n">
        <v>19.259964</v>
      </c>
      <c r="L211" t="n">
        <v>30.239099</v>
      </c>
      <c r="M211" t="n">
        <v>29.116795</v>
      </c>
      <c r="N211" t="n">
        <v>29.116795</v>
      </c>
      <c r="O211" t="n">
        <v>19.726316</v>
      </c>
      <c r="P211" t="n">
        <v>11.954059</v>
      </c>
      <c r="W211" t="n">
        <v>20.400136</v>
      </c>
      <c r="X211" t="n">
        <v>29.971091</v>
      </c>
      <c r="Z211" t="n">
        <v>15.467293</v>
      </c>
    </row>
    <row r="212" ht="21" customHeight="1">
      <c r="A212" t="inlineStr">
        <is>
          <t>Carcharhinus falciformis</t>
        </is>
      </c>
      <c r="D212" s="11" t="inlineStr">
        <is>
          <t>Sharks | Juv. sharks</t>
        </is>
      </c>
      <c r="H212" t="n">
        <v>1428.928099</v>
      </c>
      <c r="I212" t="n">
        <v>692.907195</v>
      </c>
      <c r="J212" t="n">
        <v>692.907195</v>
      </c>
      <c r="K212" t="n">
        <v>659.911648</v>
      </c>
      <c r="L212" t="n">
        <v>2016.586739</v>
      </c>
      <c r="M212" t="n">
        <v>1902.823959</v>
      </c>
      <c r="N212" t="n">
        <v>1902.823959</v>
      </c>
      <c r="O212" t="n">
        <v>378.444678</v>
      </c>
      <c r="P212" t="n">
        <v>131.171791</v>
      </c>
      <c r="W212" t="n">
        <v>405.556761</v>
      </c>
      <c r="X212" t="n">
        <v>2124.182848</v>
      </c>
      <c r="Z212" t="n">
        <v>239.260998</v>
      </c>
    </row>
    <row r="213" ht="21" customHeight="1">
      <c r="A213" t="inlineStr">
        <is>
          <t>Scyphozoa</t>
        </is>
      </c>
      <c r="D213" s="11" t="inlineStr">
        <is>
          <t>Jellyfish</t>
        </is>
      </c>
      <c r="H213" t="n">
        <v>36.115221</v>
      </c>
      <c r="I213" t="n">
        <v>0</v>
      </c>
      <c r="J213" t="n">
        <v>5.238879</v>
      </c>
      <c r="L213" t="n">
        <v>0</v>
      </c>
      <c r="M213" t="n">
        <v>0</v>
      </c>
      <c r="N213" t="n">
        <v>0</v>
      </c>
      <c r="O213" t="n">
        <v>21.473684</v>
      </c>
      <c r="P213" t="n">
        <v>12.926733</v>
      </c>
      <c r="W213" t="n">
        <v>21.770807</v>
      </c>
      <c r="X213" t="n">
        <v>0</v>
      </c>
      <c r="Z213" t="n">
        <v>16.693478</v>
      </c>
    </row>
    <row r="214" ht="21" customHeight="1">
      <c r="A214" t="inlineStr">
        <is>
          <t>Coryphaena hippurus</t>
        </is>
      </c>
      <c r="D214" s="11" t="inlineStr">
        <is>
          <t>Lg. piscivores | Juv.Lg.Pisciv.</t>
        </is>
      </c>
      <c r="H214" t="n">
        <v>401.23396</v>
      </c>
      <c r="I214" t="n">
        <v>262.057593</v>
      </c>
      <c r="J214" t="n">
        <v>262.057593</v>
      </c>
      <c r="K214" t="n">
        <v>243.37383</v>
      </c>
      <c r="L214" t="n">
        <v>806.383997</v>
      </c>
      <c r="M214" t="n">
        <v>760.332928</v>
      </c>
      <c r="N214" t="n">
        <v>760.332928</v>
      </c>
      <c r="O214" t="n">
        <v>136.609619</v>
      </c>
      <c r="P214" t="n">
        <v>56.19878</v>
      </c>
      <c r="W214" t="n">
        <v>141.082797</v>
      </c>
      <c r="X214" t="n">
        <v>853.530558</v>
      </c>
      <c r="Z214" t="n">
        <v>90.598209</v>
      </c>
    </row>
    <row r="215" ht="21" customHeight="1">
      <c r="A215" t="inlineStr">
        <is>
          <t>Labridae</t>
        </is>
      </c>
      <c r="B215" t="n">
        <v>3.46</v>
      </c>
      <c r="C215" t="n">
        <v>288.40315</v>
      </c>
      <c r="D215" s="11" t="inlineStr">
        <is>
          <t>Med.dem.benth.</t>
        </is>
      </c>
      <c r="H215" t="n">
        <v>136.909799</v>
      </c>
      <c r="I215" t="n">
        <v>177.004212</v>
      </c>
      <c r="J215" t="n">
        <v>177.004212</v>
      </c>
      <c r="K215" t="n">
        <v>158.443355</v>
      </c>
      <c r="L215" t="n">
        <v>664.022909</v>
      </c>
      <c r="M215" t="n">
        <v>624.927413</v>
      </c>
      <c r="N215" t="n">
        <v>624.927413</v>
      </c>
      <c r="O215" t="n">
        <v>66.41242099999999</v>
      </c>
      <c r="P215" t="n">
        <v>30.269118</v>
      </c>
      <c r="W215" t="n">
        <v>67.525592</v>
      </c>
      <c r="X215" t="n">
        <v>706.254767</v>
      </c>
      <c r="Z215" t="n">
        <v>40.467693</v>
      </c>
    </row>
    <row r="216" ht="21" customHeight="1">
      <c r="A216" t="inlineStr">
        <is>
          <t>Decapoda</t>
        </is>
      </c>
      <c r="B216" t="n">
        <v>3.43</v>
      </c>
      <c r="C216" t="n">
        <v>269.15348</v>
      </c>
      <c r="D216" s="11" t="inlineStr">
        <is>
          <t>Shrimps | Crab, lobster</t>
        </is>
      </c>
      <c r="H216" t="n">
        <v>37.413057</v>
      </c>
      <c r="I216" t="n">
        <v>40.95947</v>
      </c>
      <c r="J216" t="n">
        <v>40.95947</v>
      </c>
      <c r="K216" t="n">
        <v>37.286176</v>
      </c>
      <c r="L216" t="n">
        <v>152.953628</v>
      </c>
      <c r="M216" t="n">
        <v>143.224159</v>
      </c>
      <c r="N216" t="n">
        <v>143.224159</v>
      </c>
      <c r="O216" t="n">
        <v>16.261376</v>
      </c>
      <c r="P216" t="n">
        <v>7.777162</v>
      </c>
      <c r="W216" t="n">
        <v>16.466237</v>
      </c>
      <c r="X216" t="n">
        <v>161.365268</v>
      </c>
      <c r="Z216" t="n">
        <v>12.093405</v>
      </c>
    </row>
    <row r="217" ht="21" customHeight="1">
      <c r="A217" t="inlineStr">
        <is>
          <t>Netuma thalassina</t>
        </is>
      </c>
      <c r="B217" t="n">
        <v>3.54</v>
      </c>
      <c r="C217" t="n">
        <v>346.73685</v>
      </c>
      <c r="D217" s="11" t="inlineStr">
        <is>
          <t>Med.dem.benth.</t>
        </is>
      </c>
      <c r="H217" t="n">
        <v>136.909799</v>
      </c>
      <c r="I217" t="n">
        <v>177.004212</v>
      </c>
      <c r="J217" t="n">
        <v>177.004212</v>
      </c>
      <c r="K217" t="n">
        <v>158.443355</v>
      </c>
      <c r="L217" t="n">
        <v>664.022909</v>
      </c>
      <c r="M217" t="n">
        <v>624.927413</v>
      </c>
      <c r="N217" t="n">
        <v>624.927413</v>
      </c>
      <c r="O217" t="n">
        <v>66.41242099999999</v>
      </c>
      <c r="P217" t="n">
        <v>30.269118</v>
      </c>
      <c r="W217" t="n">
        <v>67.525592</v>
      </c>
      <c r="X217" t="n">
        <v>706.254767</v>
      </c>
      <c r="Z217" t="n">
        <v>40.467693</v>
      </c>
    </row>
    <row r="218" ht="21" customHeight="1">
      <c r="A218" t="inlineStr">
        <is>
          <t>Sardinella lemuru</t>
        </is>
      </c>
      <c r="B218" t="n">
        <v>2.48</v>
      </c>
      <c r="C218" t="n">
        <v>30.199517</v>
      </c>
      <c r="D218" s="11" t="inlineStr">
        <is>
          <t>Sm. pelagics</t>
        </is>
      </c>
      <c r="H218" t="n">
        <v>33.155531</v>
      </c>
      <c r="I218" t="n">
        <v>20.273647</v>
      </c>
      <c r="J218" t="n">
        <v>20.273647</v>
      </c>
      <c r="K218" t="n">
        <v>19.259964</v>
      </c>
      <c r="L218" t="n">
        <v>30.239099</v>
      </c>
      <c r="M218" t="n">
        <v>29.116795</v>
      </c>
      <c r="N218" t="n">
        <v>29.116795</v>
      </c>
      <c r="O218" t="n">
        <v>19.726316</v>
      </c>
      <c r="P218" t="n">
        <v>11.954059</v>
      </c>
      <c r="W218" t="n">
        <v>20.400136</v>
      </c>
      <c r="X218" t="n">
        <v>29.971091</v>
      </c>
      <c r="Z218" t="n">
        <v>15.467293</v>
      </c>
    </row>
    <row r="219" ht="21" customHeight="1">
      <c r="A219" t="inlineStr">
        <is>
          <t>Teuthida</t>
        </is>
      </c>
      <c r="B219" t="n">
        <v>4.13</v>
      </c>
      <c r="C219" t="n">
        <v>1348.962883</v>
      </c>
      <c r="D219" s="11" t="inlineStr">
        <is>
          <t>Cephalopods</t>
        </is>
      </c>
      <c r="H219" t="n">
        <v>123.705654</v>
      </c>
      <c r="I219" t="n">
        <v>98.832763</v>
      </c>
      <c r="J219" t="n">
        <v>98.832763</v>
      </c>
      <c r="K219" t="n">
        <v>95.965153</v>
      </c>
      <c r="L219" t="n">
        <v>349.557692</v>
      </c>
      <c r="M219" t="n">
        <v>328.556033</v>
      </c>
      <c r="N219" t="n">
        <v>328.556033</v>
      </c>
      <c r="O219" t="n">
        <v>60.210877</v>
      </c>
      <c r="P219" t="n">
        <v>27.458851</v>
      </c>
      <c r="W219" t="n">
        <v>61.37127</v>
      </c>
      <c r="X219" t="n">
        <v>358.735586</v>
      </c>
      <c r="Z219" t="n">
        <v>35.265425</v>
      </c>
    </row>
    <row r="220" ht="21" customHeight="1">
      <c r="A220" t="inlineStr">
        <is>
          <t>Acetes japonicus</t>
        </is>
      </c>
      <c r="B220" t="n">
        <v>2.54</v>
      </c>
      <c r="C220" t="n">
        <v>34.673685</v>
      </c>
      <c r="D220" s="11" t="inlineStr">
        <is>
          <t>Shrimps</t>
        </is>
      </c>
      <c r="H220" t="n">
        <v>29.428499</v>
      </c>
      <c r="I220" t="n">
        <v>30.201348</v>
      </c>
      <c r="J220" t="n">
        <v>30.201348</v>
      </c>
      <c r="K220" t="n">
        <v>28.691281</v>
      </c>
      <c r="L220" t="n">
        <v>110.883242</v>
      </c>
      <c r="M220" t="n">
        <v>103.574278</v>
      </c>
      <c r="N220" t="n">
        <v>103.574278</v>
      </c>
      <c r="O220" t="n">
        <v>13.035789</v>
      </c>
      <c r="P220" t="n">
        <v>6.34711</v>
      </c>
      <c r="W220" t="n">
        <v>13.241537</v>
      </c>
      <c r="X220" t="n">
        <v>117.005531</v>
      </c>
      <c r="Z220" t="n">
        <v>9.725251</v>
      </c>
    </row>
    <row r="221" ht="21" customHeight="1">
      <c r="A221" t="inlineStr">
        <is>
          <t>Lutjanus argentimaculatus</t>
        </is>
      </c>
      <c r="D221" s="11" t="inlineStr">
        <is>
          <t>Grouper/snapper | Juv. groupers</t>
        </is>
      </c>
      <c r="H221" t="n">
        <v>490.511951</v>
      </c>
      <c r="I221" t="n">
        <v>374.298234</v>
      </c>
      <c r="J221" t="n">
        <v>374.298234</v>
      </c>
      <c r="K221" t="n">
        <v>330.678405</v>
      </c>
      <c r="L221" t="n">
        <v>1297.204135</v>
      </c>
      <c r="M221" t="n">
        <v>1220.265871</v>
      </c>
      <c r="N221" t="n">
        <v>1220.265871</v>
      </c>
      <c r="O221" t="n">
        <v>163.320182</v>
      </c>
      <c r="P221" t="n">
        <v>62.822979</v>
      </c>
      <c r="W221" t="n">
        <v>168.925067</v>
      </c>
      <c r="X221" t="n">
        <v>1398.864018</v>
      </c>
      <c r="Z221" t="n">
        <v>102.926065</v>
      </c>
    </row>
    <row r="222" ht="21" customHeight="1">
      <c r="A222" t="inlineStr">
        <is>
          <t>Penaeus indicus</t>
        </is>
      </c>
      <c r="B222" t="n">
        <v>2.7</v>
      </c>
      <c r="C222" t="n">
        <v>50.118723</v>
      </c>
      <c r="D222" s="11" t="inlineStr">
        <is>
          <t>Shrimps</t>
        </is>
      </c>
      <c r="H222" t="n">
        <v>29.428499</v>
      </c>
      <c r="I222" t="n">
        <v>30.201348</v>
      </c>
      <c r="J222" t="n">
        <v>30.201348</v>
      </c>
      <c r="K222" t="n">
        <v>28.691281</v>
      </c>
      <c r="L222" t="n">
        <v>110.883242</v>
      </c>
      <c r="M222" t="n">
        <v>103.574278</v>
      </c>
      <c r="N222" t="n">
        <v>103.574278</v>
      </c>
      <c r="O222" t="n">
        <v>13.035789</v>
      </c>
      <c r="P222" t="n">
        <v>6.34711</v>
      </c>
      <c r="W222" t="n">
        <v>13.241537</v>
      </c>
      <c r="X222" t="n">
        <v>117.005531</v>
      </c>
      <c r="Z222" t="n">
        <v>9.725251</v>
      </c>
    </row>
    <row r="223" ht="21" customHeight="1">
      <c r="A223" t="inlineStr">
        <is>
          <t>Nemipterus hexodon</t>
        </is>
      </c>
      <c r="B223" t="n">
        <v>3.93</v>
      </c>
      <c r="C223" t="n">
        <v>851.1380380000001</v>
      </c>
      <c r="D223" s="11" t="inlineStr">
        <is>
          <t>Sm.dem.benth.</t>
        </is>
      </c>
      <c r="H223" t="n">
        <v>85.26248099999999</v>
      </c>
      <c r="I223" t="n">
        <v>87.40013</v>
      </c>
      <c r="J223" t="n">
        <v>87.40013</v>
      </c>
      <c r="K223" t="n">
        <v>73.65420399999999</v>
      </c>
      <c r="L223" t="n">
        <v>308.045854</v>
      </c>
      <c r="M223" t="n">
        <v>289.86806</v>
      </c>
      <c r="N223" t="n">
        <v>289.86806</v>
      </c>
      <c r="O223" t="n">
        <v>35.580632</v>
      </c>
      <c r="P223" t="n">
        <v>17.310642</v>
      </c>
      <c r="W223" t="n">
        <v>36.030766</v>
      </c>
      <c r="X223" t="n">
        <v>325.833864</v>
      </c>
      <c r="Z223" t="n">
        <v>27.099073</v>
      </c>
    </row>
    <row r="224" ht="21" customHeight="1">
      <c r="A224" t="inlineStr">
        <is>
          <t>Cephalopholis boenak</t>
        </is>
      </c>
      <c r="B224" t="n">
        <v>4.07</v>
      </c>
      <c r="C224" t="n">
        <v>1174.897555</v>
      </c>
      <c r="D224" s="11" t="inlineStr">
        <is>
          <t>Grouper/snapper | Juv. groupers</t>
        </is>
      </c>
      <c r="H224" t="n">
        <v>490.511951</v>
      </c>
      <c r="I224" t="n">
        <v>374.298234</v>
      </c>
      <c r="J224" t="n">
        <v>374.298234</v>
      </c>
      <c r="K224" t="n">
        <v>330.678405</v>
      </c>
      <c r="L224" t="n">
        <v>1297.204135</v>
      </c>
      <c r="M224" t="n">
        <v>1220.265871</v>
      </c>
      <c r="N224" t="n">
        <v>1220.265871</v>
      </c>
      <c r="O224" t="n">
        <v>163.320182</v>
      </c>
      <c r="P224" t="n">
        <v>62.822979</v>
      </c>
      <c r="W224" t="n">
        <v>168.925067</v>
      </c>
      <c r="X224" t="n">
        <v>1398.864018</v>
      </c>
      <c r="Z224" t="n">
        <v>102.926065</v>
      </c>
    </row>
    <row r="225" ht="21" customHeight="1">
      <c r="A225" t="inlineStr">
        <is>
          <t>Dussumieria acuta</t>
        </is>
      </c>
      <c r="B225" t="n">
        <v>3.4</v>
      </c>
      <c r="C225" t="n">
        <v>251.188643</v>
      </c>
      <c r="D225" s="11" t="inlineStr">
        <is>
          <t>Sm. pelagics</t>
        </is>
      </c>
      <c r="H225" t="n">
        <v>33.155531</v>
      </c>
      <c r="I225" t="n">
        <v>20.273647</v>
      </c>
      <c r="J225" t="n">
        <v>20.273647</v>
      </c>
      <c r="K225" t="n">
        <v>19.259964</v>
      </c>
      <c r="L225" t="n">
        <v>30.239099</v>
      </c>
      <c r="M225" t="n">
        <v>29.116795</v>
      </c>
      <c r="N225" t="n">
        <v>29.116795</v>
      </c>
      <c r="O225" t="n">
        <v>19.726316</v>
      </c>
      <c r="P225" t="n">
        <v>11.954059</v>
      </c>
      <c r="W225" t="n">
        <v>20.400136</v>
      </c>
      <c r="X225" t="n">
        <v>29.971091</v>
      </c>
      <c r="Z225" t="n">
        <v>15.467293</v>
      </c>
    </row>
    <row r="226" ht="21" customHeight="1">
      <c r="A226" t="inlineStr">
        <is>
          <t>Sphyrna lewini</t>
        </is>
      </c>
      <c r="D226" s="11" t="inlineStr">
        <is>
          <t>Sharks | Juv. sharks</t>
        </is>
      </c>
      <c r="H226" t="n">
        <v>1428.928099</v>
      </c>
      <c r="I226" t="n">
        <v>692.907195</v>
      </c>
      <c r="J226" t="n">
        <v>692.907195</v>
      </c>
      <c r="K226" t="n">
        <v>659.911648</v>
      </c>
      <c r="L226" t="n">
        <v>2016.586739</v>
      </c>
      <c r="M226" t="n">
        <v>1902.823959</v>
      </c>
      <c r="N226" t="n">
        <v>1902.823959</v>
      </c>
      <c r="O226" t="n">
        <v>378.444678</v>
      </c>
      <c r="P226" t="n">
        <v>131.171791</v>
      </c>
      <c r="W226" t="n">
        <v>405.556761</v>
      </c>
      <c r="X226" t="n">
        <v>2124.182848</v>
      </c>
      <c r="Z226" t="n">
        <v>239.260998</v>
      </c>
    </row>
    <row r="227" ht="21" customHeight="1">
      <c r="A227" t="inlineStr">
        <is>
          <t>Trichiuridae</t>
        </is>
      </c>
      <c r="B227" t="n">
        <v>4.15</v>
      </c>
      <c r="C227" t="n">
        <v>1412.537545</v>
      </c>
      <c r="D227" s="11" t="inlineStr">
        <is>
          <t>Juv.Lg.Pisciv. | Lg. piscivores</t>
        </is>
      </c>
      <c r="H227" t="n">
        <v>401.23396</v>
      </c>
      <c r="I227" t="n">
        <v>262.057593</v>
      </c>
      <c r="J227" t="n">
        <v>262.057593</v>
      </c>
      <c r="K227" t="n">
        <v>243.37383</v>
      </c>
      <c r="L227" t="n">
        <v>806.383997</v>
      </c>
      <c r="M227" t="n">
        <v>760.332928</v>
      </c>
      <c r="N227" t="n">
        <v>760.332928</v>
      </c>
      <c r="O227" t="n">
        <v>136.609619</v>
      </c>
      <c r="P227" t="n">
        <v>56.19878</v>
      </c>
      <c r="W227" t="n">
        <v>141.082797</v>
      </c>
      <c r="X227" t="n">
        <v>853.530558</v>
      </c>
      <c r="Z227" t="n">
        <v>90.598209</v>
      </c>
    </row>
    <row r="228" ht="21" customHeight="1">
      <c r="A228" t="inlineStr">
        <is>
          <t>Auxis rochei</t>
        </is>
      </c>
      <c r="D228" s="11" t="inlineStr">
        <is>
          <t>Tuna</t>
        </is>
      </c>
      <c r="H228" t="n">
        <v>607.7580799999999</v>
      </c>
      <c r="I228" t="n">
        <v>280.575009</v>
      </c>
      <c r="J228" t="n">
        <v>280.575009</v>
      </c>
      <c r="K228" t="n">
        <v>266.546258</v>
      </c>
      <c r="L228" t="n">
        <v>675.870038</v>
      </c>
      <c r="M228" t="n">
        <v>640.5943130000001</v>
      </c>
      <c r="N228" t="n">
        <v>640.5943130000001</v>
      </c>
      <c r="O228" t="n">
        <v>182.123293</v>
      </c>
      <c r="P228" t="n">
        <v>73.82745199999999</v>
      </c>
      <c r="W228" t="n">
        <v>192.014278</v>
      </c>
      <c r="X228" t="n">
        <v>708.383019</v>
      </c>
      <c r="Z228" t="n">
        <v>131.160567</v>
      </c>
    </row>
    <row r="229" ht="21" customHeight="1">
      <c r="A229" t="inlineStr">
        <is>
          <t>Hemiramphus</t>
        </is>
      </c>
      <c r="B229" t="n">
        <v>3.05</v>
      </c>
      <c r="C229" t="n">
        <v>112.201845</v>
      </c>
      <c r="D229" s="11" t="inlineStr">
        <is>
          <t>Sm. pelagics</t>
        </is>
      </c>
      <c r="H229" t="n">
        <v>33.155531</v>
      </c>
      <c r="I229" t="n">
        <v>20.273647</v>
      </c>
      <c r="J229" t="n">
        <v>20.273647</v>
      </c>
      <c r="K229" t="n">
        <v>19.259964</v>
      </c>
      <c r="L229" t="n">
        <v>30.239099</v>
      </c>
      <c r="M229" t="n">
        <v>29.116795</v>
      </c>
      <c r="N229" t="n">
        <v>29.116795</v>
      </c>
      <c r="O229" t="n">
        <v>19.726316</v>
      </c>
      <c r="P229" t="n">
        <v>11.954059</v>
      </c>
      <c r="W229" t="n">
        <v>20.400136</v>
      </c>
      <c r="X229" t="n">
        <v>29.971091</v>
      </c>
      <c r="Z229" t="n">
        <v>15.467293</v>
      </c>
    </row>
    <row r="230" ht="21" customHeight="1">
      <c r="A230" t="inlineStr">
        <is>
          <t>Tetrapturus angustirostris</t>
        </is>
      </c>
      <c r="D230" s="11" t="inlineStr">
        <is>
          <t>Unresolved</t>
        </is>
      </c>
    </row>
    <row r="231" ht="21" customHeight="1">
      <c r="A231" t="inlineStr">
        <is>
          <t>Kajikia audax</t>
        </is>
      </c>
      <c r="D231" s="11" t="inlineStr">
        <is>
          <t>Unresolved</t>
        </is>
      </c>
    </row>
    <row r="232" ht="21" customHeight="1">
      <c r="A232" t="inlineStr">
        <is>
          <t>Prionace glauca</t>
        </is>
      </c>
      <c r="B232" t="n">
        <v>4.35</v>
      </c>
      <c r="C232" t="n">
        <v>2238.721139</v>
      </c>
      <c r="D232" s="11" t="inlineStr">
        <is>
          <t>Sharks | Juv. sharks</t>
        </is>
      </c>
      <c r="H232" t="n">
        <v>1428.928099</v>
      </c>
      <c r="I232" t="n">
        <v>692.907195</v>
      </c>
      <c r="J232" t="n">
        <v>692.907195</v>
      </c>
      <c r="K232" t="n">
        <v>659.911648</v>
      </c>
      <c r="L232" t="n">
        <v>2016.586739</v>
      </c>
      <c r="M232" t="n">
        <v>1902.823959</v>
      </c>
      <c r="N232" t="n">
        <v>1902.823959</v>
      </c>
      <c r="O232" t="n">
        <v>378.444678</v>
      </c>
      <c r="P232" t="n">
        <v>131.171791</v>
      </c>
      <c r="W232" t="n">
        <v>405.556761</v>
      </c>
      <c r="X232" t="n">
        <v>2124.182848</v>
      </c>
      <c r="Z232" t="n">
        <v>239.260998</v>
      </c>
    </row>
    <row r="233" ht="21" customHeight="1">
      <c r="A233" t="inlineStr">
        <is>
          <t>Dasyatidae</t>
        </is>
      </c>
      <c r="B233" t="n">
        <v>3.38</v>
      </c>
      <c r="C233" t="n">
        <v>239.883292</v>
      </c>
      <c r="D233" s="11" t="inlineStr">
        <is>
          <t>Rays</t>
        </is>
      </c>
      <c r="H233" t="n">
        <v>122.450346</v>
      </c>
      <c r="I233" t="n">
        <v>155.483265</v>
      </c>
      <c r="J233" t="n">
        <v>155.483265</v>
      </c>
      <c r="K233" t="n">
        <v>148.079307</v>
      </c>
      <c r="L233" t="n">
        <v>590.0073</v>
      </c>
      <c r="M233" t="n">
        <v>555.0509029999999</v>
      </c>
      <c r="N233" t="n">
        <v>555.0509029999999</v>
      </c>
      <c r="O233" t="n">
        <v>60.959994</v>
      </c>
      <c r="P233" t="n">
        <v>27.811026</v>
      </c>
      <c r="W233" t="n">
        <v>63.14505</v>
      </c>
      <c r="X233" t="n">
        <v>630.554609</v>
      </c>
      <c r="Z233" t="n">
        <v>36.533488</v>
      </c>
    </row>
    <row r="234" ht="21" customHeight="1">
      <c r="A234" t="inlineStr">
        <is>
          <t>Cypselurus poecilopterus</t>
        </is>
      </c>
      <c r="B234" t="n">
        <v>3.4</v>
      </c>
      <c r="C234" t="n">
        <v>251.188643</v>
      </c>
      <c r="D234" s="11" t="inlineStr">
        <is>
          <t>Sm. pelagics</t>
        </is>
      </c>
      <c r="H234" t="n">
        <v>33.155531</v>
      </c>
      <c r="I234" t="n">
        <v>20.273647</v>
      </c>
      <c r="J234" t="n">
        <v>20.273647</v>
      </c>
      <c r="K234" t="n">
        <v>19.259964</v>
      </c>
      <c r="L234" t="n">
        <v>30.239099</v>
      </c>
      <c r="M234" t="n">
        <v>29.116795</v>
      </c>
      <c r="N234" t="n">
        <v>29.116795</v>
      </c>
      <c r="O234" t="n">
        <v>19.726316</v>
      </c>
      <c r="P234" t="n">
        <v>11.954059</v>
      </c>
      <c r="W234" t="n">
        <v>20.400136</v>
      </c>
      <c r="X234" t="n">
        <v>29.971091</v>
      </c>
      <c r="Z234" t="n">
        <v>15.467293</v>
      </c>
    </row>
    <row r="235" ht="21" customHeight="1">
      <c r="A235" t="inlineStr">
        <is>
          <t>Carcharhinus longimanus</t>
        </is>
      </c>
      <c r="B235" t="n">
        <v>4.16</v>
      </c>
      <c r="C235" t="n">
        <v>1445.439771</v>
      </c>
      <c r="D235" s="11" t="inlineStr">
        <is>
          <t>Sharks | Juv. sharks</t>
        </is>
      </c>
      <c r="H235" t="n">
        <v>1428.928099</v>
      </c>
      <c r="I235" t="n">
        <v>692.907195</v>
      </c>
      <c r="J235" t="n">
        <v>692.907195</v>
      </c>
      <c r="K235" t="n">
        <v>659.911648</v>
      </c>
      <c r="L235" t="n">
        <v>2016.586739</v>
      </c>
      <c r="M235" t="n">
        <v>1902.823959</v>
      </c>
      <c r="N235" t="n">
        <v>1902.823959</v>
      </c>
      <c r="O235" t="n">
        <v>378.444678</v>
      </c>
      <c r="P235" t="n">
        <v>131.171791</v>
      </c>
      <c r="W235" t="n">
        <v>405.556761</v>
      </c>
      <c r="X235" t="n">
        <v>2124.182848</v>
      </c>
      <c r="Z235" t="n">
        <v>239.260998</v>
      </c>
    </row>
    <row r="236" ht="21" customHeight="1">
      <c r="A236" t="inlineStr">
        <is>
          <t>Latidae</t>
        </is>
      </c>
      <c r="D236" s="11" t="inlineStr">
        <is>
          <t>Lg. piscivores | Juv.Lg.Pisciv.</t>
        </is>
      </c>
      <c r="H236" t="n">
        <v>401.23396</v>
      </c>
      <c r="I236" t="n">
        <v>262.057593</v>
      </c>
      <c r="J236" t="n">
        <v>262.057593</v>
      </c>
      <c r="K236" t="n">
        <v>243.37383</v>
      </c>
      <c r="L236" t="n">
        <v>806.383997</v>
      </c>
      <c r="M236" t="n">
        <v>760.332928</v>
      </c>
      <c r="N236" t="n">
        <v>760.332928</v>
      </c>
      <c r="O236" t="n">
        <v>136.609619</v>
      </c>
      <c r="P236" t="n">
        <v>56.19878</v>
      </c>
      <c r="W236" t="n">
        <v>141.082797</v>
      </c>
      <c r="X236" t="n">
        <v>853.530558</v>
      </c>
      <c r="Z236" t="n">
        <v>90.598209</v>
      </c>
    </row>
    <row r="237" ht="21" customHeight="1">
      <c r="A237" t="inlineStr">
        <is>
          <t>Pleuronectiformes</t>
        </is>
      </c>
      <c r="D237" s="11" t="inlineStr">
        <is>
          <t>Flatfish | Med.dem.pisc.</t>
        </is>
      </c>
      <c r="H237" t="n">
        <v>155.144264</v>
      </c>
      <c r="I237" t="n">
        <v>128.299433</v>
      </c>
      <c r="J237" t="n">
        <v>128.299433</v>
      </c>
      <c r="K237" t="n">
        <v>126.572594</v>
      </c>
      <c r="L237" t="n">
        <v>445.090515</v>
      </c>
      <c r="M237" t="n">
        <v>418.421234</v>
      </c>
      <c r="N237" t="n">
        <v>418.421234</v>
      </c>
      <c r="O237" t="n">
        <v>63.768577</v>
      </c>
      <c r="P237" t="n">
        <v>28.316054</v>
      </c>
      <c r="W237" t="n">
        <v>65.411822</v>
      </c>
      <c r="X237" t="n">
        <v>471.389435</v>
      </c>
      <c r="Z237" t="n">
        <v>40.259501</v>
      </c>
    </row>
    <row r="238" ht="21" customHeight="1">
      <c r="A238" t="inlineStr">
        <is>
          <t>Octopoda</t>
        </is>
      </c>
      <c r="D238" s="11" t="inlineStr">
        <is>
          <t>Cephalopods</t>
        </is>
      </c>
      <c r="H238" t="n">
        <v>123.705654</v>
      </c>
      <c r="I238" t="n">
        <v>98.832763</v>
      </c>
      <c r="J238" t="n">
        <v>98.832763</v>
      </c>
      <c r="K238" t="n">
        <v>95.965153</v>
      </c>
      <c r="L238" t="n">
        <v>349.557692</v>
      </c>
      <c r="M238" t="n">
        <v>328.556033</v>
      </c>
      <c r="N238" t="n">
        <v>328.556033</v>
      </c>
      <c r="O238" t="n">
        <v>60.210877</v>
      </c>
      <c r="P238" t="n">
        <v>27.458851</v>
      </c>
      <c r="W238" t="n">
        <v>61.37127</v>
      </c>
      <c r="X238" t="n">
        <v>358.735586</v>
      </c>
      <c r="Z238" t="n">
        <v>35.265425</v>
      </c>
    </row>
    <row r="239" ht="21" customHeight="1">
      <c r="A239" t="inlineStr">
        <is>
          <t>Isurus oxyrinchus</t>
        </is>
      </c>
      <c r="B239" t="n">
        <v>4.5</v>
      </c>
      <c r="C239" t="n">
        <v>3162.27766</v>
      </c>
      <c r="D239" s="11" t="inlineStr">
        <is>
          <t>Sharks | Juv. sharks</t>
        </is>
      </c>
      <c r="H239" t="n">
        <v>1428.928099</v>
      </c>
      <c r="I239" t="n">
        <v>692.907195</v>
      </c>
      <c r="J239" t="n">
        <v>692.907195</v>
      </c>
      <c r="K239" t="n">
        <v>659.911648</v>
      </c>
      <c r="L239" t="n">
        <v>2016.586739</v>
      </c>
      <c r="M239" t="n">
        <v>1902.823959</v>
      </c>
      <c r="N239" t="n">
        <v>1902.823959</v>
      </c>
      <c r="O239" t="n">
        <v>378.444678</v>
      </c>
      <c r="P239" t="n">
        <v>131.171791</v>
      </c>
      <c r="W239" t="n">
        <v>405.556761</v>
      </c>
      <c r="X239" t="n">
        <v>2124.182848</v>
      </c>
      <c r="Z239" t="n">
        <v>239.260998</v>
      </c>
    </row>
    <row r="240" ht="21" customHeight="1">
      <c r="A240" t="inlineStr">
        <is>
          <t>Exocoetidae</t>
        </is>
      </c>
      <c r="B240" t="n">
        <v>3.57</v>
      </c>
      <c r="C240" t="n">
        <v>371.535229</v>
      </c>
      <c r="D240" s="11" t="inlineStr">
        <is>
          <t>Sm. pelagics</t>
        </is>
      </c>
      <c r="H240" t="n">
        <v>33.155531</v>
      </c>
      <c r="I240" t="n">
        <v>20.273647</v>
      </c>
      <c r="J240" t="n">
        <v>20.273647</v>
      </c>
      <c r="K240" t="n">
        <v>19.259964</v>
      </c>
      <c r="L240" t="n">
        <v>30.239099</v>
      </c>
      <c r="M240" t="n">
        <v>29.116795</v>
      </c>
      <c r="N240" t="n">
        <v>29.116795</v>
      </c>
      <c r="O240" t="n">
        <v>19.726316</v>
      </c>
      <c r="P240" t="n">
        <v>11.954059</v>
      </c>
      <c r="W240" t="n">
        <v>20.400136</v>
      </c>
      <c r="X240" t="n">
        <v>29.971091</v>
      </c>
      <c r="Z240" t="n">
        <v>15.467293</v>
      </c>
    </row>
    <row r="241" ht="21" customHeight="1">
      <c r="A241" t="inlineStr">
        <is>
          <t>Hemiramphidae</t>
        </is>
      </c>
      <c r="B241" t="n">
        <v>2.82</v>
      </c>
      <c r="C241" t="n">
        <v>66.069345</v>
      </c>
      <c r="D241" s="11" t="inlineStr">
        <is>
          <t>Sm. pelagics</t>
        </is>
      </c>
      <c r="H241" t="n">
        <v>33.155531</v>
      </c>
      <c r="I241" t="n">
        <v>20.273647</v>
      </c>
      <c r="J241" t="n">
        <v>20.273647</v>
      </c>
      <c r="K241" t="n">
        <v>19.259964</v>
      </c>
      <c r="L241" t="n">
        <v>30.239099</v>
      </c>
      <c r="M241" t="n">
        <v>29.116795</v>
      </c>
      <c r="N241" t="n">
        <v>29.116795</v>
      </c>
      <c r="O241" t="n">
        <v>19.726316</v>
      </c>
      <c r="P241" t="n">
        <v>11.954059</v>
      </c>
      <c r="W241" t="n">
        <v>20.400136</v>
      </c>
      <c r="X241" t="n">
        <v>29.971091</v>
      </c>
      <c r="Z241" t="n">
        <v>15.467293</v>
      </c>
    </row>
    <row r="242" ht="21" customHeight="1">
      <c r="A242" t="inlineStr">
        <is>
          <t>Sphyraena barracuda</t>
        </is>
      </c>
      <c r="D242" s="11" t="inlineStr">
        <is>
          <t>Lg. piscivores | Juv.Lg.Pisciv.</t>
        </is>
      </c>
      <c r="H242" t="n">
        <v>401.23396</v>
      </c>
      <c r="I242" t="n">
        <v>262.057593</v>
      </c>
      <c r="J242" t="n">
        <v>262.057593</v>
      </c>
      <c r="K242" t="n">
        <v>243.37383</v>
      </c>
      <c r="L242" t="n">
        <v>806.383997</v>
      </c>
      <c r="M242" t="n">
        <v>760.332928</v>
      </c>
      <c r="N242" t="n">
        <v>760.332928</v>
      </c>
      <c r="O242" t="n">
        <v>136.609619</v>
      </c>
      <c r="P242" t="n">
        <v>56.19878</v>
      </c>
      <c r="W242" t="n">
        <v>141.082797</v>
      </c>
      <c r="X242" t="n">
        <v>853.530558</v>
      </c>
      <c r="Z242" t="n">
        <v>90.598209</v>
      </c>
    </row>
    <row r="243" ht="21" customHeight="1">
      <c r="A243" t="inlineStr">
        <is>
          <t>Tenualosa toli</t>
        </is>
      </c>
      <c r="D243" s="11" t="inlineStr">
        <is>
          <t>Sm. pelagics</t>
        </is>
      </c>
      <c r="H243" t="n">
        <v>33.155531</v>
      </c>
      <c r="I243" t="n">
        <v>20.273647</v>
      </c>
      <c r="J243" t="n">
        <v>20.273647</v>
      </c>
      <c r="K243" t="n">
        <v>19.259964</v>
      </c>
      <c r="L243" t="n">
        <v>30.239099</v>
      </c>
      <c r="M243" t="n">
        <v>29.116795</v>
      </c>
      <c r="N243" t="n">
        <v>29.116795</v>
      </c>
      <c r="O243" t="n">
        <v>19.726316</v>
      </c>
      <c r="P243" t="n">
        <v>11.954059</v>
      </c>
      <c r="W243" t="n">
        <v>20.400136</v>
      </c>
      <c r="X243" t="n">
        <v>29.971091</v>
      </c>
      <c r="Z243" t="n">
        <v>15.467293</v>
      </c>
    </row>
    <row r="244" ht="21" customHeight="1">
      <c r="A244" t="inlineStr">
        <is>
          <t>Alopias</t>
        </is>
      </c>
      <c r="D244" s="11" t="inlineStr">
        <is>
          <t>Sharks | Juv. sharks</t>
        </is>
      </c>
      <c r="H244" t="n">
        <v>1428.928099</v>
      </c>
      <c r="I244" t="n">
        <v>692.907195</v>
      </c>
      <c r="J244" t="n">
        <v>692.907195</v>
      </c>
      <c r="K244" t="n">
        <v>659.911648</v>
      </c>
      <c r="L244" t="n">
        <v>2016.586739</v>
      </c>
      <c r="M244" t="n">
        <v>1902.823959</v>
      </c>
      <c r="N244" t="n">
        <v>1902.823959</v>
      </c>
      <c r="O244" t="n">
        <v>378.444678</v>
      </c>
      <c r="P244" t="n">
        <v>131.171791</v>
      </c>
      <c r="W244" t="n">
        <v>405.556761</v>
      </c>
      <c r="X244" t="n">
        <v>2124.182848</v>
      </c>
      <c r="Z244" t="n">
        <v>239.260998</v>
      </c>
    </row>
    <row r="245" ht="21" customHeight="1">
      <c r="A245" t="inlineStr">
        <is>
          <t>Isurus</t>
        </is>
      </c>
      <c r="D245" s="11" t="inlineStr">
        <is>
          <t>Sharks | Juv. sharks</t>
        </is>
      </c>
      <c r="H245" t="n">
        <v>1428.928099</v>
      </c>
      <c r="I245" t="n">
        <v>692.907195</v>
      </c>
      <c r="J245" t="n">
        <v>692.907195</v>
      </c>
      <c r="K245" t="n">
        <v>659.911648</v>
      </c>
      <c r="L245" t="n">
        <v>2016.586739</v>
      </c>
      <c r="M245" t="n">
        <v>1902.823959</v>
      </c>
      <c r="N245" t="n">
        <v>1902.823959</v>
      </c>
      <c r="O245" t="n">
        <v>378.444678</v>
      </c>
      <c r="P245" t="n">
        <v>131.171791</v>
      </c>
      <c r="W245" t="n">
        <v>405.556761</v>
      </c>
      <c r="X245" t="n">
        <v>2124.182848</v>
      </c>
      <c r="Z245" t="n">
        <v>239.260998</v>
      </c>
    </row>
    <row r="246" ht="21" customHeight="1">
      <c r="A246" t="inlineStr">
        <is>
          <t>Trochus niloticus</t>
        </is>
      </c>
      <c r="D246" s="11" t="inlineStr">
        <is>
          <t>Molluscs</t>
        </is>
      </c>
      <c r="H246" t="n">
        <v>12.4377</v>
      </c>
      <c r="I246" t="n">
        <v>8.212337</v>
      </c>
      <c r="J246" t="n">
        <v>8.212337</v>
      </c>
      <c r="K246" t="n">
        <v>7.391103</v>
      </c>
      <c r="L246" t="n">
        <v>10.549912</v>
      </c>
      <c r="M246" t="n">
        <v>10.286656</v>
      </c>
      <c r="N246" t="n">
        <v>10.286656</v>
      </c>
      <c r="O246" t="n">
        <v>7.494737</v>
      </c>
      <c r="P246" t="n">
        <v>5.145347</v>
      </c>
      <c r="W246" t="n">
        <v>7.580281</v>
      </c>
      <c r="X246" t="n">
        <v>10.586653</v>
      </c>
      <c r="Z246" t="n">
        <v>6.884003</v>
      </c>
    </row>
    <row r="247" ht="21" customHeight="1">
      <c r="A247" t="inlineStr">
        <is>
          <t>Congridae</t>
        </is>
      </c>
      <c r="D247" s="11" t="inlineStr">
        <is>
          <t>Lg. piscivores | Juv.Lg.Pisciv.</t>
        </is>
      </c>
      <c r="H247" t="n">
        <v>401.23396</v>
      </c>
      <c r="I247" t="n">
        <v>262.057593</v>
      </c>
      <c r="J247" t="n">
        <v>262.057593</v>
      </c>
      <c r="K247" t="n">
        <v>243.37383</v>
      </c>
      <c r="L247" t="n">
        <v>806.383997</v>
      </c>
      <c r="M247" t="n">
        <v>760.332928</v>
      </c>
      <c r="N247" t="n">
        <v>760.332928</v>
      </c>
      <c r="O247" t="n">
        <v>136.609619</v>
      </c>
      <c r="P247" t="n">
        <v>56.19878</v>
      </c>
      <c r="W247" t="n">
        <v>141.082797</v>
      </c>
      <c r="X247" t="n">
        <v>853.530558</v>
      </c>
      <c r="Z247" t="n">
        <v>90.598209</v>
      </c>
    </row>
    <row r="248" ht="21" customHeight="1">
      <c r="A248" t="inlineStr">
        <is>
          <t>Pomadasys argenteus</t>
        </is>
      </c>
      <c r="B248" t="n">
        <v>3.47</v>
      </c>
      <c r="C248" t="n">
        <v>295.120923</v>
      </c>
      <c r="D248" s="11" t="inlineStr">
        <is>
          <t>Med.dem.benth.</t>
        </is>
      </c>
      <c r="H248" t="n">
        <v>136.909799</v>
      </c>
      <c r="I248" t="n">
        <v>177.004212</v>
      </c>
      <c r="J248" t="n">
        <v>177.004212</v>
      </c>
      <c r="K248" t="n">
        <v>158.443355</v>
      </c>
      <c r="L248" t="n">
        <v>664.022909</v>
      </c>
      <c r="M248" t="n">
        <v>624.927413</v>
      </c>
      <c r="N248" t="n">
        <v>624.927413</v>
      </c>
      <c r="O248" t="n">
        <v>66.41242099999999</v>
      </c>
      <c r="P248" t="n">
        <v>30.269118</v>
      </c>
      <c r="W248" t="n">
        <v>67.525592</v>
      </c>
      <c r="X248" t="n">
        <v>706.254767</v>
      </c>
      <c r="Z248" t="n">
        <v>40.467693</v>
      </c>
    </row>
    <row r="249" ht="21" customHeight="1">
      <c r="A249" t="inlineStr">
        <is>
          <t>Seriola</t>
        </is>
      </c>
      <c r="D249" s="11" t="inlineStr">
        <is>
          <t>Lg. piscivores | Juv.Lg.Pisciv.</t>
        </is>
      </c>
      <c r="H249" t="n">
        <v>401.23396</v>
      </c>
      <c r="I249" t="n">
        <v>262.057593</v>
      </c>
      <c r="J249" t="n">
        <v>262.057593</v>
      </c>
      <c r="K249" t="n">
        <v>243.37383</v>
      </c>
      <c r="L249" t="n">
        <v>806.383997</v>
      </c>
      <c r="M249" t="n">
        <v>760.332928</v>
      </c>
      <c r="N249" t="n">
        <v>760.332928</v>
      </c>
      <c r="O249" t="n">
        <v>136.609619</v>
      </c>
      <c r="P249" t="n">
        <v>56.19878</v>
      </c>
      <c r="W249" t="n">
        <v>141.082797</v>
      </c>
      <c r="X249" t="n">
        <v>853.530558</v>
      </c>
      <c r="Z249" t="n">
        <v>90.598209</v>
      </c>
    </row>
    <row r="250" ht="21" customHeight="1">
      <c r="A250" t="inlineStr">
        <is>
          <t>Sphyrnidae</t>
        </is>
      </c>
      <c r="D250" s="11" t="inlineStr">
        <is>
          <t>Sharks | Juv. sharks</t>
        </is>
      </c>
      <c r="H250" t="n">
        <v>1428.928099</v>
      </c>
      <c r="I250" t="n">
        <v>692.907195</v>
      </c>
      <c r="J250" t="n">
        <v>692.907195</v>
      </c>
      <c r="K250" t="n">
        <v>659.911648</v>
      </c>
      <c r="L250" t="n">
        <v>2016.586739</v>
      </c>
      <c r="M250" t="n">
        <v>1902.823959</v>
      </c>
      <c r="N250" t="n">
        <v>1902.823959</v>
      </c>
      <c r="O250" t="n">
        <v>378.444678</v>
      </c>
      <c r="P250" t="n">
        <v>131.171791</v>
      </c>
      <c r="W250" t="n">
        <v>405.556761</v>
      </c>
      <c r="X250" t="n">
        <v>2124.182848</v>
      </c>
      <c r="Z250" t="n">
        <v>239.260998</v>
      </c>
    </row>
    <row r="251" ht="21" customHeight="1">
      <c r="A251" t="inlineStr">
        <is>
          <t>Sphyrna</t>
        </is>
      </c>
      <c r="D251" s="11" t="inlineStr">
        <is>
          <t>Sharks | Juv. sharks</t>
        </is>
      </c>
      <c r="H251" t="n">
        <v>1428.928099</v>
      </c>
      <c r="I251" t="n">
        <v>692.907195</v>
      </c>
      <c r="J251" t="n">
        <v>692.907195</v>
      </c>
      <c r="K251" t="n">
        <v>659.911648</v>
      </c>
      <c r="L251" t="n">
        <v>2016.586739</v>
      </c>
      <c r="M251" t="n">
        <v>1902.823959</v>
      </c>
      <c r="N251" t="n">
        <v>1902.823959</v>
      </c>
      <c r="O251" t="n">
        <v>378.444678</v>
      </c>
      <c r="P251" t="n">
        <v>131.171791</v>
      </c>
      <c r="W251" t="n">
        <v>405.556761</v>
      </c>
      <c r="X251" t="n">
        <v>2124.182848</v>
      </c>
      <c r="Z251" t="n">
        <v>239.260998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165954321.04</v>
      </c>
      <c r="D6" t="n">
        <v>167645100.018</v>
      </c>
      <c r="E6" t="n">
        <v>167960831.719</v>
      </c>
      <c r="F6" t="n">
        <v>169493530.158</v>
      </c>
      <c r="G6" t="n">
        <v>203944965.644</v>
      </c>
      <c r="H6" t="n">
        <v>235215293.271</v>
      </c>
      <c r="I6" t="n">
        <v>245909484.801</v>
      </c>
      <c r="J6" t="n">
        <v>253903329.794</v>
      </c>
      <c r="K6" t="n">
        <v>289097340.399</v>
      </c>
      <c r="L6" t="n">
        <v>325515691.108</v>
      </c>
      <c r="M6" t="n">
        <v>377465790.078</v>
      </c>
      <c r="N6" t="n">
        <v>436969273.218</v>
      </c>
      <c r="O6" t="n">
        <v>501383497.859</v>
      </c>
      <c r="P6" t="n">
        <v>599535420.02</v>
      </c>
      <c r="Q6" t="n">
        <v>690444478.941</v>
      </c>
      <c r="R6" t="n">
        <v>862040384.2029999</v>
      </c>
      <c r="S6" t="n">
        <v>902676158.234</v>
      </c>
      <c r="T6" t="n">
        <v>986924298.641</v>
      </c>
      <c r="U6" t="n">
        <v>1050353465.903</v>
      </c>
      <c r="V6" t="n">
        <v>1139816860.642</v>
      </c>
      <c r="W6" t="n">
        <v>1235461314.81</v>
      </c>
      <c r="X6" t="n">
        <v>1329645454.764</v>
      </c>
      <c r="Y6" t="n">
        <v>1563252815.71</v>
      </c>
      <c r="Z6" t="n">
        <v>1552833034.517</v>
      </c>
      <c r="AA6" t="n">
        <v>1380314618.141</v>
      </c>
      <c r="AB6" t="n">
        <v>1322619052.817</v>
      </c>
      <c r="AC6" t="n">
        <v>1340186243.941</v>
      </c>
      <c r="AD6" t="n">
        <v>1604335052.701</v>
      </c>
      <c r="AE6" t="n">
        <v>1589097801.986</v>
      </c>
      <c r="AF6" t="n">
        <v>1415461628.892</v>
      </c>
      <c r="AG6" t="n">
        <v>1417802537.092</v>
      </c>
      <c r="AH6" t="n">
        <v>1515916865.108</v>
      </c>
      <c r="AI6" t="n">
        <v>1541404823.465</v>
      </c>
      <c r="AJ6" t="n">
        <v>1694291449.265</v>
      </c>
      <c r="AK6" t="n">
        <v>1512520657.945</v>
      </c>
      <c r="AL6" t="n">
        <v>1578542778.18</v>
      </c>
      <c r="AM6" t="n">
        <v>1741338192.618</v>
      </c>
      <c r="AN6" t="n">
        <v>1911548020.949</v>
      </c>
      <c r="AO6" t="n">
        <v>1851170956.064</v>
      </c>
      <c r="AP6" t="n">
        <v>1776522815.484</v>
      </c>
      <c r="AQ6" t="n">
        <v>1830996148.409</v>
      </c>
      <c r="AR6" t="n">
        <v>1718196231.15</v>
      </c>
      <c r="AS6" t="n">
        <v>1849865275.088</v>
      </c>
      <c r="AT6" t="n">
        <v>1851877923.138</v>
      </c>
      <c r="AU6" t="n">
        <v>1928071510.067</v>
      </c>
      <c r="AV6" t="n">
        <v>1907930359.995</v>
      </c>
      <c r="AW6" t="n">
        <v>1828625425.159</v>
      </c>
      <c r="AX6" t="n">
        <v>1821349869.602</v>
      </c>
      <c r="AY6" t="n">
        <v>1831886668.509</v>
      </c>
      <c r="AZ6" t="n">
        <v>2062090770.438</v>
      </c>
      <c r="BA6" t="n">
        <v>2122317183.341</v>
      </c>
      <c r="BB6" t="n">
        <v>2022028682.891</v>
      </c>
      <c r="BC6" t="n">
        <v>1994489756.468</v>
      </c>
      <c r="BD6" t="n">
        <v>2044029604.158</v>
      </c>
      <c r="BE6" t="n">
        <v>1964975856.005</v>
      </c>
      <c r="BF6" t="n">
        <v>1990709686.164</v>
      </c>
      <c r="BG6" t="n">
        <v>1980077226.809</v>
      </c>
      <c r="BH6" t="n">
        <v>1826725015.355</v>
      </c>
      <c r="BI6" t="n">
        <v>1656512113.753</v>
      </c>
      <c r="BJ6" t="n">
        <v>1651430616.159</v>
      </c>
      <c r="BK6" t="n">
        <v>1686680473.087</v>
      </c>
      <c r="BL6" t="n">
        <v>1789665735.26</v>
      </c>
      <c r="BM6" t="n">
        <v>1847926162.559</v>
      </c>
      <c r="BN6" t="n">
        <v>1940026702.526</v>
      </c>
      <c r="BO6" t="n">
        <v>1873430026.294</v>
      </c>
      <c r="BP6" t="n">
        <v>1865970939.505</v>
      </c>
      <c r="BQ6" t="n">
        <v>1877969099.692</v>
      </c>
      <c r="BR6" t="n">
        <v>1861400912.24</v>
      </c>
      <c r="BS6" t="n">
        <v>1947833779.69</v>
      </c>
      <c r="BT6" t="n">
        <v>1868893902.312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98871274.33499999</v>
      </c>
      <c r="D7" t="n">
        <v>100197726.971</v>
      </c>
      <c r="E7" t="n">
        <v>99660011.656</v>
      </c>
      <c r="F7" t="n">
        <v>100048488.117</v>
      </c>
      <c r="G7" t="n">
        <v>119024012.481</v>
      </c>
      <c r="H7" t="n">
        <v>137750037.635</v>
      </c>
      <c r="I7" t="n">
        <v>144136521.842</v>
      </c>
      <c r="J7" t="n">
        <v>149525565.397</v>
      </c>
      <c r="K7" t="n">
        <v>171346741.943</v>
      </c>
      <c r="L7" t="n">
        <v>197269134.52</v>
      </c>
      <c r="M7" t="n">
        <v>239550646.236</v>
      </c>
      <c r="N7" t="n">
        <v>304622307.575</v>
      </c>
      <c r="O7" t="n">
        <v>341182774.63</v>
      </c>
      <c r="P7" t="n">
        <v>442008753.58</v>
      </c>
      <c r="Q7" t="n">
        <v>489270614.316</v>
      </c>
      <c r="R7" t="n">
        <v>608541711.651</v>
      </c>
      <c r="S7" t="n">
        <v>627367382.377</v>
      </c>
      <c r="T7" t="n">
        <v>697177718.1289999</v>
      </c>
      <c r="U7" t="n">
        <v>735223453.15</v>
      </c>
      <c r="V7" t="n">
        <v>821672921.191</v>
      </c>
      <c r="W7" t="n">
        <v>921300636.228</v>
      </c>
      <c r="X7" t="n">
        <v>996963796.715</v>
      </c>
      <c r="Y7" t="n">
        <v>1211899645.491</v>
      </c>
      <c r="Z7" t="n">
        <v>1198965996.148</v>
      </c>
      <c r="AA7" t="n">
        <v>1063988639.992</v>
      </c>
      <c r="AB7" t="n">
        <v>1015573273.152</v>
      </c>
      <c r="AC7" t="n">
        <v>1026466795.435</v>
      </c>
      <c r="AD7" t="n">
        <v>1253362977.228</v>
      </c>
      <c r="AE7" t="n">
        <v>1225640410.878</v>
      </c>
      <c r="AF7" t="n">
        <v>1075618851.529</v>
      </c>
      <c r="AG7" t="n">
        <v>1080781825.713</v>
      </c>
      <c r="AH7" t="n">
        <v>1156338341.376</v>
      </c>
      <c r="AI7" t="n">
        <v>1185121888.154</v>
      </c>
      <c r="AJ7" t="n">
        <v>1313289072.861</v>
      </c>
      <c r="AK7" t="n">
        <v>1162702217.219</v>
      </c>
      <c r="AL7" t="n">
        <v>1198174727.879</v>
      </c>
      <c r="AM7" t="n">
        <v>1333601591.062</v>
      </c>
      <c r="AN7" t="n">
        <v>1448807232.307</v>
      </c>
      <c r="AO7" t="n">
        <v>1404343798.726</v>
      </c>
      <c r="AP7" t="n">
        <v>1344551301.454</v>
      </c>
      <c r="AQ7" t="n">
        <v>1425086053.168</v>
      </c>
      <c r="AR7" t="n">
        <v>1334822015.742</v>
      </c>
      <c r="AS7" t="n">
        <v>1425457551.628</v>
      </c>
      <c r="AT7" t="n">
        <v>1417305206.803</v>
      </c>
      <c r="AU7" t="n">
        <v>1476867154.496</v>
      </c>
      <c r="AV7" t="n">
        <v>1458355823.981</v>
      </c>
      <c r="AW7" t="n">
        <v>1409212844.187</v>
      </c>
      <c r="AX7" t="n">
        <v>1402422084.57</v>
      </c>
      <c r="AY7" t="n">
        <v>1417783219.69</v>
      </c>
      <c r="AZ7" t="n">
        <v>1597520108.583</v>
      </c>
      <c r="BA7" t="n">
        <v>1666936678.916</v>
      </c>
      <c r="BB7" t="n">
        <v>1581897217.443</v>
      </c>
      <c r="BC7" t="n">
        <v>1562061017.073</v>
      </c>
      <c r="BD7" t="n">
        <v>1607468920.335</v>
      </c>
      <c r="BE7" t="n">
        <v>1549458776.171</v>
      </c>
      <c r="BF7" t="n">
        <v>1564644389.343</v>
      </c>
      <c r="BG7" t="n">
        <v>1556702331.433</v>
      </c>
      <c r="BH7" t="n">
        <v>1430623833.036</v>
      </c>
      <c r="BI7" t="n">
        <v>1268191493.653</v>
      </c>
      <c r="BJ7" t="n">
        <v>1269961226.616</v>
      </c>
      <c r="BK7" t="n">
        <v>1297410632.449</v>
      </c>
      <c r="BL7" t="n">
        <v>1367128900.729</v>
      </c>
      <c r="BM7" t="n">
        <v>1412918071.428</v>
      </c>
      <c r="BN7" t="n">
        <v>1484584852.958</v>
      </c>
      <c r="BO7" t="n">
        <v>1426503901.322</v>
      </c>
      <c r="BP7" t="n">
        <v>1437911897.078</v>
      </c>
      <c r="BQ7" t="n">
        <v>1465580885.712</v>
      </c>
      <c r="BR7" t="n">
        <v>1462813117.804</v>
      </c>
      <c r="BS7" t="n">
        <v>1538016492.622</v>
      </c>
      <c r="BT7" t="n">
        <v>1470605576.408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85799478.082</v>
      </c>
      <c r="D8" t="n">
        <v>88297613.68700001</v>
      </c>
      <c r="E8" t="n">
        <v>87500240.44599999</v>
      </c>
      <c r="F8" t="n">
        <v>87866041.36399999</v>
      </c>
      <c r="G8" t="n">
        <v>105194001.731</v>
      </c>
      <c r="H8" t="n">
        <v>121907532.062</v>
      </c>
      <c r="I8" t="n">
        <v>127701562.172</v>
      </c>
      <c r="J8" t="n">
        <v>133878547.361</v>
      </c>
      <c r="K8" t="n">
        <v>149971124.43</v>
      </c>
      <c r="L8" t="n">
        <v>168662677.612</v>
      </c>
      <c r="M8" t="n">
        <v>202214702.206</v>
      </c>
      <c r="N8" t="n">
        <v>233789996.463</v>
      </c>
      <c r="O8" t="n">
        <v>274780743.894</v>
      </c>
      <c r="P8" t="n">
        <v>339261943.579</v>
      </c>
      <c r="Q8" t="n">
        <v>393136165.638</v>
      </c>
      <c r="R8" t="n">
        <v>500768712.794</v>
      </c>
      <c r="S8" t="n">
        <v>541060668.386</v>
      </c>
      <c r="T8" t="n">
        <v>614236404.381</v>
      </c>
      <c r="U8" t="n">
        <v>677483019.744</v>
      </c>
      <c r="V8" t="n">
        <v>770914579.784</v>
      </c>
      <c r="W8" t="n">
        <v>849564833.432</v>
      </c>
      <c r="X8" t="n">
        <v>909467824.013</v>
      </c>
      <c r="Y8" t="n">
        <v>1118739256.625</v>
      </c>
      <c r="Z8" t="n">
        <v>1101873002.095</v>
      </c>
      <c r="AA8" t="n">
        <v>981014762.023</v>
      </c>
      <c r="AB8" t="n">
        <v>939898082.385</v>
      </c>
      <c r="AC8" t="n">
        <v>943909181.164</v>
      </c>
      <c r="AD8" t="n">
        <v>1139751072.418</v>
      </c>
      <c r="AE8" t="n">
        <v>1117752265.298</v>
      </c>
      <c r="AF8" t="n">
        <v>980091862.501</v>
      </c>
      <c r="AG8" t="n">
        <v>1009565877.525</v>
      </c>
      <c r="AH8" t="n">
        <v>1074441852.702</v>
      </c>
      <c r="AI8" t="n">
        <v>1114502060.318</v>
      </c>
      <c r="AJ8" t="n">
        <v>1223231530.635</v>
      </c>
      <c r="AK8" t="n">
        <v>1102544612.151</v>
      </c>
      <c r="AL8" t="n">
        <v>1129560845.214</v>
      </c>
      <c r="AM8" t="n">
        <v>1253299592.741</v>
      </c>
      <c r="AN8" t="n">
        <v>1364854497.528</v>
      </c>
      <c r="AO8" t="n">
        <v>1319082619.27</v>
      </c>
      <c r="AP8" t="n">
        <v>1268465003.952</v>
      </c>
      <c r="AQ8" t="n">
        <v>1333068556.614</v>
      </c>
      <c r="AR8" t="n">
        <v>1247116974.145</v>
      </c>
      <c r="AS8" t="n">
        <v>1338174592.752</v>
      </c>
      <c r="AT8" t="n">
        <v>1332862615.919</v>
      </c>
      <c r="AU8" t="n">
        <v>1371601804.25</v>
      </c>
      <c r="AV8" t="n">
        <v>1364785797.316</v>
      </c>
      <c r="AW8" t="n">
        <v>1325571674.267</v>
      </c>
      <c r="AX8" t="n">
        <v>1317937690.674</v>
      </c>
      <c r="AY8" t="n">
        <v>1326007120.801</v>
      </c>
      <c r="AZ8" t="n">
        <v>1481563188.317</v>
      </c>
      <c r="BA8" t="n">
        <v>1539986499.632</v>
      </c>
      <c r="BB8" t="n">
        <v>1470789376.14</v>
      </c>
      <c r="BC8" t="n">
        <v>1456758394.715</v>
      </c>
      <c r="BD8" t="n">
        <v>1499362551.614</v>
      </c>
      <c r="BE8" t="n">
        <v>1447019372.344</v>
      </c>
      <c r="BF8" t="n">
        <v>1433951219.672</v>
      </c>
      <c r="BG8" t="n">
        <v>1434983808.458</v>
      </c>
      <c r="BH8" t="n">
        <v>1318922113.122</v>
      </c>
      <c r="BI8" t="n">
        <v>1171797745.686</v>
      </c>
      <c r="BJ8" t="n">
        <v>1179061294.715</v>
      </c>
      <c r="BK8" t="n">
        <v>1198823177.581</v>
      </c>
      <c r="BL8" t="n">
        <v>1266878726.52</v>
      </c>
      <c r="BM8" t="n">
        <v>1307418936.47</v>
      </c>
      <c r="BN8" t="n">
        <v>1374305231.528</v>
      </c>
      <c r="BO8" t="n">
        <v>1326336859.017</v>
      </c>
      <c r="BP8" t="n">
        <v>1321851427.83</v>
      </c>
      <c r="BQ8" t="n">
        <v>1330273707.432</v>
      </c>
      <c r="BR8" t="n">
        <v>1330274963.627</v>
      </c>
      <c r="BS8" t="n">
        <v>1384421486.029</v>
      </c>
      <c r="BT8" t="n">
        <v>1321291452.969</v>
      </c>
    </row>
    <row r="9">
      <c r="A9" s="18" t="inlineStr">
        <is>
          <t>SPPR_1986</t>
        </is>
      </c>
      <c r="B9" s="9" t="inlineStr">
        <is>
          <t>did not resolve for any mapped group</t>
        </is>
      </c>
    </row>
    <row r="10">
      <c r="A10" s="18" t="inlineStr">
        <is>
          <t>SPPR_1995_TE0.1</t>
        </is>
      </c>
      <c r="B10" s="9" t="inlineStr">
        <is>
          <t>did not resolve for any mapped group</t>
        </is>
      </c>
    </row>
    <row r="11">
      <c r="A11" s="18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35617748.439</v>
      </c>
      <c r="D12" t="n">
        <v>35670969.918</v>
      </c>
      <c r="E12" t="n">
        <v>35816517.378</v>
      </c>
      <c r="F12" t="n">
        <v>36240497.042</v>
      </c>
      <c r="G12" t="n">
        <v>41097718.888</v>
      </c>
      <c r="H12" t="n">
        <v>45612437.055</v>
      </c>
      <c r="I12" t="n">
        <v>47338371.138</v>
      </c>
      <c r="J12" t="n">
        <v>48489734.152</v>
      </c>
      <c r="K12" t="n">
        <v>55207134.766</v>
      </c>
      <c r="L12" t="n">
        <v>61569118.539</v>
      </c>
      <c r="M12" t="n">
        <v>69537354.46699999</v>
      </c>
      <c r="N12" t="n">
        <v>81808466.818</v>
      </c>
      <c r="O12" t="n">
        <v>92262294.227</v>
      </c>
      <c r="P12" t="n">
        <v>110788597.222</v>
      </c>
      <c r="Q12" t="n">
        <v>128012135.046</v>
      </c>
      <c r="R12" t="n">
        <v>160740485.638</v>
      </c>
      <c r="S12" t="n">
        <v>168633561.822</v>
      </c>
      <c r="T12" t="n">
        <v>183164636.023</v>
      </c>
      <c r="U12" t="n">
        <v>195161352.001</v>
      </c>
      <c r="V12" t="n">
        <v>209352061.17</v>
      </c>
      <c r="W12" t="n">
        <v>229120936.024</v>
      </c>
      <c r="X12" t="n">
        <v>248461186.093</v>
      </c>
      <c r="Y12" t="n">
        <v>290008340.212</v>
      </c>
      <c r="Z12" t="n">
        <v>285765898.762</v>
      </c>
      <c r="AA12" t="n">
        <v>258222537.611</v>
      </c>
      <c r="AB12" t="n">
        <v>247024475.105</v>
      </c>
      <c r="AC12" t="n">
        <v>255393806.194</v>
      </c>
      <c r="AD12" t="n">
        <v>306443903.322</v>
      </c>
      <c r="AE12" t="n">
        <v>305402209.067</v>
      </c>
      <c r="AF12" t="n">
        <v>269649853.225</v>
      </c>
      <c r="AG12" t="n">
        <v>272583725.663</v>
      </c>
      <c r="AH12" t="n">
        <v>293338069.154</v>
      </c>
      <c r="AI12" t="n">
        <v>297500568.888</v>
      </c>
      <c r="AJ12" t="n">
        <v>316064237.53</v>
      </c>
      <c r="AK12" t="n">
        <v>285078331.242</v>
      </c>
      <c r="AL12" t="n">
        <v>295262561.771</v>
      </c>
      <c r="AM12" t="n">
        <v>320452883.405</v>
      </c>
      <c r="AN12" t="n">
        <v>355312566.018</v>
      </c>
      <c r="AO12" t="n">
        <v>342107039.993</v>
      </c>
      <c r="AP12" t="n">
        <v>327669018.915</v>
      </c>
      <c r="AQ12" t="n">
        <v>343290965.231</v>
      </c>
      <c r="AR12" t="n">
        <v>321507465.743</v>
      </c>
      <c r="AS12" t="n">
        <v>345987494.757</v>
      </c>
      <c r="AT12" t="n">
        <v>343614551.169</v>
      </c>
      <c r="AU12" t="n">
        <v>357904510.991</v>
      </c>
      <c r="AV12" t="n">
        <v>348992986.857</v>
      </c>
      <c r="AW12" t="n">
        <v>334266998.328</v>
      </c>
      <c r="AX12" t="n">
        <v>327742821.505</v>
      </c>
      <c r="AY12" t="n">
        <v>338103898.311</v>
      </c>
      <c r="AZ12" t="n">
        <v>369455041.996</v>
      </c>
      <c r="BA12" t="n">
        <v>387255583.21</v>
      </c>
      <c r="BB12" t="n">
        <v>363917707.742</v>
      </c>
      <c r="BC12" t="n">
        <v>357568794.213</v>
      </c>
      <c r="BD12" t="n">
        <v>367843955.72</v>
      </c>
      <c r="BE12" t="n">
        <v>359651852.761</v>
      </c>
      <c r="BF12" t="n">
        <v>356409998.297</v>
      </c>
      <c r="BG12" t="n">
        <v>354383541.888</v>
      </c>
      <c r="BH12" t="n">
        <v>323243434.54</v>
      </c>
      <c r="BI12" t="n">
        <v>286328606.699</v>
      </c>
      <c r="BJ12" t="n">
        <v>289639529.784</v>
      </c>
      <c r="BK12" t="n">
        <v>294360002.162</v>
      </c>
      <c r="BL12" t="n">
        <v>305847116.818</v>
      </c>
      <c r="BM12" t="n">
        <v>319165111.332</v>
      </c>
      <c r="BN12" t="n">
        <v>336298780.704</v>
      </c>
      <c r="BO12" t="n">
        <v>323950321.8</v>
      </c>
      <c r="BP12" t="n">
        <v>317059447.618</v>
      </c>
      <c r="BQ12" t="n">
        <v>318922870.069</v>
      </c>
      <c r="BR12" t="n">
        <v>317415712.984</v>
      </c>
      <c r="BS12" t="n">
        <v>327328695.218</v>
      </c>
      <c r="BT12" t="n">
        <v>321195429.57</v>
      </c>
    </row>
    <row r="13">
      <c r="A13" t="inlineStr">
        <is>
          <t>Ulanowicz_TE</t>
        </is>
      </c>
      <c r="B13" t="inlineStr">
        <is>
          <t>ok</t>
        </is>
      </c>
      <c r="C13" t="n">
        <v>22480231.253</v>
      </c>
      <c r="D13" t="n">
        <v>22467044.932</v>
      </c>
      <c r="E13" t="n">
        <v>22595752.777</v>
      </c>
      <c r="F13" t="n">
        <v>22900914.207</v>
      </c>
      <c r="G13" t="n">
        <v>25804064.824</v>
      </c>
      <c r="H13" t="n">
        <v>28553604.96</v>
      </c>
      <c r="I13" t="n">
        <v>29656988.907</v>
      </c>
      <c r="J13" t="n">
        <v>30666239.048</v>
      </c>
      <c r="K13" t="n">
        <v>34659716.704</v>
      </c>
      <c r="L13" t="n">
        <v>38485931.288</v>
      </c>
      <c r="M13" t="n">
        <v>44182171.361</v>
      </c>
      <c r="N13" t="n">
        <v>52249185.547</v>
      </c>
      <c r="O13" t="n">
        <v>60312208.19</v>
      </c>
      <c r="P13" t="n">
        <v>74795631.46600001</v>
      </c>
      <c r="Q13" t="n">
        <v>88154025.914</v>
      </c>
      <c r="R13" t="n">
        <v>115147538.159</v>
      </c>
      <c r="S13" t="n">
        <v>125271990.471</v>
      </c>
      <c r="T13" t="n">
        <v>140780201.409</v>
      </c>
      <c r="U13" t="n">
        <v>156056084.687</v>
      </c>
      <c r="V13" t="n">
        <v>174702575.632</v>
      </c>
      <c r="W13" t="n">
        <v>195860865.792</v>
      </c>
      <c r="X13" t="n">
        <v>211847475.089</v>
      </c>
      <c r="Y13" t="n">
        <v>251569287.792</v>
      </c>
      <c r="Z13" t="n">
        <v>243835573.171</v>
      </c>
      <c r="AA13" t="n">
        <v>219825143.472</v>
      </c>
      <c r="AB13" t="n">
        <v>208882665.746</v>
      </c>
      <c r="AC13" t="n">
        <v>210249755.461</v>
      </c>
      <c r="AD13" t="n">
        <v>247456832.869</v>
      </c>
      <c r="AE13" t="n">
        <v>248973132.884</v>
      </c>
      <c r="AF13" t="n">
        <v>221735759.556</v>
      </c>
      <c r="AG13" t="n">
        <v>220597833.986</v>
      </c>
      <c r="AH13" t="n">
        <v>231815845.736</v>
      </c>
      <c r="AI13" t="n">
        <v>237474737.715</v>
      </c>
      <c r="AJ13" t="n">
        <v>242067047.358</v>
      </c>
      <c r="AK13" t="n">
        <v>222982112.505</v>
      </c>
      <c r="AL13" t="n">
        <v>231918306.763</v>
      </c>
      <c r="AM13" t="n">
        <v>255659126.705</v>
      </c>
      <c r="AN13" t="n">
        <v>286092261.862</v>
      </c>
      <c r="AO13" t="n">
        <v>270794774.087</v>
      </c>
      <c r="AP13" t="n">
        <v>258925036.836</v>
      </c>
      <c r="AQ13" t="n">
        <v>269407427.855</v>
      </c>
      <c r="AR13" t="n">
        <v>251334577.739</v>
      </c>
      <c r="AS13" t="n">
        <v>268391864.042</v>
      </c>
      <c r="AT13" t="n">
        <v>272606503.388</v>
      </c>
      <c r="AU13" t="n">
        <v>282966358.908</v>
      </c>
      <c r="AV13" t="n">
        <v>279321036.448</v>
      </c>
      <c r="AW13" t="n">
        <v>266855749.09</v>
      </c>
      <c r="AX13" t="n">
        <v>261230990.892</v>
      </c>
      <c r="AY13" t="n">
        <v>265733058.295</v>
      </c>
      <c r="AZ13" t="n">
        <v>288544722.135</v>
      </c>
      <c r="BA13" t="n">
        <v>298156718.583</v>
      </c>
      <c r="BB13" t="n">
        <v>284542013.801</v>
      </c>
      <c r="BC13" t="n">
        <v>279646697.648</v>
      </c>
      <c r="BD13" t="n">
        <v>287142980.142</v>
      </c>
      <c r="BE13" t="n">
        <v>278018737.222</v>
      </c>
      <c r="BF13" t="n">
        <v>278078634.245</v>
      </c>
      <c r="BG13" t="n">
        <v>274582820.851</v>
      </c>
      <c r="BH13" t="n">
        <v>251325461.925</v>
      </c>
      <c r="BI13" t="n">
        <v>226153701.313</v>
      </c>
      <c r="BJ13" t="n">
        <v>228681581.789</v>
      </c>
      <c r="BK13" t="n">
        <v>230180082.471</v>
      </c>
      <c r="BL13" t="n">
        <v>237965026.005</v>
      </c>
      <c r="BM13" t="n">
        <v>248823147.432</v>
      </c>
      <c r="BN13" t="n">
        <v>262368165.597</v>
      </c>
      <c r="BO13" t="n">
        <v>252725833.504</v>
      </c>
      <c r="BP13" t="n">
        <v>245471627.566</v>
      </c>
      <c r="BQ13" t="n">
        <v>244870165.83</v>
      </c>
      <c r="BR13" t="n">
        <v>244161554.388</v>
      </c>
      <c r="BS13" t="n">
        <v>252337914.489</v>
      </c>
      <c r="BT13" t="n">
        <v>249539167.007</v>
      </c>
    </row>
    <row r="14">
      <c r="A14" t="inlineStr">
        <is>
          <t>EwE_TE_noEE</t>
        </is>
      </c>
      <c r="B14" t="inlineStr">
        <is>
          <t>ok</t>
        </is>
      </c>
      <c r="C14" t="n">
        <v>22480231.253</v>
      </c>
      <c r="D14" t="n">
        <v>22467044.932</v>
      </c>
      <c r="E14" t="n">
        <v>22595752.777</v>
      </c>
      <c r="F14" t="n">
        <v>22900914.207</v>
      </c>
      <c r="G14" t="n">
        <v>25804064.824</v>
      </c>
      <c r="H14" t="n">
        <v>28553604.96</v>
      </c>
      <c r="I14" t="n">
        <v>29656988.907</v>
      </c>
      <c r="J14" t="n">
        <v>30666239.048</v>
      </c>
      <c r="K14" t="n">
        <v>34659716.704</v>
      </c>
      <c r="L14" t="n">
        <v>38485931.288</v>
      </c>
      <c r="M14" t="n">
        <v>44182171.361</v>
      </c>
      <c r="N14" t="n">
        <v>52249185.547</v>
      </c>
      <c r="O14" t="n">
        <v>60312208.19</v>
      </c>
      <c r="P14" t="n">
        <v>74795631.46600001</v>
      </c>
      <c r="Q14" t="n">
        <v>88154025.914</v>
      </c>
      <c r="R14" t="n">
        <v>115147538.159</v>
      </c>
      <c r="S14" t="n">
        <v>125271990.471</v>
      </c>
      <c r="T14" t="n">
        <v>140780201.409</v>
      </c>
      <c r="U14" t="n">
        <v>156056084.687</v>
      </c>
      <c r="V14" t="n">
        <v>174702575.632</v>
      </c>
      <c r="W14" t="n">
        <v>195876070.664</v>
      </c>
      <c r="X14" t="n">
        <v>211862624.177</v>
      </c>
      <c r="Y14" t="n">
        <v>251585586.028</v>
      </c>
      <c r="Z14" t="n">
        <v>244237842.569</v>
      </c>
      <c r="AA14" t="n">
        <v>219839516.703</v>
      </c>
      <c r="AB14" t="n">
        <v>208908723.359</v>
      </c>
      <c r="AC14" t="n">
        <v>210384795.709</v>
      </c>
      <c r="AD14" t="n">
        <v>247944305.096</v>
      </c>
      <c r="AE14" t="n">
        <v>249324603.581</v>
      </c>
      <c r="AF14" t="n">
        <v>222036065.129</v>
      </c>
      <c r="AG14" t="n">
        <v>220609823.528</v>
      </c>
      <c r="AH14" t="n">
        <v>231883280.765</v>
      </c>
      <c r="AI14" t="n">
        <v>237643571.98</v>
      </c>
      <c r="AJ14" t="n">
        <v>242914850.405</v>
      </c>
      <c r="AK14" t="n">
        <v>223015808.011</v>
      </c>
      <c r="AL14" t="n">
        <v>231955069.606</v>
      </c>
      <c r="AM14" t="n">
        <v>255755798.089</v>
      </c>
      <c r="AN14" t="n">
        <v>286170674.846</v>
      </c>
      <c r="AO14" t="n">
        <v>270897412.874</v>
      </c>
      <c r="AP14" t="n">
        <v>259013744.903</v>
      </c>
      <c r="AQ14" t="n">
        <v>269484770.133</v>
      </c>
      <c r="AR14" t="n">
        <v>251638897.342</v>
      </c>
      <c r="AS14" t="n">
        <v>268949528.939</v>
      </c>
      <c r="AT14" t="n">
        <v>272659953.234</v>
      </c>
      <c r="AU14" t="n">
        <v>283388183.779</v>
      </c>
      <c r="AV14" t="n">
        <v>279410219.42</v>
      </c>
      <c r="AW14" t="n">
        <v>266951164.442</v>
      </c>
      <c r="AX14" t="n">
        <v>261349310.341</v>
      </c>
      <c r="AY14" t="n">
        <v>266067249.676</v>
      </c>
      <c r="AZ14" t="n">
        <v>289011708.621</v>
      </c>
      <c r="BA14" t="n">
        <v>298943850.555</v>
      </c>
      <c r="BB14" t="n">
        <v>284790781.682</v>
      </c>
      <c r="BC14" t="n">
        <v>279795092.799</v>
      </c>
      <c r="BD14" t="n">
        <v>287189915.898</v>
      </c>
      <c r="BE14" t="n">
        <v>278026754.734</v>
      </c>
      <c r="BF14" t="n">
        <v>278097780.441</v>
      </c>
      <c r="BG14" t="n">
        <v>274604367.852</v>
      </c>
      <c r="BH14" t="n">
        <v>251365644.981</v>
      </c>
      <c r="BI14" t="n">
        <v>226169883.712</v>
      </c>
      <c r="BJ14" t="n">
        <v>228703431.361</v>
      </c>
      <c r="BK14" t="n">
        <v>230209775.935</v>
      </c>
      <c r="BL14" t="n">
        <v>237995879.151</v>
      </c>
      <c r="BM14" t="n">
        <v>248835310.401</v>
      </c>
      <c r="BN14" t="n">
        <v>262383888.364</v>
      </c>
      <c r="BO14" t="n">
        <v>252782284.295</v>
      </c>
      <c r="BP14" t="n">
        <v>245529668.075</v>
      </c>
      <c r="BQ14" t="n">
        <v>244946235.82</v>
      </c>
      <c r="BR14" t="n">
        <v>244177773.307</v>
      </c>
      <c r="BS14" t="n">
        <v>252387726.18</v>
      </c>
      <c r="BT14" t="n">
        <v>249582505.916</v>
      </c>
    </row>
    <row r="15">
      <c r="A15" t="inlineStr">
        <is>
          <t>EwE_TE_EE</t>
        </is>
      </c>
      <c r="B15" t="inlineStr">
        <is>
          <t>ok</t>
        </is>
      </c>
      <c r="C15" t="n">
        <v>21181533.61</v>
      </c>
      <c r="D15" t="n">
        <v>21180547.09</v>
      </c>
      <c r="E15" t="n">
        <v>21300524.465</v>
      </c>
      <c r="F15" t="n">
        <v>21600753.879</v>
      </c>
      <c r="G15" t="n">
        <v>24353450.876</v>
      </c>
      <c r="H15" t="n">
        <v>26943893.448</v>
      </c>
      <c r="I15" t="n">
        <v>27986996.954</v>
      </c>
      <c r="J15" t="n">
        <v>28939551.499</v>
      </c>
      <c r="K15" t="n">
        <v>32723974.168</v>
      </c>
      <c r="L15" t="n">
        <v>36345129.556</v>
      </c>
      <c r="M15" t="n">
        <v>41738793.267</v>
      </c>
      <c r="N15" t="n">
        <v>49395561.094</v>
      </c>
      <c r="O15" t="n">
        <v>57003627.261</v>
      </c>
      <c r="P15" t="n">
        <v>70574436.295</v>
      </c>
      <c r="Q15" t="n">
        <v>83219666.12899999</v>
      </c>
      <c r="R15" t="n">
        <v>108719445.849</v>
      </c>
      <c r="S15" t="n">
        <v>118154589.473</v>
      </c>
      <c r="T15" t="n">
        <v>132725217.366</v>
      </c>
      <c r="U15" t="n">
        <v>146977050.247</v>
      </c>
      <c r="V15" t="n">
        <v>164567655.596</v>
      </c>
      <c r="W15" t="n">
        <v>183895364.853</v>
      </c>
      <c r="X15" t="n">
        <v>198922048.194</v>
      </c>
      <c r="Y15" t="n">
        <v>236670029.27</v>
      </c>
      <c r="Z15" t="n">
        <v>229532501.243</v>
      </c>
      <c r="AA15" t="n">
        <v>206807813.969</v>
      </c>
      <c r="AB15" t="n">
        <v>196553587.25</v>
      </c>
      <c r="AC15" t="n">
        <v>197745542.756</v>
      </c>
      <c r="AD15" t="n">
        <v>233116880.854</v>
      </c>
      <c r="AE15" t="n">
        <v>234270454.759</v>
      </c>
      <c r="AF15" t="n">
        <v>208670804.43</v>
      </c>
      <c r="AG15" t="n">
        <v>207777600.165</v>
      </c>
      <c r="AH15" t="n">
        <v>218255644.844</v>
      </c>
      <c r="AI15" t="n">
        <v>223705199.256</v>
      </c>
      <c r="AJ15" t="n">
        <v>228270127.539</v>
      </c>
      <c r="AK15" t="n">
        <v>210284840.767</v>
      </c>
      <c r="AL15" t="n">
        <v>218628925.897</v>
      </c>
      <c r="AM15" t="n">
        <v>241115725.986</v>
      </c>
      <c r="AN15" t="n">
        <v>269732648.466</v>
      </c>
      <c r="AO15" t="n">
        <v>255367797.313</v>
      </c>
      <c r="AP15" t="n">
        <v>244258035.208</v>
      </c>
      <c r="AQ15" t="n">
        <v>253966787.878</v>
      </c>
      <c r="AR15" t="n">
        <v>236950381.794</v>
      </c>
      <c r="AS15" t="n">
        <v>252938900.476</v>
      </c>
      <c r="AT15" t="n">
        <v>256752863.779</v>
      </c>
      <c r="AU15" t="n">
        <v>266410606.702</v>
      </c>
      <c r="AV15" t="n">
        <v>263098452.485</v>
      </c>
      <c r="AW15" t="n">
        <v>251505074.122</v>
      </c>
      <c r="AX15" t="n">
        <v>246287220.539</v>
      </c>
      <c r="AY15" t="n">
        <v>250379042.44</v>
      </c>
      <c r="AZ15" t="n">
        <v>272135655.078</v>
      </c>
      <c r="BA15" t="n">
        <v>281194670.633</v>
      </c>
      <c r="BB15" t="n">
        <v>268494897.318</v>
      </c>
      <c r="BC15" t="n">
        <v>263940379.722</v>
      </c>
      <c r="BD15" t="n">
        <v>271009565.578</v>
      </c>
      <c r="BE15" t="n">
        <v>262491855.401</v>
      </c>
      <c r="BF15" t="n">
        <v>262566894.031</v>
      </c>
      <c r="BG15" t="n">
        <v>259340798.566</v>
      </c>
      <c r="BH15" t="n">
        <v>237439737.434</v>
      </c>
      <c r="BI15" t="n">
        <v>213832514.051</v>
      </c>
      <c r="BJ15" t="n">
        <v>216125701.534</v>
      </c>
      <c r="BK15" t="n">
        <v>217567571.717</v>
      </c>
      <c r="BL15" t="n">
        <v>224826503.885</v>
      </c>
      <c r="BM15" t="n">
        <v>234875857.058</v>
      </c>
      <c r="BN15" t="n">
        <v>247649760.519</v>
      </c>
      <c r="BO15" t="n">
        <v>238667065.608</v>
      </c>
      <c r="BP15" t="n">
        <v>231745357.8</v>
      </c>
      <c r="BQ15" t="n">
        <v>231067649.041</v>
      </c>
      <c r="BR15" t="n">
        <v>230350528.372</v>
      </c>
      <c r="BS15" t="n">
        <v>238210495.608</v>
      </c>
      <c r="BT15" t="n">
        <v>235336121.733</v>
      </c>
    </row>
    <row r="16">
      <c r="A16" t="inlineStr">
        <is>
          <t>SPPR_2015</t>
        </is>
      </c>
      <c r="B16" t="inlineStr">
        <is>
          <t>ok</t>
        </is>
      </c>
      <c r="C16" t="n">
        <v>59252830.283</v>
      </c>
      <c r="D16" t="n">
        <v>58481334.828</v>
      </c>
      <c r="E16" t="n">
        <v>58861524.12</v>
      </c>
      <c r="F16" t="n">
        <v>59826197.949</v>
      </c>
      <c r="G16" t="n">
        <v>67681880.461</v>
      </c>
      <c r="H16" t="n">
        <v>75230479.214</v>
      </c>
      <c r="I16" t="n">
        <v>78274137.16599999</v>
      </c>
      <c r="J16" t="n">
        <v>81311010.48800001</v>
      </c>
      <c r="K16" t="n">
        <v>92702734.47499999</v>
      </c>
      <c r="L16" t="n">
        <v>103715793.654</v>
      </c>
      <c r="M16" t="n">
        <v>121918394.135</v>
      </c>
      <c r="N16" t="n">
        <v>147157075.751</v>
      </c>
      <c r="O16" t="n">
        <v>172885396.928</v>
      </c>
      <c r="P16" t="n">
        <v>221368049.353</v>
      </c>
      <c r="Q16" t="n">
        <v>264369228.394</v>
      </c>
      <c r="R16" t="n">
        <v>353858771.039</v>
      </c>
      <c r="S16" t="n">
        <v>392013095.362</v>
      </c>
      <c r="T16" t="n">
        <v>449741832.275</v>
      </c>
      <c r="U16" t="n">
        <v>507590719.869</v>
      </c>
      <c r="V16" t="n">
        <v>581319922.78</v>
      </c>
      <c r="W16" t="n">
        <v>660329455.219</v>
      </c>
      <c r="X16" t="n">
        <v>713809605.368</v>
      </c>
      <c r="Y16" t="n">
        <v>860979618.069</v>
      </c>
      <c r="Z16" t="n">
        <v>830889615.513</v>
      </c>
      <c r="AA16" t="n">
        <v>745305534.447</v>
      </c>
      <c r="AB16" t="n">
        <v>705679084.799</v>
      </c>
      <c r="AC16" t="n">
        <v>702569614.073</v>
      </c>
      <c r="AD16" t="n">
        <v>820340097.207</v>
      </c>
      <c r="AE16" t="n">
        <v>829798266.161</v>
      </c>
      <c r="AF16" t="n">
        <v>739786223.425</v>
      </c>
      <c r="AG16" t="n">
        <v>729615133.355</v>
      </c>
      <c r="AH16" t="n">
        <v>757664684.257</v>
      </c>
      <c r="AI16" t="n">
        <v>781451411.2819999</v>
      </c>
      <c r="AJ16" t="n">
        <v>788128077.5779999</v>
      </c>
      <c r="AK16" t="n">
        <v>724272473.517</v>
      </c>
      <c r="AL16" t="n">
        <v>754248809.303</v>
      </c>
      <c r="AM16" t="n">
        <v>840703127.795</v>
      </c>
      <c r="AN16" t="n">
        <v>944563000.123</v>
      </c>
      <c r="AO16" t="n">
        <v>887250203.3200001</v>
      </c>
      <c r="AP16" t="n">
        <v>846233035.216</v>
      </c>
      <c r="AQ16" t="n">
        <v>881371529.146</v>
      </c>
      <c r="AR16" t="n">
        <v>822479521.126</v>
      </c>
      <c r="AS16" t="n">
        <v>875436179.863</v>
      </c>
      <c r="AT16" t="n">
        <v>896081892.011</v>
      </c>
      <c r="AU16" t="n">
        <v>932574461.579</v>
      </c>
      <c r="AV16" t="n">
        <v>921680844.499</v>
      </c>
      <c r="AW16" t="n">
        <v>879447326.097</v>
      </c>
      <c r="AX16" t="n">
        <v>861235268.1670001</v>
      </c>
      <c r="AY16" t="n">
        <v>872296938.536</v>
      </c>
      <c r="AZ16" t="n">
        <v>946273208.261</v>
      </c>
      <c r="BA16" t="n">
        <v>974608799.164</v>
      </c>
      <c r="BB16" t="n">
        <v>933773865.382</v>
      </c>
      <c r="BC16" t="n">
        <v>917648068.972</v>
      </c>
      <c r="BD16" t="n">
        <v>940099382.2589999</v>
      </c>
      <c r="BE16" t="n">
        <v>906889485.036</v>
      </c>
      <c r="BF16" t="n">
        <v>909432551.806</v>
      </c>
      <c r="BG16" t="n">
        <v>894672087.101</v>
      </c>
      <c r="BH16" t="n">
        <v>820749973.85</v>
      </c>
      <c r="BI16" t="n">
        <v>738883519.946</v>
      </c>
      <c r="BJ16" t="n">
        <v>751701546.914</v>
      </c>
      <c r="BK16" t="n">
        <v>753485293.59</v>
      </c>
      <c r="BL16" t="n">
        <v>775836376.852</v>
      </c>
      <c r="BM16" t="n">
        <v>813692068.4299999</v>
      </c>
      <c r="BN16" t="n">
        <v>858316669.656</v>
      </c>
      <c r="BO16" t="n">
        <v>825925139.097</v>
      </c>
      <c r="BP16" t="n">
        <v>802169568.8559999</v>
      </c>
      <c r="BQ16" t="n">
        <v>797289618.915</v>
      </c>
      <c r="BR16" t="n">
        <v>795868443.216</v>
      </c>
      <c r="BS16" t="n">
        <v>822624068.739</v>
      </c>
      <c r="BT16" t="n">
        <v>815001343.756</v>
      </c>
    </row>
    <row r="17">
      <c r="A17" t="inlineStr">
        <is>
          <t>new_TE_noEEfix</t>
        </is>
      </c>
      <c r="B17" t="inlineStr">
        <is>
          <t>ok</t>
        </is>
      </c>
      <c r="C17" t="n">
        <v>56022880.413</v>
      </c>
      <c r="D17" t="n">
        <v>55311345.69</v>
      </c>
      <c r="E17" t="n">
        <v>55674324.612</v>
      </c>
      <c r="F17" t="n">
        <v>56578523.658</v>
      </c>
      <c r="G17" t="n">
        <v>63998234.446</v>
      </c>
      <c r="H17" t="n">
        <v>71130109.00399999</v>
      </c>
      <c r="I17" t="n">
        <v>74005166.288</v>
      </c>
      <c r="J17" t="n">
        <v>76873238.57700001</v>
      </c>
      <c r="K17" t="n">
        <v>87624478.32799999</v>
      </c>
      <c r="L17" t="n">
        <v>98020008.15700001</v>
      </c>
      <c r="M17" t="n">
        <v>115156759.514</v>
      </c>
      <c r="N17" t="n">
        <v>138943361.269</v>
      </c>
      <c r="O17" t="n">
        <v>163183178.106</v>
      </c>
      <c r="P17" t="n">
        <v>208819218.829</v>
      </c>
      <c r="Q17" t="n">
        <v>249330551.526</v>
      </c>
      <c r="R17" t="n">
        <v>333599818.869</v>
      </c>
      <c r="S17" t="n">
        <v>369459641.98</v>
      </c>
      <c r="T17" t="n">
        <v>423716280.069</v>
      </c>
      <c r="U17" t="n">
        <v>478087501.906</v>
      </c>
      <c r="V17" t="n">
        <v>547352142.109</v>
      </c>
      <c r="W17" t="n">
        <v>621625820.545</v>
      </c>
      <c r="X17" t="n">
        <v>671972395.283</v>
      </c>
      <c r="Y17" t="n">
        <v>810283272.554</v>
      </c>
      <c r="Z17" t="n">
        <v>781972586.692</v>
      </c>
      <c r="AA17" t="n">
        <v>701467331.419</v>
      </c>
      <c r="AB17" t="n">
        <v>664196294.216</v>
      </c>
      <c r="AC17" t="n">
        <v>661408816.975</v>
      </c>
      <c r="AD17" t="n">
        <v>772368450.51</v>
      </c>
      <c r="AE17" t="n">
        <v>781197602.522</v>
      </c>
      <c r="AF17" t="n">
        <v>696451107.686</v>
      </c>
      <c r="AG17" t="n">
        <v>687001980.198</v>
      </c>
      <c r="AH17" t="n">
        <v>713558993.692</v>
      </c>
      <c r="AI17" t="n">
        <v>735864409.141</v>
      </c>
      <c r="AJ17" t="n">
        <v>742287430.449</v>
      </c>
      <c r="AK17" t="n">
        <v>682191737.399</v>
      </c>
      <c r="AL17" t="n">
        <v>710412256.308</v>
      </c>
      <c r="AM17" t="n">
        <v>791708007.101</v>
      </c>
      <c r="AN17" t="n">
        <v>889469167.035</v>
      </c>
      <c r="AO17" t="n">
        <v>835599691.511</v>
      </c>
      <c r="AP17" t="n">
        <v>796992502.97</v>
      </c>
      <c r="AQ17" t="n">
        <v>830086228.9220001</v>
      </c>
      <c r="AR17" t="n">
        <v>774588791.573</v>
      </c>
      <c r="AS17" t="n">
        <v>824518821.602</v>
      </c>
      <c r="AT17" t="n">
        <v>843838794.5650001</v>
      </c>
      <c r="AU17" t="n">
        <v>878156433.803</v>
      </c>
      <c r="AV17" t="n">
        <v>867867754.791</v>
      </c>
      <c r="AW17" t="n">
        <v>828107105.521</v>
      </c>
      <c r="AX17" t="n">
        <v>810944343.508</v>
      </c>
      <c r="AY17" t="n">
        <v>821432337.602</v>
      </c>
      <c r="AZ17" t="n">
        <v>891130023.482</v>
      </c>
      <c r="BA17" t="n">
        <v>917873743.398</v>
      </c>
      <c r="BB17" t="n">
        <v>879346818.403</v>
      </c>
      <c r="BC17" t="n">
        <v>864157548.498</v>
      </c>
      <c r="BD17" t="n">
        <v>885342163.466</v>
      </c>
      <c r="BE17" t="n">
        <v>854096373.5700001</v>
      </c>
      <c r="BF17" t="n">
        <v>856455513.3150001</v>
      </c>
      <c r="BG17" t="n">
        <v>842607458.9170001</v>
      </c>
      <c r="BH17" t="n">
        <v>772957596.344</v>
      </c>
      <c r="BI17" t="n">
        <v>695843350.701</v>
      </c>
      <c r="BJ17" t="n">
        <v>707831406.278</v>
      </c>
      <c r="BK17" t="n">
        <v>709555481.579</v>
      </c>
      <c r="BL17" t="n">
        <v>730674054.845</v>
      </c>
      <c r="BM17" t="n">
        <v>766291411.138</v>
      </c>
      <c r="BN17" t="n">
        <v>808319709.502</v>
      </c>
      <c r="BO17" t="n">
        <v>777824893.937</v>
      </c>
      <c r="BP17" t="n">
        <v>755447498.05</v>
      </c>
      <c r="BQ17" t="n">
        <v>750882526.1160001</v>
      </c>
      <c r="BR17" t="n">
        <v>749534020.284</v>
      </c>
      <c r="BS17" t="n">
        <v>774733338.943</v>
      </c>
      <c r="BT17" t="n">
        <v>767573510.273</v>
      </c>
    </row>
    <row r="18">
      <c r="A18" t="inlineStr">
        <is>
          <t>new_TE_EEfix</t>
        </is>
      </c>
      <c r="B18" t="inlineStr">
        <is>
          <t>ok</t>
        </is>
      </c>
      <c r="C18" t="n">
        <v>56022880.413</v>
      </c>
      <c r="D18" t="n">
        <v>55311345.69</v>
      </c>
      <c r="E18" t="n">
        <v>55674324.612</v>
      </c>
      <c r="F18" t="n">
        <v>56578523.658</v>
      </c>
      <c r="G18" t="n">
        <v>63998234.446</v>
      </c>
      <c r="H18" t="n">
        <v>71130109.00399999</v>
      </c>
      <c r="I18" t="n">
        <v>74005166.288</v>
      </c>
      <c r="J18" t="n">
        <v>76873238.57700001</v>
      </c>
      <c r="K18" t="n">
        <v>87624478.32799999</v>
      </c>
      <c r="L18" t="n">
        <v>98020008.15700001</v>
      </c>
      <c r="M18" t="n">
        <v>115156759.514</v>
      </c>
      <c r="N18" t="n">
        <v>138943361.269</v>
      </c>
      <c r="O18" t="n">
        <v>163183178.106</v>
      </c>
      <c r="P18" t="n">
        <v>208819218.829</v>
      </c>
      <c r="Q18" t="n">
        <v>249330551.526</v>
      </c>
      <c r="R18" t="n">
        <v>333599818.869</v>
      </c>
      <c r="S18" t="n">
        <v>369459641.98</v>
      </c>
      <c r="T18" t="n">
        <v>423716280.069</v>
      </c>
      <c r="U18" t="n">
        <v>478087501.906</v>
      </c>
      <c r="V18" t="n">
        <v>547352142.109</v>
      </c>
      <c r="W18" t="n">
        <v>621625820.545</v>
      </c>
      <c r="X18" t="n">
        <v>671972395.283</v>
      </c>
      <c r="Y18" t="n">
        <v>810283272.554</v>
      </c>
      <c r="Z18" t="n">
        <v>781972586.692</v>
      </c>
      <c r="AA18" t="n">
        <v>701467331.419</v>
      </c>
      <c r="AB18" t="n">
        <v>664196294.216</v>
      </c>
      <c r="AC18" t="n">
        <v>661408816.975</v>
      </c>
      <c r="AD18" t="n">
        <v>772368450.51</v>
      </c>
      <c r="AE18" t="n">
        <v>781197602.522</v>
      </c>
      <c r="AF18" t="n">
        <v>696451107.686</v>
      </c>
      <c r="AG18" t="n">
        <v>687001980.198</v>
      </c>
      <c r="AH18" t="n">
        <v>713558993.692</v>
      </c>
      <c r="AI18" t="n">
        <v>735864409.141</v>
      </c>
      <c r="AJ18" t="n">
        <v>742287430.449</v>
      </c>
      <c r="AK18" t="n">
        <v>682191737.399</v>
      </c>
      <c r="AL18" t="n">
        <v>710412256.308</v>
      </c>
      <c r="AM18" t="n">
        <v>791708007.101</v>
      </c>
      <c r="AN18" t="n">
        <v>889469167.035</v>
      </c>
      <c r="AO18" t="n">
        <v>835599691.511</v>
      </c>
      <c r="AP18" t="n">
        <v>796992502.97</v>
      </c>
      <c r="AQ18" t="n">
        <v>830086228.9220001</v>
      </c>
      <c r="AR18" t="n">
        <v>774588791.573</v>
      </c>
      <c r="AS18" t="n">
        <v>824518821.602</v>
      </c>
      <c r="AT18" t="n">
        <v>843838794.5650001</v>
      </c>
      <c r="AU18" t="n">
        <v>878156433.803</v>
      </c>
      <c r="AV18" t="n">
        <v>867867754.791</v>
      </c>
      <c r="AW18" t="n">
        <v>828107105.521</v>
      </c>
      <c r="AX18" t="n">
        <v>810944343.508</v>
      </c>
      <c r="AY18" t="n">
        <v>821432337.602</v>
      </c>
      <c r="AZ18" t="n">
        <v>891130023.482</v>
      </c>
      <c r="BA18" t="n">
        <v>917873743.398</v>
      </c>
      <c r="BB18" t="n">
        <v>879346818.403</v>
      </c>
      <c r="BC18" t="n">
        <v>864157548.498</v>
      </c>
      <c r="BD18" t="n">
        <v>885342163.466</v>
      </c>
      <c r="BE18" t="n">
        <v>854096373.5700001</v>
      </c>
      <c r="BF18" t="n">
        <v>856455513.3150001</v>
      </c>
      <c r="BG18" t="n">
        <v>842607458.9170001</v>
      </c>
      <c r="BH18" t="n">
        <v>772957596.344</v>
      </c>
      <c r="BI18" t="n">
        <v>695843350.701</v>
      </c>
      <c r="BJ18" t="n">
        <v>707831406.278</v>
      </c>
      <c r="BK18" t="n">
        <v>709555481.579</v>
      </c>
      <c r="BL18" t="n">
        <v>730674054.845</v>
      </c>
      <c r="BM18" t="n">
        <v>766291411.138</v>
      </c>
      <c r="BN18" t="n">
        <v>808319709.502</v>
      </c>
      <c r="BO18" t="n">
        <v>777824893.937</v>
      </c>
      <c r="BP18" t="n">
        <v>755447498.05</v>
      </c>
      <c r="BQ18" t="n">
        <v>750882526.1160001</v>
      </c>
      <c r="BR18" t="n">
        <v>749534020.284</v>
      </c>
      <c r="BS18" t="n">
        <v>774733338.943</v>
      </c>
      <c r="BT18" t="n">
        <v>767573510.273</v>
      </c>
    </row>
    <row r="19">
      <c r="A19" t="inlineStr">
        <is>
          <t>new_GE</t>
        </is>
      </c>
      <c r="B19" t="inlineStr">
        <is>
          <t>ok</t>
        </is>
      </c>
      <c r="C19" t="n">
        <v>14847669.982</v>
      </c>
      <c r="D19" t="n">
        <v>15052807.826</v>
      </c>
      <c r="E19" t="n">
        <v>15115552.746</v>
      </c>
      <c r="F19" t="n">
        <v>15289651.862</v>
      </c>
      <c r="G19" t="n">
        <v>17157908.331</v>
      </c>
      <c r="H19" t="n">
        <v>18887510.706</v>
      </c>
      <c r="I19" t="n">
        <v>19584038.465</v>
      </c>
      <c r="J19" t="n">
        <v>20174471.137</v>
      </c>
      <c r="K19" t="n">
        <v>22589808.433</v>
      </c>
      <c r="L19" t="n">
        <v>24864959.256</v>
      </c>
      <c r="M19" t="n">
        <v>27859137.265</v>
      </c>
      <c r="N19" t="n">
        <v>32239612.923</v>
      </c>
      <c r="O19" t="n">
        <v>36548714.448</v>
      </c>
      <c r="P19" t="n">
        <v>43670438.171</v>
      </c>
      <c r="Q19" t="n">
        <v>50757125.04</v>
      </c>
      <c r="R19" t="n">
        <v>64422902.096</v>
      </c>
      <c r="S19" t="n">
        <v>68453364.736</v>
      </c>
      <c r="T19" t="n">
        <v>74824214.631</v>
      </c>
      <c r="U19" t="n">
        <v>80872270.897</v>
      </c>
      <c r="V19" t="n">
        <v>87559403.77599999</v>
      </c>
      <c r="W19" t="n">
        <v>96657364.088</v>
      </c>
      <c r="X19" t="n">
        <v>104626076.946</v>
      </c>
      <c r="Y19" t="n">
        <v>121770461.494</v>
      </c>
      <c r="Z19" t="n">
        <v>120362164.271</v>
      </c>
      <c r="AA19" t="n">
        <v>108052082.738</v>
      </c>
      <c r="AB19" t="n">
        <v>103304779.442</v>
      </c>
      <c r="AC19" t="n">
        <v>106058053.858</v>
      </c>
      <c r="AD19" t="n">
        <v>128133551.609</v>
      </c>
      <c r="AE19" t="n">
        <v>127163005.413</v>
      </c>
      <c r="AF19" t="n">
        <v>112975635.659</v>
      </c>
      <c r="AG19" t="n">
        <v>112407047.01</v>
      </c>
      <c r="AH19" t="n">
        <v>120234648.623</v>
      </c>
      <c r="AI19" t="n">
        <v>122869648.717</v>
      </c>
      <c r="AJ19" t="n">
        <v>129978489.947</v>
      </c>
      <c r="AK19" t="n">
        <v>117243783.004</v>
      </c>
      <c r="AL19" t="n">
        <v>121499741.149</v>
      </c>
      <c r="AM19" t="n">
        <v>132140977.887</v>
      </c>
      <c r="AN19" t="n">
        <v>146629142.973</v>
      </c>
      <c r="AO19" t="n">
        <v>140262570.573</v>
      </c>
      <c r="AP19" t="n">
        <v>135087498.61</v>
      </c>
      <c r="AQ19" t="n">
        <v>139839034.528</v>
      </c>
      <c r="AR19" t="n">
        <v>131738429.678</v>
      </c>
      <c r="AS19" t="n">
        <v>142101926.582</v>
      </c>
      <c r="AT19" t="n">
        <v>140745753.67</v>
      </c>
      <c r="AU19" t="n">
        <v>147208949.124</v>
      </c>
      <c r="AV19" t="n">
        <v>144166678.405</v>
      </c>
      <c r="AW19" t="n">
        <v>138195877.977</v>
      </c>
      <c r="AX19" t="n">
        <v>135390686.963</v>
      </c>
      <c r="AY19" t="n">
        <v>139652853.889</v>
      </c>
      <c r="AZ19" t="n">
        <v>151802595.978</v>
      </c>
      <c r="BA19" t="n">
        <v>158922372.579</v>
      </c>
      <c r="BB19" t="n">
        <v>148992267.833</v>
      </c>
      <c r="BC19" t="n">
        <v>146197308.797</v>
      </c>
      <c r="BD19" t="n">
        <v>150111102.766</v>
      </c>
      <c r="BE19" t="n">
        <v>145725952.328</v>
      </c>
      <c r="BF19" t="n">
        <v>145499876.624</v>
      </c>
      <c r="BG19" t="n">
        <v>144363438.973</v>
      </c>
      <c r="BH19" t="n">
        <v>131836665.677</v>
      </c>
      <c r="BI19" t="n">
        <v>119619152.73</v>
      </c>
      <c r="BJ19" t="n">
        <v>119764113.288</v>
      </c>
      <c r="BK19" t="n">
        <v>121490876.07</v>
      </c>
      <c r="BL19" t="n">
        <v>126423927.22</v>
      </c>
      <c r="BM19" t="n">
        <v>131069045.285</v>
      </c>
      <c r="BN19" t="n">
        <v>138024501.605</v>
      </c>
      <c r="BO19" t="n">
        <v>133353741.287</v>
      </c>
      <c r="BP19" t="n">
        <v>129315520.364</v>
      </c>
      <c r="BQ19" t="n">
        <v>129894040.481</v>
      </c>
      <c r="BR19" t="n">
        <v>129025518.614</v>
      </c>
      <c r="BS19" t="n">
        <v>133306268.787</v>
      </c>
      <c r="BT19" t="n">
        <v>131384718.272</v>
      </c>
    </row>
    <row r="20">
      <c r="A20" t="inlineStr">
        <is>
          <t>new_WithEgestion</t>
        </is>
      </c>
      <c r="B20" t="inlineStr">
        <is>
          <t>ok</t>
        </is>
      </c>
      <c r="C20" t="n">
        <v>7378409.413</v>
      </c>
      <c r="D20" t="n">
        <v>7538332.516</v>
      </c>
      <c r="E20" t="n">
        <v>7575755.248</v>
      </c>
      <c r="F20" t="n">
        <v>7655078.668</v>
      </c>
      <c r="G20" t="n">
        <v>8532064.964</v>
      </c>
      <c r="H20" t="n">
        <v>9348060.762</v>
      </c>
      <c r="I20" t="n">
        <v>9685285.638</v>
      </c>
      <c r="J20" t="n">
        <v>10000206.131</v>
      </c>
      <c r="K20" t="n">
        <v>11047743.619</v>
      </c>
      <c r="L20" t="n">
        <v>12038703.128</v>
      </c>
      <c r="M20" t="n">
        <v>13360620.944</v>
      </c>
      <c r="N20" t="n">
        <v>15194173.178</v>
      </c>
      <c r="O20" t="n">
        <v>17210634.804</v>
      </c>
      <c r="P20" t="n">
        <v>20316115.049</v>
      </c>
      <c r="Q20" t="n">
        <v>23581251.721</v>
      </c>
      <c r="R20" t="n">
        <v>29886103.167</v>
      </c>
      <c r="S20" t="n">
        <v>31906402.917</v>
      </c>
      <c r="T20" t="n">
        <v>34801390.583</v>
      </c>
      <c r="U20" t="n">
        <v>37772458.927</v>
      </c>
      <c r="V20" t="n">
        <v>40787531.784</v>
      </c>
      <c r="W20" t="n">
        <v>45042734.034</v>
      </c>
      <c r="X20" t="n">
        <v>48697410.556</v>
      </c>
      <c r="Y20" t="n">
        <v>56002967.615</v>
      </c>
      <c r="Z20" t="n">
        <v>55693254.699</v>
      </c>
      <c r="AA20" t="n">
        <v>49875680.545</v>
      </c>
      <c r="AB20" t="n">
        <v>47753617.471</v>
      </c>
      <c r="AC20" t="n">
        <v>49188103.129</v>
      </c>
      <c r="AD20" t="n">
        <v>59931782.286</v>
      </c>
      <c r="AE20" t="n">
        <v>59145730.906</v>
      </c>
      <c r="AF20" t="n">
        <v>52641054.984</v>
      </c>
      <c r="AG20" t="n">
        <v>52110945.322</v>
      </c>
      <c r="AH20" t="n">
        <v>55851430.92</v>
      </c>
      <c r="AI20" t="n">
        <v>57114851.517</v>
      </c>
      <c r="AJ20" t="n">
        <v>60636124.139</v>
      </c>
      <c r="AK20" t="n">
        <v>54578917.627</v>
      </c>
      <c r="AL20" t="n">
        <v>56627767.576</v>
      </c>
      <c r="AM20" t="n">
        <v>61365801.263</v>
      </c>
      <c r="AN20" t="n">
        <v>68095301.69499999</v>
      </c>
      <c r="AO20" t="n">
        <v>65102134.34</v>
      </c>
      <c r="AP20" t="n">
        <v>62911143.603</v>
      </c>
      <c r="AQ20" t="n">
        <v>64660852.5</v>
      </c>
      <c r="AR20" t="n">
        <v>61186617.056</v>
      </c>
      <c r="AS20" t="n">
        <v>66296223.873</v>
      </c>
      <c r="AT20" t="n">
        <v>65245570.99</v>
      </c>
      <c r="AU20" t="n">
        <v>68347229.48999999</v>
      </c>
      <c r="AV20" t="n">
        <v>66956798.555</v>
      </c>
      <c r="AW20" t="n">
        <v>64335840.827</v>
      </c>
      <c r="AX20" t="n">
        <v>62954995.54</v>
      </c>
      <c r="AY20" t="n">
        <v>65101774.717</v>
      </c>
      <c r="AZ20" t="n">
        <v>70566594.985</v>
      </c>
      <c r="BA20" t="n">
        <v>73964632.70200001</v>
      </c>
      <c r="BB20" t="n">
        <v>68977992.544</v>
      </c>
      <c r="BC20" t="n">
        <v>67546872.87199999</v>
      </c>
      <c r="BD20" t="n">
        <v>69325655.081</v>
      </c>
      <c r="BE20" t="n">
        <v>67202770.87899999</v>
      </c>
      <c r="BF20" t="n">
        <v>67214683.28200001</v>
      </c>
      <c r="BG20" t="n">
        <v>66713158.583</v>
      </c>
      <c r="BH20" t="n">
        <v>60918409.811</v>
      </c>
      <c r="BI20" t="n">
        <v>55884868.501</v>
      </c>
      <c r="BJ20" t="n">
        <v>55511423.407</v>
      </c>
      <c r="BK20" t="n">
        <v>56336559.024</v>
      </c>
      <c r="BL20" t="n">
        <v>58708659.428</v>
      </c>
      <c r="BM20" t="n">
        <v>60583603.581</v>
      </c>
      <c r="BN20" t="n">
        <v>63760734.079</v>
      </c>
      <c r="BO20" t="n">
        <v>61773045.579</v>
      </c>
      <c r="BP20" t="n">
        <v>59590048.364</v>
      </c>
      <c r="BQ20" t="n">
        <v>59901145.904</v>
      </c>
      <c r="BR20" t="n">
        <v>59364469.611</v>
      </c>
      <c r="BS20" t="n">
        <v>61457521.003</v>
      </c>
      <c r="BT20" t="n">
        <v>60736969.967</v>
      </c>
    </row>
    <row r="21">
      <c r="A21" s="18" t="inlineStr">
        <is>
          <t>sym_TE_asPP</t>
        </is>
      </c>
      <c r="B21" s="9" t="inlineStr">
        <is>
          <t>did not resolve for any mapped group</t>
        </is>
      </c>
    </row>
    <row r="22">
      <c r="A22" s="18" t="inlineStr">
        <is>
          <t>sym_TE_asDC</t>
        </is>
      </c>
      <c r="B22" s="9" t="inlineStr">
        <is>
          <t>did not resolve for any mapped group</t>
        </is>
      </c>
    </row>
    <row r="23">
      <c r="A23" s="18" t="inlineStr">
        <is>
          <t>sym_GE_asPP</t>
        </is>
      </c>
      <c r="B23" s="9" t="inlineStr">
        <is>
          <t>did not resolve for any mapped group</t>
        </is>
      </c>
    </row>
    <row r="24">
      <c r="A24" s="18" t="inlineStr">
        <is>
          <t>sym_GE_asDC</t>
        </is>
      </c>
      <c r="B24" s="9" t="inlineStr">
        <is>
          <t>did not resolve for any mapped group</t>
        </is>
      </c>
    </row>
    <row r="25">
      <c r="A25" s="18" t="inlineStr">
        <is>
          <t>sym_WithEgestion_asPP</t>
        </is>
      </c>
      <c r="B25" s="9" t="inlineStr">
        <is>
          <t>did not resolve for any mapped group</t>
        </is>
      </c>
    </row>
    <row r="26">
      <c r="A26" s="18" t="inlineStr">
        <is>
          <t>sym_WithEgestion_asDC</t>
        </is>
      </c>
      <c r="B26" s="9" t="inlineStr">
        <is>
          <t>did not resolve for any mapped group</t>
        </is>
      </c>
    </row>
    <row r="27">
      <c r="A27" t="inlineStr">
        <is>
          <t>MC_new_GE</t>
        </is>
      </c>
      <c r="B27" t="inlineStr">
        <is>
          <t>ok</t>
        </is>
      </c>
      <c r="C27" t="n">
        <v>15359112.492</v>
      </c>
      <c r="D27" t="n">
        <v>15573310.512</v>
      </c>
      <c r="E27" t="n">
        <v>15634437.474</v>
      </c>
      <c r="F27" t="n">
        <v>15814488.071</v>
      </c>
      <c r="G27" t="n">
        <v>17750856.373</v>
      </c>
      <c r="H27" t="n">
        <v>19539692.885</v>
      </c>
      <c r="I27" t="n">
        <v>20259726.059</v>
      </c>
      <c r="J27" t="n">
        <v>20869213.96</v>
      </c>
      <c r="K27" t="n">
        <v>23378578.792</v>
      </c>
      <c r="L27" t="n">
        <v>25738616.952</v>
      </c>
      <c r="M27" t="n">
        <v>28831973.187</v>
      </c>
      <c r="N27" t="n">
        <v>33360804.303</v>
      </c>
      <c r="O27" t="n">
        <v>37797161.716</v>
      </c>
      <c r="P27" t="n">
        <v>45126284.093</v>
      </c>
      <c r="Q27" t="n">
        <v>52423869.546</v>
      </c>
      <c r="R27" t="n">
        <v>66471822.819</v>
      </c>
      <c r="S27" t="n">
        <v>70538078.98</v>
      </c>
      <c r="T27" t="n">
        <v>77010328.15899999</v>
      </c>
      <c r="U27" t="n">
        <v>83122446.837</v>
      </c>
      <c r="V27" t="n">
        <v>89867233.838</v>
      </c>
      <c r="W27" t="n">
        <v>99078374.36399999</v>
      </c>
      <c r="X27" t="n">
        <v>107254289.193</v>
      </c>
      <c r="Y27" t="n">
        <v>124765588.696</v>
      </c>
      <c r="Z27" t="n">
        <v>123346269.278</v>
      </c>
      <c r="AA27" t="n">
        <v>110778608.933</v>
      </c>
      <c r="AB27" t="n">
        <v>105929277.552</v>
      </c>
      <c r="AC27" t="n">
        <v>108796736.172</v>
      </c>
      <c r="AD27" t="n">
        <v>131467577.376</v>
      </c>
      <c r="AE27" t="n">
        <v>130456389.218</v>
      </c>
      <c r="AF27" t="n">
        <v>115906420.29</v>
      </c>
      <c r="AG27" t="n">
        <v>115408469.6</v>
      </c>
      <c r="AH27" t="n">
        <v>123532478.602</v>
      </c>
      <c r="AI27" t="n">
        <v>126182234.226</v>
      </c>
      <c r="AJ27" t="n">
        <v>133577406.047</v>
      </c>
      <c r="AK27" t="n">
        <v>120516869.492</v>
      </c>
      <c r="AL27" t="n">
        <v>124877670.768</v>
      </c>
      <c r="AM27" t="n">
        <v>135735935.02</v>
      </c>
      <c r="AN27" t="n">
        <v>150565459.857</v>
      </c>
      <c r="AO27" t="n">
        <v>144117823.838</v>
      </c>
      <c r="AP27" t="n">
        <v>138802967.779</v>
      </c>
      <c r="AQ27" t="n">
        <v>143731681.25</v>
      </c>
      <c r="AR27" t="n">
        <v>135365243.087</v>
      </c>
      <c r="AS27" t="n">
        <v>146015684.41</v>
      </c>
      <c r="AT27" t="n">
        <v>144578465.388</v>
      </c>
      <c r="AU27" t="n">
        <v>151174245.893</v>
      </c>
      <c r="AV27" t="n">
        <v>148033150.131</v>
      </c>
      <c r="AW27" t="n">
        <v>141897797.577</v>
      </c>
      <c r="AX27" t="n">
        <v>139027428.601</v>
      </c>
      <c r="AY27" t="n">
        <v>143420566.76</v>
      </c>
      <c r="AZ27" t="n">
        <v>155954728.33</v>
      </c>
      <c r="BA27" t="n">
        <v>163289767.755</v>
      </c>
      <c r="BB27" t="n">
        <v>153076770.6</v>
      </c>
      <c r="BC27" t="n">
        <v>150221370.533</v>
      </c>
      <c r="BD27" t="n">
        <v>154272389.691</v>
      </c>
      <c r="BE27" t="n">
        <v>149821956.877</v>
      </c>
      <c r="BF27" t="n">
        <v>149547154.878</v>
      </c>
      <c r="BG27" t="n">
        <v>148423746.424</v>
      </c>
      <c r="BH27" t="n">
        <v>135521591.205</v>
      </c>
      <c r="BI27" t="n">
        <v>122868561.185</v>
      </c>
      <c r="BJ27" t="n">
        <v>123016218.791</v>
      </c>
      <c r="BK27" t="n">
        <v>124805212.951</v>
      </c>
      <c r="BL27" t="n">
        <v>129886792.778</v>
      </c>
      <c r="BM27" t="n">
        <v>134675972.997</v>
      </c>
      <c r="BN27" t="n">
        <v>141824169.338</v>
      </c>
      <c r="BO27" t="n">
        <v>137019576.172</v>
      </c>
      <c r="BP27" t="n">
        <v>132901480.794</v>
      </c>
      <c r="BQ27" t="n">
        <v>133508504.586</v>
      </c>
      <c r="BR27" t="n">
        <v>132622784.226</v>
      </c>
      <c r="BS27" t="n">
        <v>137010573.398</v>
      </c>
      <c r="BT27" t="n">
        <v>135005826.073</v>
      </c>
    </row>
    <row r="28">
      <c r="A28" t="inlineStr">
        <is>
          <t>MC_new_TE_EEfix</t>
        </is>
      </c>
      <c r="B28" t="inlineStr">
        <is>
          <t>ok</t>
        </is>
      </c>
      <c r="C28" t="n">
        <v>62046131.382</v>
      </c>
      <c r="D28" t="n">
        <v>61176616.978</v>
      </c>
      <c r="E28" t="n">
        <v>61586031.712</v>
      </c>
      <c r="F28" t="n">
        <v>62599894.856</v>
      </c>
      <c r="G28" t="n">
        <v>70815218.505</v>
      </c>
      <c r="H28" t="n">
        <v>78720756.288</v>
      </c>
      <c r="I28" t="n">
        <v>81911726.70299999</v>
      </c>
      <c r="J28" t="n">
        <v>85107598.315</v>
      </c>
      <c r="K28" t="n">
        <v>97110351.354</v>
      </c>
      <c r="L28" t="n">
        <v>108720396.782</v>
      </c>
      <c r="M28" t="n">
        <v>127954261.943</v>
      </c>
      <c r="N28" t="n">
        <v>154651469.959</v>
      </c>
      <c r="O28" t="n">
        <v>181799778.562</v>
      </c>
      <c r="P28" t="n">
        <v>233079516.114</v>
      </c>
      <c r="Q28" t="n">
        <v>278512598.786</v>
      </c>
      <c r="R28" t="n">
        <v>373167680.737</v>
      </c>
      <c r="S28" t="n">
        <v>413653075.239</v>
      </c>
      <c r="T28" t="n">
        <v>474919544.644</v>
      </c>
      <c r="U28" t="n">
        <v>536300317.777</v>
      </c>
      <c r="V28" t="n">
        <v>614767968.035</v>
      </c>
      <c r="W28" t="n">
        <v>698168399.1849999</v>
      </c>
      <c r="X28" t="n">
        <v>754697265.473</v>
      </c>
      <c r="Y28" t="n">
        <v>910596721.941</v>
      </c>
      <c r="Z28" t="n">
        <v>878570097.105</v>
      </c>
      <c r="AA28" t="n">
        <v>787702913.5779999</v>
      </c>
      <c r="AB28" t="n">
        <v>745699732.862</v>
      </c>
      <c r="AC28" t="n">
        <v>742188394.002</v>
      </c>
      <c r="AD28" t="n">
        <v>865913790.825</v>
      </c>
      <c r="AE28" t="n">
        <v>876257435.864</v>
      </c>
      <c r="AF28" t="n">
        <v>781498947.859</v>
      </c>
      <c r="AG28" t="n">
        <v>770415548.469</v>
      </c>
      <c r="AH28" t="n">
        <v>799604749.0039999</v>
      </c>
      <c r="AI28" t="n">
        <v>824439902.261</v>
      </c>
      <c r="AJ28" t="n">
        <v>830999949.14</v>
      </c>
      <c r="AK28" t="n">
        <v>763587374.61</v>
      </c>
      <c r="AL28" t="n">
        <v>795364361.0190001</v>
      </c>
      <c r="AM28" t="n">
        <v>887050035.4680001</v>
      </c>
      <c r="AN28" t="n">
        <v>997007426.057</v>
      </c>
      <c r="AO28" t="n">
        <v>936283853.386</v>
      </c>
      <c r="AP28" t="n">
        <v>892532191.415</v>
      </c>
      <c r="AQ28" t="n">
        <v>929902535.872</v>
      </c>
      <c r="AR28" t="n">
        <v>867480038.87</v>
      </c>
      <c r="AS28" t="n">
        <v>923492910.112</v>
      </c>
      <c r="AT28" t="n">
        <v>945828348.1950001</v>
      </c>
      <c r="AU28" t="n">
        <v>984372971.633</v>
      </c>
      <c r="AV28" t="n">
        <v>972739087.253</v>
      </c>
      <c r="AW28" t="n">
        <v>928061351.6390001</v>
      </c>
      <c r="AX28" t="n">
        <v>908812942.818</v>
      </c>
      <c r="AY28" t="n">
        <v>920073080.858</v>
      </c>
      <c r="AZ28" t="n">
        <v>998464899.2539999</v>
      </c>
      <c r="BA28" t="n">
        <v>1027819879.462</v>
      </c>
      <c r="BB28" t="n">
        <v>984881083.214</v>
      </c>
      <c r="BC28" t="n">
        <v>967867203.552</v>
      </c>
      <c r="BD28" t="n">
        <v>991451356.11</v>
      </c>
      <c r="BE28" t="n">
        <v>956740360.735</v>
      </c>
      <c r="BF28" t="n">
        <v>959412414.592</v>
      </c>
      <c r="BG28" t="n">
        <v>943564640.955</v>
      </c>
      <c r="BH28" t="n">
        <v>865736576.571</v>
      </c>
      <c r="BI28" t="n">
        <v>778474249.681</v>
      </c>
      <c r="BJ28" t="n">
        <v>792455872.416</v>
      </c>
      <c r="BK28" t="n">
        <v>793974201.066</v>
      </c>
      <c r="BL28" t="n">
        <v>817200278.319</v>
      </c>
      <c r="BM28" t="n">
        <v>857563081.592</v>
      </c>
      <c r="BN28" t="n">
        <v>904691228.013</v>
      </c>
      <c r="BO28" t="n">
        <v>870495903.577</v>
      </c>
      <c r="BP28" t="n">
        <v>845629620.285</v>
      </c>
      <c r="BQ28" t="n">
        <v>839986753.591</v>
      </c>
      <c r="BR28" t="n">
        <v>838705315.985</v>
      </c>
      <c r="BS28" t="n">
        <v>867029340.53</v>
      </c>
      <c r="BT28" t="n">
        <v>859108626.881</v>
      </c>
    </row>
    <row r="29">
      <c r="A29" s="18" t="inlineStr">
        <is>
          <t>SPPR_1995_TEmean_catch</t>
        </is>
      </c>
      <c r="B29" s="9" t="inlineStr">
        <is>
          <t>did not resolve for any mapped group</t>
        </is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10912211.314</v>
      </c>
      <c r="D30" t="n">
        <v>11075944.467</v>
      </c>
      <c r="E30" t="n">
        <v>11129226.395</v>
      </c>
      <c r="F30" t="n">
        <v>11250606.99</v>
      </c>
      <c r="G30" t="n">
        <v>12623392.769</v>
      </c>
      <c r="H30" t="n">
        <v>13900554.849</v>
      </c>
      <c r="I30" t="n">
        <v>14410882.433</v>
      </c>
      <c r="J30" t="n">
        <v>14834579.479</v>
      </c>
      <c r="K30" t="n">
        <v>16519636.103</v>
      </c>
      <c r="L30" t="n">
        <v>18123568.985</v>
      </c>
      <c r="M30" t="n">
        <v>20219179.453</v>
      </c>
      <c r="N30" t="n">
        <v>23160678.965</v>
      </c>
      <c r="O30" t="n">
        <v>26154590.42</v>
      </c>
      <c r="P30" t="n">
        <v>30964612.019</v>
      </c>
      <c r="Q30" t="n">
        <v>35768433.104</v>
      </c>
      <c r="R30" t="n">
        <v>44992931.246</v>
      </c>
      <c r="S30" t="n">
        <v>47688652.47</v>
      </c>
      <c r="T30" t="n">
        <v>51797794.938</v>
      </c>
      <c r="U30" t="n">
        <v>55770479.601</v>
      </c>
      <c r="V30" t="n">
        <v>59833465.225</v>
      </c>
      <c r="W30" t="n">
        <v>65657333.69</v>
      </c>
      <c r="X30" t="n">
        <v>71023091.583</v>
      </c>
      <c r="Y30" t="n">
        <v>81630728.618</v>
      </c>
      <c r="Z30" t="n">
        <v>81185941.31200001</v>
      </c>
      <c r="AA30" t="n">
        <v>73079444.097</v>
      </c>
      <c r="AB30" t="n">
        <v>69983135.016</v>
      </c>
      <c r="AC30" t="n">
        <v>72732764.027</v>
      </c>
      <c r="AD30" t="n">
        <v>88467593.15099999</v>
      </c>
      <c r="AE30" t="n">
        <v>87339798.42399999</v>
      </c>
      <c r="AF30" t="n">
        <v>77077879.58</v>
      </c>
      <c r="AG30" t="n">
        <v>77276576.609</v>
      </c>
      <c r="AH30" t="n">
        <v>83175816.831</v>
      </c>
      <c r="AI30" t="n">
        <v>84503414.84199999</v>
      </c>
      <c r="AJ30" t="n">
        <v>89883018.139</v>
      </c>
      <c r="AK30" t="n">
        <v>80823590.94400001</v>
      </c>
      <c r="AL30" t="n">
        <v>83878914.123</v>
      </c>
      <c r="AM30" t="n">
        <v>90732410.28300001</v>
      </c>
      <c r="AN30" t="n">
        <v>100730011.163</v>
      </c>
      <c r="AO30" t="n">
        <v>96624333.23999999</v>
      </c>
      <c r="AP30" t="n">
        <v>93058212.108</v>
      </c>
      <c r="AQ30" t="n">
        <v>96314024.095</v>
      </c>
      <c r="AR30" t="n">
        <v>90982645.919</v>
      </c>
      <c r="AS30" t="n">
        <v>98560910.266</v>
      </c>
      <c r="AT30" t="n">
        <v>97209148.54700001</v>
      </c>
      <c r="AU30" t="n">
        <v>101508760.972</v>
      </c>
      <c r="AV30" t="n">
        <v>99132317.76100001</v>
      </c>
      <c r="AW30" t="n">
        <v>95409687.712</v>
      </c>
      <c r="AX30" t="n">
        <v>93332008.368</v>
      </c>
      <c r="AY30" t="n">
        <v>96585661.818</v>
      </c>
      <c r="AZ30" t="n">
        <v>104841236.041</v>
      </c>
      <c r="BA30" t="n">
        <v>109997097.195</v>
      </c>
      <c r="BB30" t="n">
        <v>102689203.669</v>
      </c>
      <c r="BC30" t="n">
        <v>100540613.701</v>
      </c>
      <c r="BD30" t="n">
        <v>103315961.187</v>
      </c>
      <c r="BE30" t="n">
        <v>100648957.138</v>
      </c>
      <c r="BF30" t="n">
        <v>99815350.897</v>
      </c>
      <c r="BG30" t="n">
        <v>99171864.02599999</v>
      </c>
      <c r="BH30" t="n">
        <v>90510654.141</v>
      </c>
      <c r="BI30" t="n">
        <v>81799827.866</v>
      </c>
      <c r="BJ30" t="n">
        <v>81789418.499</v>
      </c>
      <c r="BK30" t="n">
        <v>83180827.927</v>
      </c>
      <c r="BL30" t="n">
        <v>86541986.60699999</v>
      </c>
      <c r="BM30" t="n">
        <v>89577922.434</v>
      </c>
      <c r="BN30" t="n">
        <v>94288980.823</v>
      </c>
      <c r="BO30" t="n">
        <v>91229653.192</v>
      </c>
      <c r="BP30" t="n">
        <v>88522223.235</v>
      </c>
      <c r="BQ30" t="n">
        <v>89143859.53399999</v>
      </c>
      <c r="BR30" t="n">
        <v>88406528.45900001</v>
      </c>
      <c r="BS30" t="n">
        <v>91533307.513</v>
      </c>
      <c r="BT30" t="n">
        <v>90261822.82700001</v>
      </c>
    </row>
    <row r="32">
      <c r="A32" t="inlineStr">
        <is>
          <t>Catch tonnage on a named group: 151,940,826 of 151,964,195 (100.0 %). Unresolved taxa contribute nothing to the model rows and everything to the simple row, so the two are not directly comparable until coverage is 100 %.</t>
        </is>
      </c>
    </row>
    <row r="33">
      <c r="A33" s="18" t="inlineStr">
        <is>
          <t>10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99.98999999999999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99.95</v>
      </c>
      <c r="AH35" t="n">
        <v>99.93000000000001</v>
      </c>
      <c r="AI35" t="n">
        <v>99.95999999999999</v>
      </c>
      <c r="AJ35" t="n">
        <v>99.95</v>
      </c>
      <c r="AK35" t="n">
        <v>99.95</v>
      </c>
      <c r="AL35" t="n">
        <v>99.98999999999999</v>
      </c>
      <c r="AM35" t="n">
        <v>99.98999999999999</v>
      </c>
      <c r="AN35" t="n">
        <v>99.98999999999999</v>
      </c>
      <c r="AO35" t="n">
        <v>99.98999999999999</v>
      </c>
      <c r="AP35" t="n">
        <v>99.98999999999999</v>
      </c>
      <c r="AQ35" t="n">
        <v>99.98999999999999</v>
      </c>
      <c r="AR35" t="n">
        <v>99.98999999999999</v>
      </c>
      <c r="AS35" t="n">
        <v>99.98999999999999</v>
      </c>
      <c r="AT35" t="n">
        <v>99.98999999999999</v>
      </c>
      <c r="AU35" t="n">
        <v>99.98999999999999</v>
      </c>
      <c r="AV35" t="n">
        <v>99.98</v>
      </c>
      <c r="AW35" t="n">
        <v>99.98</v>
      </c>
      <c r="AX35" t="n">
        <v>99.97</v>
      </c>
      <c r="AY35" t="n">
        <v>99.98</v>
      </c>
      <c r="AZ35" t="n">
        <v>99.98</v>
      </c>
      <c r="BA35" t="n">
        <v>99.98999999999999</v>
      </c>
      <c r="BB35" t="n">
        <v>99.98999999999999</v>
      </c>
      <c r="BC35" t="n">
        <v>99.98999999999999</v>
      </c>
      <c r="BD35" t="n">
        <v>99.98999999999999</v>
      </c>
      <c r="BE35" t="n">
        <v>99.98999999999999</v>
      </c>
      <c r="BF35" t="n">
        <v>99.98</v>
      </c>
      <c r="BG35" t="n">
        <v>99.98</v>
      </c>
      <c r="BH35" t="n">
        <v>99.98</v>
      </c>
      <c r="BI35" t="n">
        <v>99.98</v>
      </c>
      <c r="BJ35" t="n">
        <v>99.98</v>
      </c>
      <c r="BK35" t="n">
        <v>99.98</v>
      </c>
      <c r="BL35" t="n">
        <v>99.98</v>
      </c>
      <c r="BM35" t="n">
        <v>99.97</v>
      </c>
      <c r="BN35" t="n">
        <v>99.97</v>
      </c>
      <c r="BO35" t="n">
        <v>99.97</v>
      </c>
      <c r="BP35" t="n">
        <v>99.97</v>
      </c>
      <c r="BQ35" t="n">
        <v>99.97</v>
      </c>
      <c r="BR35" t="n">
        <v>99.98</v>
      </c>
      <c r="BS35" t="n">
        <v>99.98</v>
      </c>
      <c r="BT35" t="n">
        <v>99.98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35_412_Gulf_of_Thailande_(1963)</t>
        </is>
      </c>
      <c r="B5" t="inlineStr">
        <is>
          <t>GE</t>
        </is>
      </c>
      <c r="C5" s="21" t="n">
        <v>0.2712203663435123</v>
      </c>
      <c r="D5" s="21" t="n">
        <v>0.24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"Gulf_of_Thailande (1963)", "would_pool": false}</t>
        </is>
      </c>
    </row>
    <row r="6">
      <c r="A6" t="inlineStr">
        <is>
          <t>35_412_Gulf_of_Thailande_(1963)</t>
        </is>
      </c>
      <c r="B6" t="inlineStr">
        <is>
          <t>TE</t>
        </is>
      </c>
      <c r="C6" s="21" t="n">
        <v>0</v>
      </c>
      <c r="D6" s="21" t="n">
        <v>0.6142385860404651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"Gulf_of_Thailande (1963)", "would_pool": false}</t>
        </is>
      </c>
    </row>
    <row r="7">
      <c r="A7" t="inlineStr">
        <is>
          <t>35_412_Gulf_of_Thailande_(1963)</t>
        </is>
      </c>
      <c r="B7" t="inlineStr">
        <is>
          <t>With Egestion</t>
        </is>
      </c>
      <c r="C7" s="21" t="n">
        <v>0.2984439309247964</v>
      </c>
      <c r="D7" s="21" t="n">
        <v>0.192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"Gulf_of_Thailande (1963)",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  <c r="X6" s="4" t="inlineStr">
        <is>
          <t>SPPR_1995_TEmean_catch</t>
        </is>
      </c>
      <c r="Y6" s="4" t="inlineStr">
        <is>
          <t>Ulanowicz_globalTEmean_catch</t>
        </is>
      </c>
    </row>
    <row r="7">
      <c r="A7" s="2" t="inlineStr">
        <is>
          <t>ALL TAXA</t>
        </is>
      </c>
      <c r="C7" s="2">
        <f>SUM(C8:C254)</f>
        <v/>
      </c>
      <c r="D7" s="2">
        <f>IF(COUNT(D8:D254)=0,"",SUM(D8:D254))</f>
        <v/>
      </c>
      <c r="E7" s="2">
        <f>IF(COUNT(E8:E254)=0,"",SUM(E8:E254))</f>
        <v/>
      </c>
      <c r="F7" s="2">
        <f>IF(COUNT(F8:F254)=0,"",SUM(F8:F254))</f>
        <v/>
      </c>
      <c r="G7" s="2">
        <f>IF(COUNT(G8:G254)=0,"",SUM(G8:G254))</f>
        <v/>
      </c>
      <c r="H7" s="2">
        <f>IF(COUNT(H8:H254)=0,"",SUM(H8:H254))</f>
        <v/>
      </c>
      <c r="I7" s="2">
        <f>IF(COUNT(I8:I254)=0,"",SUM(I8:I254))</f>
        <v/>
      </c>
      <c r="J7" s="2">
        <f>IF(COUNT(J8:J254)=0,"",SUM(J8:J254))</f>
        <v/>
      </c>
      <c r="K7" s="2">
        <f>IF(COUNT(K8:K254)=0,"",SUM(K8:K254))</f>
        <v/>
      </c>
      <c r="L7" s="2">
        <f>IF(COUNT(L8:L254)=0,"",SUM(L8:L254))</f>
        <v/>
      </c>
      <c r="M7" s="2">
        <f>IF(COUNT(M8:M254)=0,"",SUM(M8:M254))</f>
        <v/>
      </c>
      <c r="N7" s="2">
        <f>IF(COUNT(N8:N254)=0,"",SUM(N8:N254))</f>
        <v/>
      </c>
      <c r="O7" s="2">
        <f>IF(COUNT(O8:O254)=0,"",SUM(O8:O254))</f>
        <v/>
      </c>
      <c r="P7" s="2">
        <f>IF(COUNT(P8:P254)=0,"",SUM(P8:P254))</f>
        <v/>
      </c>
      <c r="Q7" s="2">
        <f>IF(COUNT(Q8:Q254)=0,"",SUM(Q8:Q254))</f>
        <v/>
      </c>
      <c r="R7" s="2">
        <f>IF(COUNT(R8:R254)=0,"",SUM(R8:R254))</f>
        <v/>
      </c>
      <c r="S7" s="2">
        <f>IF(COUNT(S8:S254)=0,"",SUM(S8:S254))</f>
        <v/>
      </c>
      <c r="T7" s="2">
        <f>IF(COUNT(T8:T254)=0,"",SUM(T8:T254))</f>
        <v/>
      </c>
      <c r="U7" s="2">
        <f>IF(COUNT(U8:U254)=0,"",SUM(U8:U254))</f>
        <v/>
      </c>
      <c r="V7" s="2">
        <f>IF(COUNT(V8:V254)=0,"",SUM(V8:V254))</f>
        <v/>
      </c>
      <c r="W7" s="2">
        <f>IF(COUNT(W8:W254)=0,"",SUM(W8:W254))</f>
        <v/>
      </c>
      <c r="X7" s="2">
        <f>IF(COUNT(X8:X254)=0,"",SUM(X8:X254))</f>
        <v/>
      </c>
      <c r="Y7" s="2">
        <f>IF(COUNT(Y8:Y254)=0,"",SUM(Y8:Y254))</f>
        <v/>
      </c>
    </row>
    <row r="8">
      <c r="A8" t="inlineStr">
        <is>
          <t>Nemipteridae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IFERROR(IF(ISNUMBER(INDEX(SPPR!$E:$Z,MATCH($A8,SPPR!$A:$A,0),1)),$C8*INDEX(SPPR!$E:$Z,MATCH($A8,SPPR!$A:$A,0),1),""),"")</f>
        <v/>
      </c>
      <c r="E8">
        <f>IFERROR(IF(ISNUMBER(INDEX(SPPR!$E:$Z,MATCH($A8,SPPR!$A:$A,0),2)),$C8*INDEX(SPPR!$E:$Z,MATCH($A8,SPPR!$A:$A,0),2),""),"")</f>
        <v/>
      </c>
      <c r="F8">
        <f>IFERROR(IF(ISNUMBER(INDEX(SPPR!$E:$Z,MATCH($A8,SPPR!$A:$A,0),3)),$C8*INDEX(SPPR!$E:$Z,MATCH($A8,SPPR!$A:$A,0),3),""),"")</f>
        <v/>
      </c>
      <c r="G8">
        <f>IFERROR(IF(ISNUMBER(INDEX(SPPR!$E:$Z,MATCH($A8,SPPR!$A:$A,0),4)),$C8*INDEX(SPPR!$E:$Z,MATCH($A8,SPPR!$A:$A,0),4),""),"")</f>
        <v/>
      </c>
      <c r="H8">
        <f>IFERROR(IF(ISNUMBER(INDEX(SPPR!$E:$Z,MATCH($A8,SPPR!$A:$A,0),5)),$C8*INDEX(SPPR!$E:$Z,MATCH($A8,SPPR!$A:$A,0),5),""),"")</f>
        <v/>
      </c>
      <c r="I8">
        <f>IFERROR(IF(ISNUMBER(INDEX(SPPR!$E:$Z,MATCH($A8,SPPR!$A:$A,0),6)),$C8*INDEX(SPPR!$E:$Z,MATCH($A8,SPPR!$A:$A,0),6),""),"")</f>
        <v/>
      </c>
      <c r="J8">
        <f>IFERROR(IF(ISNUMBER(INDEX(SPPR!$E:$Z,MATCH($A8,SPPR!$A:$A,0),7)),$C8*INDEX(SPPR!$E:$Z,MATCH($A8,SPPR!$A:$A,0),7),""),"")</f>
        <v/>
      </c>
      <c r="K8">
        <f>IFERROR(IF(ISNUMBER(INDEX(SPPR!$E:$Z,MATCH($A8,SPPR!$A:$A,0),8)),$C8*INDEX(SPPR!$E:$Z,MATCH($A8,SPPR!$A:$A,0),8),""),"")</f>
        <v/>
      </c>
      <c r="L8">
        <f>IFERROR(IF(ISNUMBER(INDEX(SPPR!$E:$Z,MATCH($A8,SPPR!$A:$A,0),9)),$C8*INDEX(SPPR!$E:$Z,MATCH($A8,SPPR!$A:$A,0),9),""),"")</f>
        <v/>
      </c>
      <c r="M8">
        <f>IFERROR(IF(ISNUMBER(INDEX(SPPR!$E:$Z,MATCH($A8,SPPR!$A:$A,0),10)),$C8*INDEX(SPPR!$E:$Z,MATCH($A8,SPPR!$A:$A,0),10),""),"")</f>
        <v/>
      </c>
      <c r="N8">
        <f>IFERROR(IF(ISNUMBER(INDEX(SPPR!$E:$Z,MATCH($A8,SPPR!$A:$A,0),11)),$C8*INDEX(SPPR!$E:$Z,MATCH($A8,SPPR!$A:$A,0),11),""),"")</f>
        <v/>
      </c>
      <c r="O8">
        <f>IFERROR(IF(ISNUMBER(INDEX(SPPR!$E:$Z,MATCH($A8,SPPR!$A:$A,0),12)),$C8*INDEX(SPPR!$E:$Z,MATCH($A8,SPPR!$A:$A,0),12),""),"")</f>
        <v/>
      </c>
      <c r="P8">
        <f>IFERROR(IF(ISNUMBER(INDEX(SPPR!$E:$Z,MATCH($A8,SPPR!$A:$A,0),13)),$C8*INDEX(SPPR!$E:$Z,MATCH($A8,SPPR!$A:$A,0),13),""),"")</f>
        <v/>
      </c>
      <c r="Q8">
        <f>IFERROR(IF(ISNUMBER(INDEX(SPPR!$E:$Z,MATCH($A8,SPPR!$A:$A,0),14)),$C8*INDEX(SPPR!$E:$Z,MATCH($A8,SPPR!$A:$A,0),14),""),"")</f>
        <v/>
      </c>
      <c r="R8">
        <f>IFERROR(IF(ISNUMBER(INDEX(SPPR!$E:$Z,MATCH($A8,SPPR!$A:$A,0),15)),$C8*INDEX(SPPR!$E:$Z,MATCH($A8,SPPR!$A:$A,0),15),""),"")</f>
        <v/>
      </c>
      <c r="S8">
        <f>IFERROR(IF(ISNUMBER(INDEX(SPPR!$E:$Z,MATCH($A8,SPPR!$A:$A,0),16)),$C8*INDEX(SPPR!$E:$Z,MATCH($A8,SPPR!$A:$A,0),16),""),"")</f>
        <v/>
      </c>
      <c r="T8">
        <f>IFERROR(IF(ISNUMBER(INDEX(SPPR!$E:$Z,MATCH($A8,SPPR!$A:$A,0),17)),$C8*INDEX(SPPR!$E:$Z,MATCH($A8,SPPR!$A:$A,0),17),""),"")</f>
        <v/>
      </c>
      <c r="U8">
        <f>IFERROR(IF(ISNUMBER(INDEX(SPPR!$E:$Z,MATCH($A8,SPPR!$A:$A,0),18)),$C8*INDEX(SPPR!$E:$Z,MATCH($A8,SPPR!$A:$A,0),18),""),"")</f>
        <v/>
      </c>
      <c r="V8">
        <f>IFERROR(IF(ISNUMBER(INDEX(SPPR!$E:$Z,MATCH($A8,SPPR!$A:$A,0),19)),$C8*INDEX(SPPR!$E:$Z,MATCH($A8,SPPR!$A:$A,0),19),""),"")</f>
        <v/>
      </c>
      <c r="W8">
        <f>IFERROR(IF(ISNUMBER(INDEX(SPPR!$E:$Z,MATCH($A8,SPPR!$A:$A,0),20)),$C8*INDEX(SPPR!$E:$Z,MATCH($A8,SPPR!$A:$A,0),20),""),"")</f>
        <v/>
      </c>
      <c r="X8">
        <f>IFERROR(IF(ISNUMBER(INDEX(SPPR!$E:$Z,MATCH($A8,SPPR!$A:$A,0),21)),$C8*INDEX(SPPR!$E:$Z,MATCH($A8,SPPR!$A:$A,0),21),""),"")</f>
        <v/>
      </c>
      <c r="Y8">
        <f>IFERROR(IF(ISNUMBER(INDEX(SPPR!$E:$Z,MATCH($A8,SPPR!$A:$A,0),22)),$C8*INDEX(SPPR!$E:$Z,MATCH($A8,SPPR!$A:$A,0),22),""),"")</f>
        <v/>
      </c>
    </row>
    <row r="9">
      <c r="A9" t="inlineStr">
        <is>
          <t>Synodontidae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IFERROR(IF(ISNUMBER(INDEX(SPPR!$E:$Z,MATCH($A9,SPPR!$A:$A,0),1)),$C9*INDEX(SPPR!$E:$Z,MATCH($A9,SPPR!$A:$A,0),1),""),"")</f>
        <v/>
      </c>
      <c r="E9">
        <f>IFERROR(IF(ISNUMBER(INDEX(SPPR!$E:$Z,MATCH($A9,SPPR!$A:$A,0),2)),$C9*INDEX(SPPR!$E:$Z,MATCH($A9,SPPR!$A:$A,0),2),""),"")</f>
        <v/>
      </c>
      <c r="F9">
        <f>IFERROR(IF(ISNUMBER(INDEX(SPPR!$E:$Z,MATCH($A9,SPPR!$A:$A,0),3)),$C9*INDEX(SPPR!$E:$Z,MATCH($A9,SPPR!$A:$A,0),3),""),"")</f>
        <v/>
      </c>
      <c r="G9">
        <f>IFERROR(IF(ISNUMBER(INDEX(SPPR!$E:$Z,MATCH($A9,SPPR!$A:$A,0),4)),$C9*INDEX(SPPR!$E:$Z,MATCH($A9,SPPR!$A:$A,0),4),""),"")</f>
        <v/>
      </c>
      <c r="H9">
        <f>IFERROR(IF(ISNUMBER(INDEX(SPPR!$E:$Z,MATCH($A9,SPPR!$A:$A,0),5)),$C9*INDEX(SPPR!$E:$Z,MATCH($A9,SPPR!$A:$A,0),5),""),"")</f>
        <v/>
      </c>
      <c r="I9">
        <f>IFERROR(IF(ISNUMBER(INDEX(SPPR!$E:$Z,MATCH($A9,SPPR!$A:$A,0),6)),$C9*INDEX(SPPR!$E:$Z,MATCH($A9,SPPR!$A:$A,0),6),""),"")</f>
        <v/>
      </c>
      <c r="J9">
        <f>IFERROR(IF(ISNUMBER(INDEX(SPPR!$E:$Z,MATCH($A9,SPPR!$A:$A,0),7)),$C9*INDEX(SPPR!$E:$Z,MATCH($A9,SPPR!$A:$A,0),7),""),"")</f>
        <v/>
      </c>
      <c r="K9">
        <f>IFERROR(IF(ISNUMBER(INDEX(SPPR!$E:$Z,MATCH($A9,SPPR!$A:$A,0),8)),$C9*INDEX(SPPR!$E:$Z,MATCH($A9,SPPR!$A:$A,0),8),""),"")</f>
        <v/>
      </c>
      <c r="L9">
        <f>IFERROR(IF(ISNUMBER(INDEX(SPPR!$E:$Z,MATCH($A9,SPPR!$A:$A,0),9)),$C9*INDEX(SPPR!$E:$Z,MATCH($A9,SPPR!$A:$A,0),9),""),"")</f>
        <v/>
      </c>
      <c r="M9">
        <f>IFERROR(IF(ISNUMBER(INDEX(SPPR!$E:$Z,MATCH($A9,SPPR!$A:$A,0),10)),$C9*INDEX(SPPR!$E:$Z,MATCH($A9,SPPR!$A:$A,0),10),""),"")</f>
        <v/>
      </c>
      <c r="N9">
        <f>IFERROR(IF(ISNUMBER(INDEX(SPPR!$E:$Z,MATCH($A9,SPPR!$A:$A,0),11)),$C9*INDEX(SPPR!$E:$Z,MATCH($A9,SPPR!$A:$A,0),11),""),"")</f>
        <v/>
      </c>
      <c r="O9">
        <f>IFERROR(IF(ISNUMBER(INDEX(SPPR!$E:$Z,MATCH($A9,SPPR!$A:$A,0),12)),$C9*INDEX(SPPR!$E:$Z,MATCH($A9,SPPR!$A:$A,0),12),""),"")</f>
        <v/>
      </c>
      <c r="P9">
        <f>IFERROR(IF(ISNUMBER(INDEX(SPPR!$E:$Z,MATCH($A9,SPPR!$A:$A,0),13)),$C9*INDEX(SPPR!$E:$Z,MATCH($A9,SPPR!$A:$A,0),13),""),"")</f>
        <v/>
      </c>
      <c r="Q9">
        <f>IFERROR(IF(ISNUMBER(INDEX(SPPR!$E:$Z,MATCH($A9,SPPR!$A:$A,0),14)),$C9*INDEX(SPPR!$E:$Z,MATCH($A9,SPPR!$A:$A,0),14),""),"")</f>
        <v/>
      </c>
      <c r="R9">
        <f>IFERROR(IF(ISNUMBER(INDEX(SPPR!$E:$Z,MATCH($A9,SPPR!$A:$A,0),15)),$C9*INDEX(SPPR!$E:$Z,MATCH($A9,SPPR!$A:$A,0),15),""),"")</f>
        <v/>
      </c>
      <c r="S9">
        <f>IFERROR(IF(ISNUMBER(INDEX(SPPR!$E:$Z,MATCH($A9,SPPR!$A:$A,0),16)),$C9*INDEX(SPPR!$E:$Z,MATCH($A9,SPPR!$A:$A,0),16),""),"")</f>
        <v/>
      </c>
      <c r="T9">
        <f>IFERROR(IF(ISNUMBER(INDEX(SPPR!$E:$Z,MATCH($A9,SPPR!$A:$A,0),17)),$C9*INDEX(SPPR!$E:$Z,MATCH($A9,SPPR!$A:$A,0),17),""),"")</f>
        <v/>
      </c>
      <c r="U9">
        <f>IFERROR(IF(ISNUMBER(INDEX(SPPR!$E:$Z,MATCH($A9,SPPR!$A:$A,0),18)),$C9*INDEX(SPPR!$E:$Z,MATCH($A9,SPPR!$A:$A,0),18),""),"")</f>
        <v/>
      </c>
      <c r="V9">
        <f>IFERROR(IF(ISNUMBER(INDEX(SPPR!$E:$Z,MATCH($A9,SPPR!$A:$A,0),19)),$C9*INDEX(SPPR!$E:$Z,MATCH($A9,SPPR!$A:$A,0),19),""),"")</f>
        <v/>
      </c>
      <c r="W9">
        <f>IFERROR(IF(ISNUMBER(INDEX(SPPR!$E:$Z,MATCH($A9,SPPR!$A:$A,0),20)),$C9*INDEX(SPPR!$E:$Z,MATCH($A9,SPPR!$A:$A,0),20),""),"")</f>
        <v/>
      </c>
      <c r="X9">
        <f>IFERROR(IF(ISNUMBER(INDEX(SPPR!$E:$Z,MATCH($A9,SPPR!$A:$A,0),21)),$C9*INDEX(SPPR!$E:$Z,MATCH($A9,SPPR!$A:$A,0),21),""),"")</f>
        <v/>
      </c>
      <c r="Y9">
        <f>IFERROR(IF(ISNUMBER(INDEX(SPPR!$E:$Z,MATCH($A9,SPPR!$A:$A,0),22)),$C9*INDEX(SPPR!$E:$Z,MATCH($A9,SPPR!$A:$A,0),22),""),"")</f>
        <v/>
      </c>
    </row>
    <row r="10">
      <c r="A10" t="inlineStr">
        <is>
          <t>Leiognathidae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IFERROR(IF(ISNUMBER(INDEX(SPPR!$E:$Z,MATCH($A10,SPPR!$A:$A,0),1)),$C10*INDEX(SPPR!$E:$Z,MATCH($A10,SPPR!$A:$A,0),1),""),"")</f>
        <v/>
      </c>
      <c r="E10">
        <f>IFERROR(IF(ISNUMBER(INDEX(SPPR!$E:$Z,MATCH($A10,SPPR!$A:$A,0),2)),$C10*INDEX(SPPR!$E:$Z,MATCH($A10,SPPR!$A:$A,0),2),""),"")</f>
        <v/>
      </c>
      <c r="F10">
        <f>IFERROR(IF(ISNUMBER(INDEX(SPPR!$E:$Z,MATCH($A10,SPPR!$A:$A,0),3)),$C10*INDEX(SPPR!$E:$Z,MATCH($A10,SPPR!$A:$A,0),3),""),"")</f>
        <v/>
      </c>
      <c r="G10">
        <f>IFERROR(IF(ISNUMBER(INDEX(SPPR!$E:$Z,MATCH($A10,SPPR!$A:$A,0),4)),$C10*INDEX(SPPR!$E:$Z,MATCH($A10,SPPR!$A:$A,0),4),""),"")</f>
        <v/>
      </c>
      <c r="H10">
        <f>IFERROR(IF(ISNUMBER(INDEX(SPPR!$E:$Z,MATCH($A10,SPPR!$A:$A,0),5)),$C10*INDEX(SPPR!$E:$Z,MATCH($A10,SPPR!$A:$A,0),5),""),"")</f>
        <v/>
      </c>
      <c r="I10">
        <f>IFERROR(IF(ISNUMBER(INDEX(SPPR!$E:$Z,MATCH($A10,SPPR!$A:$A,0),6)),$C10*INDEX(SPPR!$E:$Z,MATCH($A10,SPPR!$A:$A,0),6),""),"")</f>
        <v/>
      </c>
      <c r="J10">
        <f>IFERROR(IF(ISNUMBER(INDEX(SPPR!$E:$Z,MATCH($A10,SPPR!$A:$A,0),7)),$C10*INDEX(SPPR!$E:$Z,MATCH($A10,SPPR!$A:$A,0),7),""),"")</f>
        <v/>
      </c>
      <c r="K10">
        <f>IFERROR(IF(ISNUMBER(INDEX(SPPR!$E:$Z,MATCH($A10,SPPR!$A:$A,0),8)),$C10*INDEX(SPPR!$E:$Z,MATCH($A10,SPPR!$A:$A,0),8),""),"")</f>
        <v/>
      </c>
      <c r="L10">
        <f>IFERROR(IF(ISNUMBER(INDEX(SPPR!$E:$Z,MATCH($A10,SPPR!$A:$A,0),9)),$C10*INDEX(SPPR!$E:$Z,MATCH($A10,SPPR!$A:$A,0),9),""),"")</f>
        <v/>
      </c>
      <c r="M10">
        <f>IFERROR(IF(ISNUMBER(INDEX(SPPR!$E:$Z,MATCH($A10,SPPR!$A:$A,0),10)),$C10*INDEX(SPPR!$E:$Z,MATCH($A10,SPPR!$A:$A,0),10),""),"")</f>
        <v/>
      </c>
      <c r="N10">
        <f>IFERROR(IF(ISNUMBER(INDEX(SPPR!$E:$Z,MATCH($A10,SPPR!$A:$A,0),11)),$C10*INDEX(SPPR!$E:$Z,MATCH($A10,SPPR!$A:$A,0),11),""),"")</f>
        <v/>
      </c>
      <c r="O10">
        <f>IFERROR(IF(ISNUMBER(INDEX(SPPR!$E:$Z,MATCH($A10,SPPR!$A:$A,0),12)),$C10*INDEX(SPPR!$E:$Z,MATCH($A10,SPPR!$A:$A,0),12),""),"")</f>
        <v/>
      </c>
      <c r="P10">
        <f>IFERROR(IF(ISNUMBER(INDEX(SPPR!$E:$Z,MATCH($A10,SPPR!$A:$A,0),13)),$C10*INDEX(SPPR!$E:$Z,MATCH($A10,SPPR!$A:$A,0),13),""),"")</f>
        <v/>
      </c>
      <c r="Q10">
        <f>IFERROR(IF(ISNUMBER(INDEX(SPPR!$E:$Z,MATCH($A10,SPPR!$A:$A,0),14)),$C10*INDEX(SPPR!$E:$Z,MATCH($A10,SPPR!$A:$A,0),14),""),"")</f>
        <v/>
      </c>
      <c r="R10">
        <f>IFERROR(IF(ISNUMBER(INDEX(SPPR!$E:$Z,MATCH($A10,SPPR!$A:$A,0),15)),$C10*INDEX(SPPR!$E:$Z,MATCH($A10,SPPR!$A:$A,0),15),""),"")</f>
        <v/>
      </c>
      <c r="S10">
        <f>IFERROR(IF(ISNUMBER(INDEX(SPPR!$E:$Z,MATCH($A10,SPPR!$A:$A,0),16)),$C10*INDEX(SPPR!$E:$Z,MATCH($A10,SPPR!$A:$A,0),16),""),"")</f>
        <v/>
      </c>
      <c r="T10">
        <f>IFERROR(IF(ISNUMBER(INDEX(SPPR!$E:$Z,MATCH($A10,SPPR!$A:$A,0),17)),$C10*INDEX(SPPR!$E:$Z,MATCH($A10,SPPR!$A:$A,0),17),""),"")</f>
        <v/>
      </c>
      <c r="U10">
        <f>IFERROR(IF(ISNUMBER(INDEX(SPPR!$E:$Z,MATCH($A10,SPPR!$A:$A,0),18)),$C10*INDEX(SPPR!$E:$Z,MATCH($A10,SPPR!$A:$A,0),18),""),"")</f>
        <v/>
      </c>
      <c r="V10">
        <f>IFERROR(IF(ISNUMBER(INDEX(SPPR!$E:$Z,MATCH($A10,SPPR!$A:$A,0),19)),$C10*INDEX(SPPR!$E:$Z,MATCH($A10,SPPR!$A:$A,0),19),""),"")</f>
        <v/>
      </c>
      <c r="W10">
        <f>IFERROR(IF(ISNUMBER(INDEX(SPPR!$E:$Z,MATCH($A10,SPPR!$A:$A,0),20)),$C10*INDEX(SPPR!$E:$Z,MATCH($A10,SPPR!$A:$A,0),20),""),"")</f>
        <v/>
      </c>
      <c r="X10">
        <f>IFERROR(IF(ISNUMBER(INDEX(SPPR!$E:$Z,MATCH($A10,SPPR!$A:$A,0),21)),$C10*INDEX(SPPR!$E:$Z,MATCH($A10,SPPR!$A:$A,0),21),""),"")</f>
        <v/>
      </c>
      <c r="Y10">
        <f>IFERROR(IF(ISNUMBER(INDEX(SPPR!$E:$Z,MATCH($A10,SPPR!$A:$A,0),22)),$C10*INDEX(SPPR!$E:$Z,MATCH($A10,SPPR!$A:$A,0),22),""),"")</f>
        <v/>
      </c>
    </row>
    <row r="11">
      <c r="A11" t="inlineStr">
        <is>
          <t>Rastrelliger kanagurta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IFERROR(IF(ISNUMBER(INDEX(SPPR!$E:$Z,MATCH($A11,SPPR!$A:$A,0),1)),$C11*INDEX(SPPR!$E:$Z,MATCH($A11,SPPR!$A:$A,0),1),""),"")</f>
        <v/>
      </c>
      <c r="E11">
        <f>IFERROR(IF(ISNUMBER(INDEX(SPPR!$E:$Z,MATCH($A11,SPPR!$A:$A,0),2)),$C11*INDEX(SPPR!$E:$Z,MATCH($A11,SPPR!$A:$A,0),2),""),"")</f>
        <v/>
      </c>
      <c r="F11">
        <f>IFERROR(IF(ISNUMBER(INDEX(SPPR!$E:$Z,MATCH($A11,SPPR!$A:$A,0),3)),$C11*INDEX(SPPR!$E:$Z,MATCH($A11,SPPR!$A:$A,0),3),""),"")</f>
        <v/>
      </c>
      <c r="G11">
        <f>IFERROR(IF(ISNUMBER(INDEX(SPPR!$E:$Z,MATCH($A11,SPPR!$A:$A,0),4)),$C11*INDEX(SPPR!$E:$Z,MATCH($A11,SPPR!$A:$A,0),4),""),"")</f>
        <v/>
      </c>
      <c r="H11">
        <f>IFERROR(IF(ISNUMBER(INDEX(SPPR!$E:$Z,MATCH($A11,SPPR!$A:$A,0),5)),$C11*INDEX(SPPR!$E:$Z,MATCH($A11,SPPR!$A:$A,0),5),""),"")</f>
        <v/>
      </c>
      <c r="I11">
        <f>IFERROR(IF(ISNUMBER(INDEX(SPPR!$E:$Z,MATCH($A11,SPPR!$A:$A,0),6)),$C11*INDEX(SPPR!$E:$Z,MATCH($A11,SPPR!$A:$A,0),6),""),"")</f>
        <v/>
      </c>
      <c r="J11">
        <f>IFERROR(IF(ISNUMBER(INDEX(SPPR!$E:$Z,MATCH($A11,SPPR!$A:$A,0),7)),$C11*INDEX(SPPR!$E:$Z,MATCH($A11,SPPR!$A:$A,0),7),""),"")</f>
        <v/>
      </c>
      <c r="K11">
        <f>IFERROR(IF(ISNUMBER(INDEX(SPPR!$E:$Z,MATCH($A11,SPPR!$A:$A,0),8)),$C11*INDEX(SPPR!$E:$Z,MATCH($A11,SPPR!$A:$A,0),8),""),"")</f>
        <v/>
      </c>
      <c r="L11">
        <f>IFERROR(IF(ISNUMBER(INDEX(SPPR!$E:$Z,MATCH($A11,SPPR!$A:$A,0),9)),$C11*INDEX(SPPR!$E:$Z,MATCH($A11,SPPR!$A:$A,0),9),""),"")</f>
        <v/>
      </c>
      <c r="M11">
        <f>IFERROR(IF(ISNUMBER(INDEX(SPPR!$E:$Z,MATCH($A11,SPPR!$A:$A,0),10)),$C11*INDEX(SPPR!$E:$Z,MATCH($A11,SPPR!$A:$A,0),10),""),"")</f>
        <v/>
      </c>
      <c r="N11">
        <f>IFERROR(IF(ISNUMBER(INDEX(SPPR!$E:$Z,MATCH($A11,SPPR!$A:$A,0),11)),$C11*INDEX(SPPR!$E:$Z,MATCH($A11,SPPR!$A:$A,0),11),""),"")</f>
        <v/>
      </c>
      <c r="O11">
        <f>IFERROR(IF(ISNUMBER(INDEX(SPPR!$E:$Z,MATCH($A11,SPPR!$A:$A,0),12)),$C11*INDEX(SPPR!$E:$Z,MATCH($A11,SPPR!$A:$A,0),12),""),"")</f>
        <v/>
      </c>
      <c r="P11">
        <f>IFERROR(IF(ISNUMBER(INDEX(SPPR!$E:$Z,MATCH($A11,SPPR!$A:$A,0),13)),$C11*INDEX(SPPR!$E:$Z,MATCH($A11,SPPR!$A:$A,0),13),""),"")</f>
        <v/>
      </c>
      <c r="Q11">
        <f>IFERROR(IF(ISNUMBER(INDEX(SPPR!$E:$Z,MATCH($A11,SPPR!$A:$A,0),14)),$C11*INDEX(SPPR!$E:$Z,MATCH($A11,SPPR!$A:$A,0),14),""),"")</f>
        <v/>
      </c>
      <c r="R11">
        <f>IFERROR(IF(ISNUMBER(INDEX(SPPR!$E:$Z,MATCH($A11,SPPR!$A:$A,0),15)),$C11*INDEX(SPPR!$E:$Z,MATCH($A11,SPPR!$A:$A,0),15),""),"")</f>
        <v/>
      </c>
      <c r="S11">
        <f>IFERROR(IF(ISNUMBER(INDEX(SPPR!$E:$Z,MATCH($A11,SPPR!$A:$A,0),16)),$C11*INDEX(SPPR!$E:$Z,MATCH($A11,SPPR!$A:$A,0),16),""),"")</f>
        <v/>
      </c>
      <c r="T11">
        <f>IFERROR(IF(ISNUMBER(INDEX(SPPR!$E:$Z,MATCH($A11,SPPR!$A:$A,0),17)),$C11*INDEX(SPPR!$E:$Z,MATCH($A11,SPPR!$A:$A,0),17),""),"")</f>
        <v/>
      </c>
      <c r="U11">
        <f>IFERROR(IF(ISNUMBER(INDEX(SPPR!$E:$Z,MATCH($A11,SPPR!$A:$A,0),18)),$C11*INDEX(SPPR!$E:$Z,MATCH($A11,SPPR!$A:$A,0),18),""),"")</f>
        <v/>
      </c>
      <c r="V11">
        <f>IFERROR(IF(ISNUMBER(INDEX(SPPR!$E:$Z,MATCH($A11,SPPR!$A:$A,0),19)),$C11*INDEX(SPPR!$E:$Z,MATCH($A11,SPPR!$A:$A,0),19),""),"")</f>
        <v/>
      </c>
      <c r="W11">
        <f>IFERROR(IF(ISNUMBER(INDEX(SPPR!$E:$Z,MATCH($A11,SPPR!$A:$A,0),20)),$C11*INDEX(SPPR!$E:$Z,MATCH($A11,SPPR!$A:$A,0),20),""),"")</f>
        <v/>
      </c>
      <c r="X11">
        <f>IFERROR(IF(ISNUMBER(INDEX(SPPR!$E:$Z,MATCH($A11,SPPR!$A:$A,0),21)),$C11*INDEX(SPPR!$E:$Z,MATCH($A11,SPPR!$A:$A,0),21),""),"")</f>
        <v/>
      </c>
      <c r="Y11">
        <f>IFERROR(IF(ISNUMBER(INDEX(SPPR!$E:$Z,MATCH($A11,SPPR!$A:$A,0),22)),$C11*INDEX(SPPR!$E:$Z,MATCH($A11,SPPR!$A:$A,0),22),""),"")</f>
        <v/>
      </c>
    </row>
    <row r="12">
      <c r="A12" t="inlineStr">
        <is>
          <t>Carangidae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IFERROR(IF(ISNUMBER(INDEX(SPPR!$E:$Z,MATCH($A12,SPPR!$A:$A,0),1)),$C12*INDEX(SPPR!$E:$Z,MATCH($A12,SPPR!$A:$A,0),1),""),"")</f>
        <v/>
      </c>
      <c r="E12">
        <f>IFERROR(IF(ISNUMBER(INDEX(SPPR!$E:$Z,MATCH($A12,SPPR!$A:$A,0),2)),$C12*INDEX(SPPR!$E:$Z,MATCH($A12,SPPR!$A:$A,0),2),""),"")</f>
        <v/>
      </c>
      <c r="F12">
        <f>IFERROR(IF(ISNUMBER(INDEX(SPPR!$E:$Z,MATCH($A12,SPPR!$A:$A,0),3)),$C12*INDEX(SPPR!$E:$Z,MATCH($A12,SPPR!$A:$A,0),3),""),"")</f>
        <v/>
      </c>
      <c r="G12">
        <f>IFERROR(IF(ISNUMBER(INDEX(SPPR!$E:$Z,MATCH($A12,SPPR!$A:$A,0),4)),$C12*INDEX(SPPR!$E:$Z,MATCH($A12,SPPR!$A:$A,0),4),""),"")</f>
        <v/>
      </c>
      <c r="H12">
        <f>IFERROR(IF(ISNUMBER(INDEX(SPPR!$E:$Z,MATCH($A12,SPPR!$A:$A,0),5)),$C12*INDEX(SPPR!$E:$Z,MATCH($A12,SPPR!$A:$A,0),5),""),"")</f>
        <v/>
      </c>
      <c r="I12">
        <f>IFERROR(IF(ISNUMBER(INDEX(SPPR!$E:$Z,MATCH($A12,SPPR!$A:$A,0),6)),$C12*INDEX(SPPR!$E:$Z,MATCH($A12,SPPR!$A:$A,0),6),""),"")</f>
        <v/>
      </c>
      <c r="J12">
        <f>IFERROR(IF(ISNUMBER(INDEX(SPPR!$E:$Z,MATCH($A12,SPPR!$A:$A,0),7)),$C12*INDEX(SPPR!$E:$Z,MATCH($A12,SPPR!$A:$A,0),7),""),"")</f>
        <v/>
      </c>
      <c r="K12">
        <f>IFERROR(IF(ISNUMBER(INDEX(SPPR!$E:$Z,MATCH($A12,SPPR!$A:$A,0),8)),$C12*INDEX(SPPR!$E:$Z,MATCH($A12,SPPR!$A:$A,0),8),""),"")</f>
        <v/>
      </c>
      <c r="L12">
        <f>IFERROR(IF(ISNUMBER(INDEX(SPPR!$E:$Z,MATCH($A12,SPPR!$A:$A,0),9)),$C12*INDEX(SPPR!$E:$Z,MATCH($A12,SPPR!$A:$A,0),9),""),"")</f>
        <v/>
      </c>
      <c r="M12">
        <f>IFERROR(IF(ISNUMBER(INDEX(SPPR!$E:$Z,MATCH($A12,SPPR!$A:$A,0),10)),$C12*INDEX(SPPR!$E:$Z,MATCH($A12,SPPR!$A:$A,0),10),""),"")</f>
        <v/>
      </c>
      <c r="N12">
        <f>IFERROR(IF(ISNUMBER(INDEX(SPPR!$E:$Z,MATCH($A12,SPPR!$A:$A,0),11)),$C12*INDEX(SPPR!$E:$Z,MATCH($A12,SPPR!$A:$A,0),11),""),"")</f>
        <v/>
      </c>
      <c r="O12">
        <f>IFERROR(IF(ISNUMBER(INDEX(SPPR!$E:$Z,MATCH($A12,SPPR!$A:$A,0),12)),$C12*INDEX(SPPR!$E:$Z,MATCH($A12,SPPR!$A:$A,0),12),""),"")</f>
        <v/>
      </c>
      <c r="P12">
        <f>IFERROR(IF(ISNUMBER(INDEX(SPPR!$E:$Z,MATCH($A12,SPPR!$A:$A,0),13)),$C12*INDEX(SPPR!$E:$Z,MATCH($A12,SPPR!$A:$A,0),13),""),"")</f>
        <v/>
      </c>
      <c r="Q12">
        <f>IFERROR(IF(ISNUMBER(INDEX(SPPR!$E:$Z,MATCH($A12,SPPR!$A:$A,0),14)),$C12*INDEX(SPPR!$E:$Z,MATCH($A12,SPPR!$A:$A,0),14),""),"")</f>
        <v/>
      </c>
      <c r="R12">
        <f>IFERROR(IF(ISNUMBER(INDEX(SPPR!$E:$Z,MATCH($A12,SPPR!$A:$A,0),15)),$C12*INDEX(SPPR!$E:$Z,MATCH($A12,SPPR!$A:$A,0),15),""),"")</f>
        <v/>
      </c>
      <c r="S12">
        <f>IFERROR(IF(ISNUMBER(INDEX(SPPR!$E:$Z,MATCH($A12,SPPR!$A:$A,0),16)),$C12*INDEX(SPPR!$E:$Z,MATCH($A12,SPPR!$A:$A,0),16),""),"")</f>
        <v/>
      </c>
      <c r="T12">
        <f>IFERROR(IF(ISNUMBER(INDEX(SPPR!$E:$Z,MATCH($A12,SPPR!$A:$A,0),17)),$C12*INDEX(SPPR!$E:$Z,MATCH($A12,SPPR!$A:$A,0),17),""),"")</f>
        <v/>
      </c>
      <c r="U12">
        <f>IFERROR(IF(ISNUMBER(INDEX(SPPR!$E:$Z,MATCH($A12,SPPR!$A:$A,0),18)),$C12*INDEX(SPPR!$E:$Z,MATCH($A12,SPPR!$A:$A,0),18),""),"")</f>
        <v/>
      </c>
      <c r="V12">
        <f>IFERROR(IF(ISNUMBER(INDEX(SPPR!$E:$Z,MATCH($A12,SPPR!$A:$A,0),19)),$C12*INDEX(SPPR!$E:$Z,MATCH($A12,SPPR!$A:$A,0),19),""),"")</f>
        <v/>
      </c>
      <c r="W12">
        <f>IFERROR(IF(ISNUMBER(INDEX(SPPR!$E:$Z,MATCH($A12,SPPR!$A:$A,0),20)),$C12*INDEX(SPPR!$E:$Z,MATCH($A12,SPPR!$A:$A,0),20),""),"")</f>
        <v/>
      </c>
      <c r="X12">
        <f>IFERROR(IF(ISNUMBER(INDEX(SPPR!$E:$Z,MATCH($A12,SPPR!$A:$A,0),21)),$C12*INDEX(SPPR!$E:$Z,MATCH($A12,SPPR!$A:$A,0),21),""),"")</f>
        <v/>
      </c>
      <c r="Y12">
        <f>IFERROR(IF(ISNUMBER(INDEX(SPPR!$E:$Z,MATCH($A12,SPPR!$A:$A,0),22)),$C12*INDEX(SPPR!$E:$Z,MATCH($A12,SPPR!$A:$A,0),22),""),"")</f>
        <v/>
      </c>
    </row>
    <row r="13">
      <c r="A13" t="inlineStr">
        <is>
          <t>Marine fishes not identified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IFERROR(IF(ISNUMBER(INDEX(SPPR!$E:$Z,MATCH($A13,SPPR!$A:$A,0),1)),$C13*INDEX(SPPR!$E:$Z,MATCH($A13,SPPR!$A:$A,0),1),""),"")</f>
        <v/>
      </c>
      <c r="E13">
        <f>IFERROR(IF(ISNUMBER(INDEX(SPPR!$E:$Z,MATCH($A13,SPPR!$A:$A,0),2)),$C13*INDEX(SPPR!$E:$Z,MATCH($A13,SPPR!$A:$A,0),2),""),"")</f>
        <v/>
      </c>
      <c r="F13">
        <f>IFERROR(IF(ISNUMBER(INDEX(SPPR!$E:$Z,MATCH($A13,SPPR!$A:$A,0),3)),$C13*INDEX(SPPR!$E:$Z,MATCH($A13,SPPR!$A:$A,0),3),""),"")</f>
        <v/>
      </c>
      <c r="G13">
        <f>IFERROR(IF(ISNUMBER(INDEX(SPPR!$E:$Z,MATCH($A13,SPPR!$A:$A,0),4)),$C13*INDEX(SPPR!$E:$Z,MATCH($A13,SPPR!$A:$A,0),4),""),"")</f>
        <v/>
      </c>
      <c r="H13">
        <f>IFERROR(IF(ISNUMBER(INDEX(SPPR!$E:$Z,MATCH($A13,SPPR!$A:$A,0),5)),$C13*INDEX(SPPR!$E:$Z,MATCH($A13,SPPR!$A:$A,0),5),""),"")</f>
        <v/>
      </c>
      <c r="I13">
        <f>IFERROR(IF(ISNUMBER(INDEX(SPPR!$E:$Z,MATCH($A13,SPPR!$A:$A,0),6)),$C13*INDEX(SPPR!$E:$Z,MATCH($A13,SPPR!$A:$A,0),6),""),"")</f>
        <v/>
      </c>
      <c r="J13">
        <f>IFERROR(IF(ISNUMBER(INDEX(SPPR!$E:$Z,MATCH($A13,SPPR!$A:$A,0),7)),$C13*INDEX(SPPR!$E:$Z,MATCH($A13,SPPR!$A:$A,0),7),""),"")</f>
        <v/>
      </c>
      <c r="K13">
        <f>IFERROR(IF(ISNUMBER(INDEX(SPPR!$E:$Z,MATCH($A13,SPPR!$A:$A,0),8)),$C13*INDEX(SPPR!$E:$Z,MATCH($A13,SPPR!$A:$A,0),8),""),"")</f>
        <v/>
      </c>
      <c r="L13">
        <f>IFERROR(IF(ISNUMBER(INDEX(SPPR!$E:$Z,MATCH($A13,SPPR!$A:$A,0),9)),$C13*INDEX(SPPR!$E:$Z,MATCH($A13,SPPR!$A:$A,0),9),""),"")</f>
        <v/>
      </c>
      <c r="M13">
        <f>IFERROR(IF(ISNUMBER(INDEX(SPPR!$E:$Z,MATCH($A13,SPPR!$A:$A,0),10)),$C13*INDEX(SPPR!$E:$Z,MATCH($A13,SPPR!$A:$A,0),10),""),"")</f>
        <v/>
      </c>
      <c r="N13">
        <f>IFERROR(IF(ISNUMBER(INDEX(SPPR!$E:$Z,MATCH($A13,SPPR!$A:$A,0),11)),$C13*INDEX(SPPR!$E:$Z,MATCH($A13,SPPR!$A:$A,0),11),""),"")</f>
        <v/>
      </c>
      <c r="O13">
        <f>IFERROR(IF(ISNUMBER(INDEX(SPPR!$E:$Z,MATCH($A13,SPPR!$A:$A,0),12)),$C13*INDEX(SPPR!$E:$Z,MATCH($A13,SPPR!$A:$A,0),12),""),"")</f>
        <v/>
      </c>
      <c r="P13">
        <f>IFERROR(IF(ISNUMBER(INDEX(SPPR!$E:$Z,MATCH($A13,SPPR!$A:$A,0),13)),$C13*INDEX(SPPR!$E:$Z,MATCH($A13,SPPR!$A:$A,0),13),""),"")</f>
        <v/>
      </c>
      <c r="Q13">
        <f>IFERROR(IF(ISNUMBER(INDEX(SPPR!$E:$Z,MATCH($A13,SPPR!$A:$A,0),14)),$C13*INDEX(SPPR!$E:$Z,MATCH($A13,SPPR!$A:$A,0),14),""),"")</f>
        <v/>
      </c>
      <c r="R13">
        <f>IFERROR(IF(ISNUMBER(INDEX(SPPR!$E:$Z,MATCH($A13,SPPR!$A:$A,0),15)),$C13*INDEX(SPPR!$E:$Z,MATCH($A13,SPPR!$A:$A,0),15),""),"")</f>
        <v/>
      </c>
      <c r="S13">
        <f>IFERROR(IF(ISNUMBER(INDEX(SPPR!$E:$Z,MATCH($A13,SPPR!$A:$A,0),16)),$C13*INDEX(SPPR!$E:$Z,MATCH($A13,SPPR!$A:$A,0),16),""),"")</f>
        <v/>
      </c>
      <c r="T13">
        <f>IFERROR(IF(ISNUMBER(INDEX(SPPR!$E:$Z,MATCH($A13,SPPR!$A:$A,0),17)),$C13*INDEX(SPPR!$E:$Z,MATCH($A13,SPPR!$A:$A,0),17),""),"")</f>
        <v/>
      </c>
      <c r="U13">
        <f>IFERROR(IF(ISNUMBER(INDEX(SPPR!$E:$Z,MATCH($A13,SPPR!$A:$A,0),18)),$C13*INDEX(SPPR!$E:$Z,MATCH($A13,SPPR!$A:$A,0),18),""),"")</f>
        <v/>
      </c>
      <c r="V13">
        <f>IFERROR(IF(ISNUMBER(INDEX(SPPR!$E:$Z,MATCH($A13,SPPR!$A:$A,0),19)),$C13*INDEX(SPPR!$E:$Z,MATCH($A13,SPPR!$A:$A,0),19),""),"")</f>
        <v/>
      </c>
      <c r="W13">
        <f>IFERROR(IF(ISNUMBER(INDEX(SPPR!$E:$Z,MATCH($A13,SPPR!$A:$A,0),20)),$C13*INDEX(SPPR!$E:$Z,MATCH($A13,SPPR!$A:$A,0),20),""),"")</f>
        <v/>
      </c>
      <c r="X13">
        <f>IFERROR(IF(ISNUMBER(INDEX(SPPR!$E:$Z,MATCH($A13,SPPR!$A:$A,0),21)),$C13*INDEX(SPPR!$E:$Z,MATCH($A13,SPPR!$A:$A,0),21),""),"")</f>
        <v/>
      </c>
      <c r="Y13">
        <f>IFERROR(IF(ISNUMBER(INDEX(SPPR!$E:$Z,MATCH($A13,SPPR!$A:$A,0),22)),$C13*INDEX(SPPR!$E:$Z,MATCH($A13,SPPR!$A:$A,0),22),""),"")</f>
        <v/>
      </c>
    </row>
    <row r="14">
      <c r="A14" t="inlineStr">
        <is>
          <t>Engraulidae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IFERROR(IF(ISNUMBER(INDEX(SPPR!$E:$Z,MATCH($A14,SPPR!$A:$A,0),1)),$C14*INDEX(SPPR!$E:$Z,MATCH($A14,SPPR!$A:$A,0),1),""),"")</f>
        <v/>
      </c>
      <c r="E14">
        <f>IFERROR(IF(ISNUMBER(INDEX(SPPR!$E:$Z,MATCH($A14,SPPR!$A:$A,0),2)),$C14*INDEX(SPPR!$E:$Z,MATCH($A14,SPPR!$A:$A,0),2),""),"")</f>
        <v/>
      </c>
      <c r="F14">
        <f>IFERROR(IF(ISNUMBER(INDEX(SPPR!$E:$Z,MATCH($A14,SPPR!$A:$A,0),3)),$C14*INDEX(SPPR!$E:$Z,MATCH($A14,SPPR!$A:$A,0),3),""),"")</f>
        <v/>
      </c>
      <c r="G14">
        <f>IFERROR(IF(ISNUMBER(INDEX(SPPR!$E:$Z,MATCH($A14,SPPR!$A:$A,0),4)),$C14*INDEX(SPPR!$E:$Z,MATCH($A14,SPPR!$A:$A,0),4),""),"")</f>
        <v/>
      </c>
      <c r="H14">
        <f>IFERROR(IF(ISNUMBER(INDEX(SPPR!$E:$Z,MATCH($A14,SPPR!$A:$A,0),5)),$C14*INDEX(SPPR!$E:$Z,MATCH($A14,SPPR!$A:$A,0),5),""),"")</f>
        <v/>
      </c>
      <c r="I14">
        <f>IFERROR(IF(ISNUMBER(INDEX(SPPR!$E:$Z,MATCH($A14,SPPR!$A:$A,0),6)),$C14*INDEX(SPPR!$E:$Z,MATCH($A14,SPPR!$A:$A,0),6),""),"")</f>
        <v/>
      </c>
      <c r="J14">
        <f>IFERROR(IF(ISNUMBER(INDEX(SPPR!$E:$Z,MATCH($A14,SPPR!$A:$A,0),7)),$C14*INDEX(SPPR!$E:$Z,MATCH($A14,SPPR!$A:$A,0),7),""),"")</f>
        <v/>
      </c>
      <c r="K14">
        <f>IFERROR(IF(ISNUMBER(INDEX(SPPR!$E:$Z,MATCH($A14,SPPR!$A:$A,0),8)),$C14*INDEX(SPPR!$E:$Z,MATCH($A14,SPPR!$A:$A,0),8),""),"")</f>
        <v/>
      </c>
      <c r="L14">
        <f>IFERROR(IF(ISNUMBER(INDEX(SPPR!$E:$Z,MATCH($A14,SPPR!$A:$A,0),9)),$C14*INDEX(SPPR!$E:$Z,MATCH($A14,SPPR!$A:$A,0),9),""),"")</f>
        <v/>
      </c>
      <c r="M14">
        <f>IFERROR(IF(ISNUMBER(INDEX(SPPR!$E:$Z,MATCH($A14,SPPR!$A:$A,0),10)),$C14*INDEX(SPPR!$E:$Z,MATCH($A14,SPPR!$A:$A,0),10),""),"")</f>
        <v/>
      </c>
      <c r="N14">
        <f>IFERROR(IF(ISNUMBER(INDEX(SPPR!$E:$Z,MATCH($A14,SPPR!$A:$A,0),11)),$C14*INDEX(SPPR!$E:$Z,MATCH($A14,SPPR!$A:$A,0),11),""),"")</f>
        <v/>
      </c>
      <c r="O14">
        <f>IFERROR(IF(ISNUMBER(INDEX(SPPR!$E:$Z,MATCH($A14,SPPR!$A:$A,0),12)),$C14*INDEX(SPPR!$E:$Z,MATCH($A14,SPPR!$A:$A,0),12),""),"")</f>
        <v/>
      </c>
      <c r="P14">
        <f>IFERROR(IF(ISNUMBER(INDEX(SPPR!$E:$Z,MATCH($A14,SPPR!$A:$A,0),13)),$C14*INDEX(SPPR!$E:$Z,MATCH($A14,SPPR!$A:$A,0),13),""),"")</f>
        <v/>
      </c>
      <c r="Q14">
        <f>IFERROR(IF(ISNUMBER(INDEX(SPPR!$E:$Z,MATCH($A14,SPPR!$A:$A,0),14)),$C14*INDEX(SPPR!$E:$Z,MATCH($A14,SPPR!$A:$A,0),14),""),"")</f>
        <v/>
      </c>
      <c r="R14">
        <f>IFERROR(IF(ISNUMBER(INDEX(SPPR!$E:$Z,MATCH($A14,SPPR!$A:$A,0),15)),$C14*INDEX(SPPR!$E:$Z,MATCH($A14,SPPR!$A:$A,0),15),""),"")</f>
        <v/>
      </c>
      <c r="S14">
        <f>IFERROR(IF(ISNUMBER(INDEX(SPPR!$E:$Z,MATCH($A14,SPPR!$A:$A,0),16)),$C14*INDEX(SPPR!$E:$Z,MATCH($A14,SPPR!$A:$A,0),16),""),"")</f>
        <v/>
      </c>
      <c r="T14">
        <f>IFERROR(IF(ISNUMBER(INDEX(SPPR!$E:$Z,MATCH($A14,SPPR!$A:$A,0),17)),$C14*INDEX(SPPR!$E:$Z,MATCH($A14,SPPR!$A:$A,0),17),""),"")</f>
        <v/>
      </c>
      <c r="U14">
        <f>IFERROR(IF(ISNUMBER(INDEX(SPPR!$E:$Z,MATCH($A14,SPPR!$A:$A,0),18)),$C14*INDEX(SPPR!$E:$Z,MATCH($A14,SPPR!$A:$A,0),18),""),"")</f>
        <v/>
      </c>
      <c r="V14">
        <f>IFERROR(IF(ISNUMBER(INDEX(SPPR!$E:$Z,MATCH($A14,SPPR!$A:$A,0),19)),$C14*INDEX(SPPR!$E:$Z,MATCH($A14,SPPR!$A:$A,0),19),""),"")</f>
        <v/>
      </c>
      <c r="W14">
        <f>IFERROR(IF(ISNUMBER(INDEX(SPPR!$E:$Z,MATCH($A14,SPPR!$A:$A,0),20)),$C14*INDEX(SPPR!$E:$Z,MATCH($A14,SPPR!$A:$A,0),20),""),"")</f>
        <v/>
      </c>
      <c r="X14">
        <f>IFERROR(IF(ISNUMBER(INDEX(SPPR!$E:$Z,MATCH($A14,SPPR!$A:$A,0),21)),$C14*INDEX(SPPR!$E:$Z,MATCH($A14,SPPR!$A:$A,0),21),""),"")</f>
        <v/>
      </c>
      <c r="Y14">
        <f>IFERROR(IF(ISNUMBER(INDEX(SPPR!$E:$Z,MATCH($A14,SPPR!$A:$A,0),22)),$C14*INDEX(SPPR!$E:$Z,MATCH($A14,SPPR!$A:$A,0),22),""),"")</f>
        <v/>
      </c>
    </row>
    <row r="15">
      <c r="A15" t="inlineStr">
        <is>
          <t>Sciaenidae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IFERROR(IF(ISNUMBER(INDEX(SPPR!$E:$Z,MATCH($A15,SPPR!$A:$A,0),1)),$C15*INDEX(SPPR!$E:$Z,MATCH($A15,SPPR!$A:$A,0),1),""),"")</f>
        <v/>
      </c>
      <c r="E15">
        <f>IFERROR(IF(ISNUMBER(INDEX(SPPR!$E:$Z,MATCH($A15,SPPR!$A:$A,0),2)),$C15*INDEX(SPPR!$E:$Z,MATCH($A15,SPPR!$A:$A,0),2),""),"")</f>
        <v/>
      </c>
      <c r="F15">
        <f>IFERROR(IF(ISNUMBER(INDEX(SPPR!$E:$Z,MATCH($A15,SPPR!$A:$A,0),3)),$C15*INDEX(SPPR!$E:$Z,MATCH($A15,SPPR!$A:$A,0),3),""),"")</f>
        <v/>
      </c>
      <c r="G15">
        <f>IFERROR(IF(ISNUMBER(INDEX(SPPR!$E:$Z,MATCH($A15,SPPR!$A:$A,0),4)),$C15*INDEX(SPPR!$E:$Z,MATCH($A15,SPPR!$A:$A,0),4),""),"")</f>
        <v/>
      </c>
      <c r="H15">
        <f>IFERROR(IF(ISNUMBER(INDEX(SPPR!$E:$Z,MATCH($A15,SPPR!$A:$A,0),5)),$C15*INDEX(SPPR!$E:$Z,MATCH($A15,SPPR!$A:$A,0),5),""),"")</f>
        <v/>
      </c>
      <c r="I15">
        <f>IFERROR(IF(ISNUMBER(INDEX(SPPR!$E:$Z,MATCH($A15,SPPR!$A:$A,0),6)),$C15*INDEX(SPPR!$E:$Z,MATCH($A15,SPPR!$A:$A,0),6),""),"")</f>
        <v/>
      </c>
      <c r="J15">
        <f>IFERROR(IF(ISNUMBER(INDEX(SPPR!$E:$Z,MATCH($A15,SPPR!$A:$A,0),7)),$C15*INDEX(SPPR!$E:$Z,MATCH($A15,SPPR!$A:$A,0),7),""),"")</f>
        <v/>
      </c>
      <c r="K15">
        <f>IFERROR(IF(ISNUMBER(INDEX(SPPR!$E:$Z,MATCH($A15,SPPR!$A:$A,0),8)),$C15*INDEX(SPPR!$E:$Z,MATCH($A15,SPPR!$A:$A,0),8),""),"")</f>
        <v/>
      </c>
      <c r="L15">
        <f>IFERROR(IF(ISNUMBER(INDEX(SPPR!$E:$Z,MATCH($A15,SPPR!$A:$A,0),9)),$C15*INDEX(SPPR!$E:$Z,MATCH($A15,SPPR!$A:$A,0),9),""),"")</f>
        <v/>
      </c>
      <c r="M15">
        <f>IFERROR(IF(ISNUMBER(INDEX(SPPR!$E:$Z,MATCH($A15,SPPR!$A:$A,0),10)),$C15*INDEX(SPPR!$E:$Z,MATCH($A15,SPPR!$A:$A,0),10),""),"")</f>
        <v/>
      </c>
      <c r="N15">
        <f>IFERROR(IF(ISNUMBER(INDEX(SPPR!$E:$Z,MATCH($A15,SPPR!$A:$A,0),11)),$C15*INDEX(SPPR!$E:$Z,MATCH($A15,SPPR!$A:$A,0),11),""),"")</f>
        <v/>
      </c>
      <c r="O15">
        <f>IFERROR(IF(ISNUMBER(INDEX(SPPR!$E:$Z,MATCH($A15,SPPR!$A:$A,0),12)),$C15*INDEX(SPPR!$E:$Z,MATCH($A15,SPPR!$A:$A,0),12),""),"")</f>
        <v/>
      </c>
      <c r="P15">
        <f>IFERROR(IF(ISNUMBER(INDEX(SPPR!$E:$Z,MATCH($A15,SPPR!$A:$A,0),13)),$C15*INDEX(SPPR!$E:$Z,MATCH($A15,SPPR!$A:$A,0),13),""),"")</f>
        <v/>
      </c>
      <c r="Q15">
        <f>IFERROR(IF(ISNUMBER(INDEX(SPPR!$E:$Z,MATCH($A15,SPPR!$A:$A,0),14)),$C15*INDEX(SPPR!$E:$Z,MATCH($A15,SPPR!$A:$A,0),14),""),"")</f>
        <v/>
      </c>
      <c r="R15">
        <f>IFERROR(IF(ISNUMBER(INDEX(SPPR!$E:$Z,MATCH($A15,SPPR!$A:$A,0),15)),$C15*INDEX(SPPR!$E:$Z,MATCH($A15,SPPR!$A:$A,0),15),""),"")</f>
        <v/>
      </c>
      <c r="S15">
        <f>IFERROR(IF(ISNUMBER(INDEX(SPPR!$E:$Z,MATCH($A15,SPPR!$A:$A,0),16)),$C15*INDEX(SPPR!$E:$Z,MATCH($A15,SPPR!$A:$A,0),16),""),"")</f>
        <v/>
      </c>
      <c r="T15">
        <f>IFERROR(IF(ISNUMBER(INDEX(SPPR!$E:$Z,MATCH($A15,SPPR!$A:$A,0),17)),$C15*INDEX(SPPR!$E:$Z,MATCH($A15,SPPR!$A:$A,0),17),""),"")</f>
        <v/>
      </c>
      <c r="U15">
        <f>IFERROR(IF(ISNUMBER(INDEX(SPPR!$E:$Z,MATCH($A15,SPPR!$A:$A,0),18)),$C15*INDEX(SPPR!$E:$Z,MATCH($A15,SPPR!$A:$A,0),18),""),"")</f>
        <v/>
      </c>
      <c r="V15">
        <f>IFERROR(IF(ISNUMBER(INDEX(SPPR!$E:$Z,MATCH($A15,SPPR!$A:$A,0),19)),$C15*INDEX(SPPR!$E:$Z,MATCH($A15,SPPR!$A:$A,0),19),""),"")</f>
        <v/>
      </c>
      <c r="W15">
        <f>IFERROR(IF(ISNUMBER(INDEX(SPPR!$E:$Z,MATCH($A15,SPPR!$A:$A,0),20)),$C15*INDEX(SPPR!$E:$Z,MATCH($A15,SPPR!$A:$A,0),20),""),"")</f>
        <v/>
      </c>
      <c r="X15">
        <f>IFERROR(IF(ISNUMBER(INDEX(SPPR!$E:$Z,MATCH($A15,SPPR!$A:$A,0),21)),$C15*INDEX(SPPR!$E:$Z,MATCH($A15,SPPR!$A:$A,0),21),""),"")</f>
        <v/>
      </c>
      <c r="Y15">
        <f>IFERROR(IF(ISNUMBER(INDEX(SPPR!$E:$Z,MATCH($A15,SPPR!$A:$A,0),22)),$C15*INDEX(SPPR!$E:$Z,MATCH($A15,SPPR!$A:$A,0),22),""),"")</f>
        <v/>
      </c>
    </row>
    <row r="16">
      <c r="A16" t="inlineStr">
        <is>
          <t>Sardinella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IFERROR(IF(ISNUMBER(INDEX(SPPR!$E:$Z,MATCH($A16,SPPR!$A:$A,0),1)),$C16*INDEX(SPPR!$E:$Z,MATCH($A16,SPPR!$A:$A,0),1),""),"")</f>
        <v/>
      </c>
      <c r="E16">
        <f>IFERROR(IF(ISNUMBER(INDEX(SPPR!$E:$Z,MATCH($A16,SPPR!$A:$A,0),2)),$C16*INDEX(SPPR!$E:$Z,MATCH($A16,SPPR!$A:$A,0),2),""),"")</f>
        <v/>
      </c>
      <c r="F16">
        <f>IFERROR(IF(ISNUMBER(INDEX(SPPR!$E:$Z,MATCH($A16,SPPR!$A:$A,0),3)),$C16*INDEX(SPPR!$E:$Z,MATCH($A16,SPPR!$A:$A,0),3),""),"")</f>
        <v/>
      </c>
      <c r="G16">
        <f>IFERROR(IF(ISNUMBER(INDEX(SPPR!$E:$Z,MATCH($A16,SPPR!$A:$A,0),4)),$C16*INDEX(SPPR!$E:$Z,MATCH($A16,SPPR!$A:$A,0),4),""),"")</f>
        <v/>
      </c>
      <c r="H16">
        <f>IFERROR(IF(ISNUMBER(INDEX(SPPR!$E:$Z,MATCH($A16,SPPR!$A:$A,0),5)),$C16*INDEX(SPPR!$E:$Z,MATCH($A16,SPPR!$A:$A,0),5),""),"")</f>
        <v/>
      </c>
      <c r="I16">
        <f>IFERROR(IF(ISNUMBER(INDEX(SPPR!$E:$Z,MATCH($A16,SPPR!$A:$A,0),6)),$C16*INDEX(SPPR!$E:$Z,MATCH($A16,SPPR!$A:$A,0),6),""),"")</f>
        <v/>
      </c>
      <c r="J16">
        <f>IFERROR(IF(ISNUMBER(INDEX(SPPR!$E:$Z,MATCH($A16,SPPR!$A:$A,0),7)),$C16*INDEX(SPPR!$E:$Z,MATCH($A16,SPPR!$A:$A,0),7),""),"")</f>
        <v/>
      </c>
      <c r="K16">
        <f>IFERROR(IF(ISNUMBER(INDEX(SPPR!$E:$Z,MATCH($A16,SPPR!$A:$A,0),8)),$C16*INDEX(SPPR!$E:$Z,MATCH($A16,SPPR!$A:$A,0),8),""),"")</f>
        <v/>
      </c>
      <c r="L16">
        <f>IFERROR(IF(ISNUMBER(INDEX(SPPR!$E:$Z,MATCH($A16,SPPR!$A:$A,0),9)),$C16*INDEX(SPPR!$E:$Z,MATCH($A16,SPPR!$A:$A,0),9),""),"")</f>
        <v/>
      </c>
      <c r="M16">
        <f>IFERROR(IF(ISNUMBER(INDEX(SPPR!$E:$Z,MATCH($A16,SPPR!$A:$A,0),10)),$C16*INDEX(SPPR!$E:$Z,MATCH($A16,SPPR!$A:$A,0),10),""),"")</f>
        <v/>
      </c>
      <c r="N16">
        <f>IFERROR(IF(ISNUMBER(INDEX(SPPR!$E:$Z,MATCH($A16,SPPR!$A:$A,0),11)),$C16*INDEX(SPPR!$E:$Z,MATCH($A16,SPPR!$A:$A,0),11),""),"")</f>
        <v/>
      </c>
      <c r="O16">
        <f>IFERROR(IF(ISNUMBER(INDEX(SPPR!$E:$Z,MATCH($A16,SPPR!$A:$A,0),12)),$C16*INDEX(SPPR!$E:$Z,MATCH($A16,SPPR!$A:$A,0),12),""),"")</f>
        <v/>
      </c>
      <c r="P16">
        <f>IFERROR(IF(ISNUMBER(INDEX(SPPR!$E:$Z,MATCH($A16,SPPR!$A:$A,0),13)),$C16*INDEX(SPPR!$E:$Z,MATCH($A16,SPPR!$A:$A,0),13),""),"")</f>
        <v/>
      </c>
      <c r="Q16">
        <f>IFERROR(IF(ISNUMBER(INDEX(SPPR!$E:$Z,MATCH($A16,SPPR!$A:$A,0),14)),$C16*INDEX(SPPR!$E:$Z,MATCH($A16,SPPR!$A:$A,0),14),""),"")</f>
        <v/>
      </c>
      <c r="R16">
        <f>IFERROR(IF(ISNUMBER(INDEX(SPPR!$E:$Z,MATCH($A16,SPPR!$A:$A,0),15)),$C16*INDEX(SPPR!$E:$Z,MATCH($A16,SPPR!$A:$A,0),15),""),"")</f>
        <v/>
      </c>
      <c r="S16">
        <f>IFERROR(IF(ISNUMBER(INDEX(SPPR!$E:$Z,MATCH($A16,SPPR!$A:$A,0),16)),$C16*INDEX(SPPR!$E:$Z,MATCH($A16,SPPR!$A:$A,0),16),""),"")</f>
        <v/>
      </c>
      <c r="T16">
        <f>IFERROR(IF(ISNUMBER(INDEX(SPPR!$E:$Z,MATCH($A16,SPPR!$A:$A,0),17)),$C16*INDEX(SPPR!$E:$Z,MATCH($A16,SPPR!$A:$A,0),17),""),"")</f>
        <v/>
      </c>
      <c r="U16">
        <f>IFERROR(IF(ISNUMBER(INDEX(SPPR!$E:$Z,MATCH($A16,SPPR!$A:$A,0),18)),$C16*INDEX(SPPR!$E:$Z,MATCH($A16,SPPR!$A:$A,0),18),""),"")</f>
        <v/>
      </c>
      <c r="V16">
        <f>IFERROR(IF(ISNUMBER(INDEX(SPPR!$E:$Z,MATCH($A16,SPPR!$A:$A,0),19)),$C16*INDEX(SPPR!$E:$Z,MATCH($A16,SPPR!$A:$A,0),19),""),"")</f>
        <v/>
      </c>
      <c r="W16">
        <f>IFERROR(IF(ISNUMBER(INDEX(SPPR!$E:$Z,MATCH($A16,SPPR!$A:$A,0),20)),$C16*INDEX(SPPR!$E:$Z,MATCH($A16,SPPR!$A:$A,0),20),""),"")</f>
        <v/>
      </c>
      <c r="X16">
        <f>IFERROR(IF(ISNUMBER(INDEX(SPPR!$E:$Z,MATCH($A16,SPPR!$A:$A,0),21)),$C16*INDEX(SPPR!$E:$Z,MATCH($A16,SPPR!$A:$A,0),21),""),"")</f>
        <v/>
      </c>
      <c r="Y16">
        <f>IFERROR(IF(ISNUMBER(INDEX(SPPR!$E:$Z,MATCH($A16,SPPR!$A:$A,0),22)),$C16*INDEX(SPPR!$E:$Z,MATCH($A16,SPPR!$A:$A,0),22),""),"")</f>
        <v/>
      </c>
    </row>
    <row r="17">
      <c r="A17" t="inlineStr">
        <is>
          <t>Platycephalidae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IFERROR(IF(ISNUMBER(INDEX(SPPR!$E:$Z,MATCH($A17,SPPR!$A:$A,0),1)),$C17*INDEX(SPPR!$E:$Z,MATCH($A17,SPPR!$A:$A,0),1),""),"")</f>
        <v/>
      </c>
      <c r="E17">
        <f>IFERROR(IF(ISNUMBER(INDEX(SPPR!$E:$Z,MATCH($A17,SPPR!$A:$A,0),2)),$C17*INDEX(SPPR!$E:$Z,MATCH($A17,SPPR!$A:$A,0),2),""),"")</f>
        <v/>
      </c>
      <c r="F17">
        <f>IFERROR(IF(ISNUMBER(INDEX(SPPR!$E:$Z,MATCH($A17,SPPR!$A:$A,0),3)),$C17*INDEX(SPPR!$E:$Z,MATCH($A17,SPPR!$A:$A,0),3),""),"")</f>
        <v/>
      </c>
      <c r="G17">
        <f>IFERROR(IF(ISNUMBER(INDEX(SPPR!$E:$Z,MATCH($A17,SPPR!$A:$A,0),4)),$C17*INDEX(SPPR!$E:$Z,MATCH($A17,SPPR!$A:$A,0),4),""),"")</f>
        <v/>
      </c>
      <c r="H17">
        <f>IFERROR(IF(ISNUMBER(INDEX(SPPR!$E:$Z,MATCH($A17,SPPR!$A:$A,0),5)),$C17*INDEX(SPPR!$E:$Z,MATCH($A17,SPPR!$A:$A,0),5),""),"")</f>
        <v/>
      </c>
      <c r="I17">
        <f>IFERROR(IF(ISNUMBER(INDEX(SPPR!$E:$Z,MATCH($A17,SPPR!$A:$A,0),6)),$C17*INDEX(SPPR!$E:$Z,MATCH($A17,SPPR!$A:$A,0),6),""),"")</f>
        <v/>
      </c>
      <c r="J17">
        <f>IFERROR(IF(ISNUMBER(INDEX(SPPR!$E:$Z,MATCH($A17,SPPR!$A:$A,0),7)),$C17*INDEX(SPPR!$E:$Z,MATCH($A17,SPPR!$A:$A,0),7),""),"")</f>
        <v/>
      </c>
      <c r="K17">
        <f>IFERROR(IF(ISNUMBER(INDEX(SPPR!$E:$Z,MATCH($A17,SPPR!$A:$A,0),8)),$C17*INDEX(SPPR!$E:$Z,MATCH($A17,SPPR!$A:$A,0),8),""),"")</f>
        <v/>
      </c>
      <c r="L17">
        <f>IFERROR(IF(ISNUMBER(INDEX(SPPR!$E:$Z,MATCH($A17,SPPR!$A:$A,0),9)),$C17*INDEX(SPPR!$E:$Z,MATCH($A17,SPPR!$A:$A,0),9),""),"")</f>
        <v/>
      </c>
      <c r="M17">
        <f>IFERROR(IF(ISNUMBER(INDEX(SPPR!$E:$Z,MATCH($A17,SPPR!$A:$A,0),10)),$C17*INDEX(SPPR!$E:$Z,MATCH($A17,SPPR!$A:$A,0),10),""),"")</f>
        <v/>
      </c>
      <c r="N17">
        <f>IFERROR(IF(ISNUMBER(INDEX(SPPR!$E:$Z,MATCH($A17,SPPR!$A:$A,0),11)),$C17*INDEX(SPPR!$E:$Z,MATCH($A17,SPPR!$A:$A,0),11),""),"")</f>
        <v/>
      </c>
      <c r="O17">
        <f>IFERROR(IF(ISNUMBER(INDEX(SPPR!$E:$Z,MATCH($A17,SPPR!$A:$A,0),12)),$C17*INDEX(SPPR!$E:$Z,MATCH($A17,SPPR!$A:$A,0),12),""),"")</f>
        <v/>
      </c>
      <c r="P17">
        <f>IFERROR(IF(ISNUMBER(INDEX(SPPR!$E:$Z,MATCH($A17,SPPR!$A:$A,0),13)),$C17*INDEX(SPPR!$E:$Z,MATCH($A17,SPPR!$A:$A,0),13),""),"")</f>
        <v/>
      </c>
      <c r="Q17">
        <f>IFERROR(IF(ISNUMBER(INDEX(SPPR!$E:$Z,MATCH($A17,SPPR!$A:$A,0),14)),$C17*INDEX(SPPR!$E:$Z,MATCH($A17,SPPR!$A:$A,0),14),""),"")</f>
        <v/>
      </c>
      <c r="R17">
        <f>IFERROR(IF(ISNUMBER(INDEX(SPPR!$E:$Z,MATCH($A17,SPPR!$A:$A,0),15)),$C17*INDEX(SPPR!$E:$Z,MATCH($A17,SPPR!$A:$A,0),15),""),"")</f>
        <v/>
      </c>
      <c r="S17">
        <f>IFERROR(IF(ISNUMBER(INDEX(SPPR!$E:$Z,MATCH($A17,SPPR!$A:$A,0),16)),$C17*INDEX(SPPR!$E:$Z,MATCH($A17,SPPR!$A:$A,0),16),""),"")</f>
        <v/>
      </c>
      <c r="T17">
        <f>IFERROR(IF(ISNUMBER(INDEX(SPPR!$E:$Z,MATCH($A17,SPPR!$A:$A,0),17)),$C17*INDEX(SPPR!$E:$Z,MATCH($A17,SPPR!$A:$A,0),17),""),"")</f>
        <v/>
      </c>
      <c r="U17">
        <f>IFERROR(IF(ISNUMBER(INDEX(SPPR!$E:$Z,MATCH($A17,SPPR!$A:$A,0),18)),$C17*INDEX(SPPR!$E:$Z,MATCH($A17,SPPR!$A:$A,0),18),""),"")</f>
        <v/>
      </c>
      <c r="V17">
        <f>IFERROR(IF(ISNUMBER(INDEX(SPPR!$E:$Z,MATCH($A17,SPPR!$A:$A,0),19)),$C17*INDEX(SPPR!$E:$Z,MATCH($A17,SPPR!$A:$A,0),19),""),"")</f>
        <v/>
      </c>
      <c r="W17">
        <f>IFERROR(IF(ISNUMBER(INDEX(SPPR!$E:$Z,MATCH($A17,SPPR!$A:$A,0),20)),$C17*INDEX(SPPR!$E:$Z,MATCH($A17,SPPR!$A:$A,0),20),""),"")</f>
        <v/>
      </c>
      <c r="X17">
        <f>IFERROR(IF(ISNUMBER(INDEX(SPPR!$E:$Z,MATCH($A17,SPPR!$A:$A,0),21)),$C17*INDEX(SPPR!$E:$Z,MATCH($A17,SPPR!$A:$A,0),21),""),"")</f>
        <v/>
      </c>
      <c r="Y17">
        <f>IFERROR(IF(ISNUMBER(INDEX(SPPR!$E:$Z,MATCH($A17,SPPR!$A:$A,0),22)),$C17*INDEX(SPPR!$E:$Z,MATCH($A17,SPPR!$A:$A,0),22),""),"")</f>
        <v/>
      </c>
    </row>
    <row r="18">
      <c r="A18" t="inlineStr">
        <is>
          <t>Loliginidae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IFERROR(IF(ISNUMBER(INDEX(SPPR!$E:$Z,MATCH($A18,SPPR!$A:$A,0),1)),$C18*INDEX(SPPR!$E:$Z,MATCH($A18,SPPR!$A:$A,0),1),""),"")</f>
        <v/>
      </c>
      <c r="E18">
        <f>IFERROR(IF(ISNUMBER(INDEX(SPPR!$E:$Z,MATCH($A18,SPPR!$A:$A,0),2)),$C18*INDEX(SPPR!$E:$Z,MATCH($A18,SPPR!$A:$A,0),2),""),"")</f>
        <v/>
      </c>
      <c r="F18">
        <f>IFERROR(IF(ISNUMBER(INDEX(SPPR!$E:$Z,MATCH($A18,SPPR!$A:$A,0),3)),$C18*INDEX(SPPR!$E:$Z,MATCH($A18,SPPR!$A:$A,0),3),""),"")</f>
        <v/>
      </c>
      <c r="G18">
        <f>IFERROR(IF(ISNUMBER(INDEX(SPPR!$E:$Z,MATCH($A18,SPPR!$A:$A,0),4)),$C18*INDEX(SPPR!$E:$Z,MATCH($A18,SPPR!$A:$A,0),4),""),"")</f>
        <v/>
      </c>
      <c r="H18">
        <f>IFERROR(IF(ISNUMBER(INDEX(SPPR!$E:$Z,MATCH($A18,SPPR!$A:$A,0),5)),$C18*INDEX(SPPR!$E:$Z,MATCH($A18,SPPR!$A:$A,0),5),""),"")</f>
        <v/>
      </c>
      <c r="I18">
        <f>IFERROR(IF(ISNUMBER(INDEX(SPPR!$E:$Z,MATCH($A18,SPPR!$A:$A,0),6)),$C18*INDEX(SPPR!$E:$Z,MATCH($A18,SPPR!$A:$A,0),6),""),"")</f>
        <v/>
      </c>
      <c r="J18">
        <f>IFERROR(IF(ISNUMBER(INDEX(SPPR!$E:$Z,MATCH($A18,SPPR!$A:$A,0),7)),$C18*INDEX(SPPR!$E:$Z,MATCH($A18,SPPR!$A:$A,0),7),""),"")</f>
        <v/>
      </c>
      <c r="K18">
        <f>IFERROR(IF(ISNUMBER(INDEX(SPPR!$E:$Z,MATCH($A18,SPPR!$A:$A,0),8)),$C18*INDEX(SPPR!$E:$Z,MATCH($A18,SPPR!$A:$A,0),8),""),"")</f>
        <v/>
      </c>
      <c r="L18">
        <f>IFERROR(IF(ISNUMBER(INDEX(SPPR!$E:$Z,MATCH($A18,SPPR!$A:$A,0),9)),$C18*INDEX(SPPR!$E:$Z,MATCH($A18,SPPR!$A:$A,0),9),""),"")</f>
        <v/>
      </c>
      <c r="M18">
        <f>IFERROR(IF(ISNUMBER(INDEX(SPPR!$E:$Z,MATCH($A18,SPPR!$A:$A,0),10)),$C18*INDEX(SPPR!$E:$Z,MATCH($A18,SPPR!$A:$A,0),10),""),"")</f>
        <v/>
      </c>
      <c r="N18">
        <f>IFERROR(IF(ISNUMBER(INDEX(SPPR!$E:$Z,MATCH($A18,SPPR!$A:$A,0),11)),$C18*INDEX(SPPR!$E:$Z,MATCH($A18,SPPR!$A:$A,0),11),""),"")</f>
        <v/>
      </c>
      <c r="O18">
        <f>IFERROR(IF(ISNUMBER(INDEX(SPPR!$E:$Z,MATCH($A18,SPPR!$A:$A,0),12)),$C18*INDEX(SPPR!$E:$Z,MATCH($A18,SPPR!$A:$A,0),12),""),"")</f>
        <v/>
      </c>
      <c r="P18">
        <f>IFERROR(IF(ISNUMBER(INDEX(SPPR!$E:$Z,MATCH($A18,SPPR!$A:$A,0),13)),$C18*INDEX(SPPR!$E:$Z,MATCH($A18,SPPR!$A:$A,0),13),""),"")</f>
        <v/>
      </c>
      <c r="Q18">
        <f>IFERROR(IF(ISNUMBER(INDEX(SPPR!$E:$Z,MATCH($A18,SPPR!$A:$A,0),14)),$C18*INDEX(SPPR!$E:$Z,MATCH($A18,SPPR!$A:$A,0),14),""),"")</f>
        <v/>
      </c>
      <c r="R18">
        <f>IFERROR(IF(ISNUMBER(INDEX(SPPR!$E:$Z,MATCH($A18,SPPR!$A:$A,0),15)),$C18*INDEX(SPPR!$E:$Z,MATCH($A18,SPPR!$A:$A,0),15),""),"")</f>
        <v/>
      </c>
      <c r="S18">
        <f>IFERROR(IF(ISNUMBER(INDEX(SPPR!$E:$Z,MATCH($A18,SPPR!$A:$A,0),16)),$C18*INDEX(SPPR!$E:$Z,MATCH($A18,SPPR!$A:$A,0),16),""),"")</f>
        <v/>
      </c>
      <c r="T18">
        <f>IFERROR(IF(ISNUMBER(INDEX(SPPR!$E:$Z,MATCH($A18,SPPR!$A:$A,0),17)),$C18*INDEX(SPPR!$E:$Z,MATCH($A18,SPPR!$A:$A,0),17),""),"")</f>
        <v/>
      </c>
      <c r="U18">
        <f>IFERROR(IF(ISNUMBER(INDEX(SPPR!$E:$Z,MATCH($A18,SPPR!$A:$A,0),18)),$C18*INDEX(SPPR!$E:$Z,MATCH($A18,SPPR!$A:$A,0),18),""),"")</f>
        <v/>
      </c>
      <c r="V18">
        <f>IFERROR(IF(ISNUMBER(INDEX(SPPR!$E:$Z,MATCH($A18,SPPR!$A:$A,0),19)),$C18*INDEX(SPPR!$E:$Z,MATCH($A18,SPPR!$A:$A,0),19),""),"")</f>
        <v/>
      </c>
      <c r="W18">
        <f>IFERROR(IF(ISNUMBER(INDEX(SPPR!$E:$Z,MATCH($A18,SPPR!$A:$A,0),20)),$C18*INDEX(SPPR!$E:$Z,MATCH($A18,SPPR!$A:$A,0),20),""),"")</f>
        <v/>
      </c>
      <c r="X18">
        <f>IFERROR(IF(ISNUMBER(INDEX(SPPR!$E:$Z,MATCH($A18,SPPR!$A:$A,0),21)),$C18*INDEX(SPPR!$E:$Z,MATCH($A18,SPPR!$A:$A,0),21),""),"")</f>
        <v/>
      </c>
      <c r="Y18">
        <f>IFERROR(IF(ISNUMBER(INDEX(SPPR!$E:$Z,MATCH($A18,SPPR!$A:$A,0),22)),$C18*INDEX(SPPR!$E:$Z,MATCH($A18,SPPR!$A:$A,0),22),""),"")</f>
        <v/>
      </c>
    </row>
    <row r="19">
      <c r="A19" t="inlineStr">
        <is>
          <t>Perna viridis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IFERROR(IF(ISNUMBER(INDEX(SPPR!$E:$Z,MATCH($A19,SPPR!$A:$A,0),1)),$C19*INDEX(SPPR!$E:$Z,MATCH($A19,SPPR!$A:$A,0),1),""),"")</f>
        <v/>
      </c>
      <c r="E19">
        <f>IFERROR(IF(ISNUMBER(INDEX(SPPR!$E:$Z,MATCH($A19,SPPR!$A:$A,0),2)),$C19*INDEX(SPPR!$E:$Z,MATCH($A19,SPPR!$A:$A,0),2),""),"")</f>
        <v/>
      </c>
      <c r="F19">
        <f>IFERROR(IF(ISNUMBER(INDEX(SPPR!$E:$Z,MATCH($A19,SPPR!$A:$A,0),3)),$C19*INDEX(SPPR!$E:$Z,MATCH($A19,SPPR!$A:$A,0),3),""),"")</f>
        <v/>
      </c>
      <c r="G19">
        <f>IFERROR(IF(ISNUMBER(INDEX(SPPR!$E:$Z,MATCH($A19,SPPR!$A:$A,0),4)),$C19*INDEX(SPPR!$E:$Z,MATCH($A19,SPPR!$A:$A,0),4),""),"")</f>
        <v/>
      </c>
      <c r="H19">
        <f>IFERROR(IF(ISNUMBER(INDEX(SPPR!$E:$Z,MATCH($A19,SPPR!$A:$A,0),5)),$C19*INDEX(SPPR!$E:$Z,MATCH($A19,SPPR!$A:$A,0),5),""),"")</f>
        <v/>
      </c>
      <c r="I19">
        <f>IFERROR(IF(ISNUMBER(INDEX(SPPR!$E:$Z,MATCH($A19,SPPR!$A:$A,0),6)),$C19*INDEX(SPPR!$E:$Z,MATCH($A19,SPPR!$A:$A,0),6),""),"")</f>
        <v/>
      </c>
      <c r="J19">
        <f>IFERROR(IF(ISNUMBER(INDEX(SPPR!$E:$Z,MATCH($A19,SPPR!$A:$A,0),7)),$C19*INDEX(SPPR!$E:$Z,MATCH($A19,SPPR!$A:$A,0),7),""),"")</f>
        <v/>
      </c>
      <c r="K19">
        <f>IFERROR(IF(ISNUMBER(INDEX(SPPR!$E:$Z,MATCH($A19,SPPR!$A:$A,0),8)),$C19*INDEX(SPPR!$E:$Z,MATCH($A19,SPPR!$A:$A,0),8),""),"")</f>
        <v/>
      </c>
      <c r="L19">
        <f>IFERROR(IF(ISNUMBER(INDEX(SPPR!$E:$Z,MATCH($A19,SPPR!$A:$A,0),9)),$C19*INDEX(SPPR!$E:$Z,MATCH($A19,SPPR!$A:$A,0),9),""),"")</f>
        <v/>
      </c>
      <c r="M19">
        <f>IFERROR(IF(ISNUMBER(INDEX(SPPR!$E:$Z,MATCH($A19,SPPR!$A:$A,0),10)),$C19*INDEX(SPPR!$E:$Z,MATCH($A19,SPPR!$A:$A,0),10),""),"")</f>
        <v/>
      </c>
      <c r="N19">
        <f>IFERROR(IF(ISNUMBER(INDEX(SPPR!$E:$Z,MATCH($A19,SPPR!$A:$A,0),11)),$C19*INDEX(SPPR!$E:$Z,MATCH($A19,SPPR!$A:$A,0),11),""),"")</f>
        <v/>
      </c>
      <c r="O19">
        <f>IFERROR(IF(ISNUMBER(INDEX(SPPR!$E:$Z,MATCH($A19,SPPR!$A:$A,0),12)),$C19*INDEX(SPPR!$E:$Z,MATCH($A19,SPPR!$A:$A,0),12),""),"")</f>
        <v/>
      </c>
      <c r="P19">
        <f>IFERROR(IF(ISNUMBER(INDEX(SPPR!$E:$Z,MATCH($A19,SPPR!$A:$A,0),13)),$C19*INDEX(SPPR!$E:$Z,MATCH($A19,SPPR!$A:$A,0),13),""),"")</f>
        <v/>
      </c>
      <c r="Q19">
        <f>IFERROR(IF(ISNUMBER(INDEX(SPPR!$E:$Z,MATCH($A19,SPPR!$A:$A,0),14)),$C19*INDEX(SPPR!$E:$Z,MATCH($A19,SPPR!$A:$A,0),14),""),"")</f>
        <v/>
      </c>
      <c r="R19">
        <f>IFERROR(IF(ISNUMBER(INDEX(SPPR!$E:$Z,MATCH($A19,SPPR!$A:$A,0),15)),$C19*INDEX(SPPR!$E:$Z,MATCH($A19,SPPR!$A:$A,0),15),""),"")</f>
        <v/>
      </c>
      <c r="S19">
        <f>IFERROR(IF(ISNUMBER(INDEX(SPPR!$E:$Z,MATCH($A19,SPPR!$A:$A,0),16)),$C19*INDEX(SPPR!$E:$Z,MATCH($A19,SPPR!$A:$A,0),16),""),"")</f>
        <v/>
      </c>
      <c r="T19">
        <f>IFERROR(IF(ISNUMBER(INDEX(SPPR!$E:$Z,MATCH($A19,SPPR!$A:$A,0),17)),$C19*INDEX(SPPR!$E:$Z,MATCH($A19,SPPR!$A:$A,0),17),""),"")</f>
        <v/>
      </c>
      <c r="U19">
        <f>IFERROR(IF(ISNUMBER(INDEX(SPPR!$E:$Z,MATCH($A19,SPPR!$A:$A,0),18)),$C19*INDEX(SPPR!$E:$Z,MATCH($A19,SPPR!$A:$A,0),18),""),"")</f>
        <v/>
      </c>
      <c r="V19">
        <f>IFERROR(IF(ISNUMBER(INDEX(SPPR!$E:$Z,MATCH($A19,SPPR!$A:$A,0),19)),$C19*INDEX(SPPR!$E:$Z,MATCH($A19,SPPR!$A:$A,0),19),""),"")</f>
        <v/>
      </c>
      <c r="W19">
        <f>IFERROR(IF(ISNUMBER(INDEX(SPPR!$E:$Z,MATCH($A19,SPPR!$A:$A,0),20)),$C19*INDEX(SPPR!$E:$Z,MATCH($A19,SPPR!$A:$A,0),20),""),"")</f>
        <v/>
      </c>
      <c r="X19">
        <f>IFERROR(IF(ISNUMBER(INDEX(SPPR!$E:$Z,MATCH($A19,SPPR!$A:$A,0),21)),$C19*INDEX(SPPR!$E:$Z,MATCH($A19,SPPR!$A:$A,0),21),""),"")</f>
        <v/>
      </c>
      <c r="Y19">
        <f>IFERROR(IF(ISNUMBER(INDEX(SPPR!$E:$Z,MATCH($A19,SPPR!$A:$A,0),22)),$C19*INDEX(SPPR!$E:$Z,MATCH($A19,SPPR!$A:$A,0),22),""),"")</f>
        <v/>
      </c>
    </row>
    <row r="20">
      <c r="A20" t="inlineStr">
        <is>
          <t>Penaeus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IFERROR(IF(ISNUMBER(INDEX(SPPR!$E:$Z,MATCH($A20,SPPR!$A:$A,0),1)),$C20*INDEX(SPPR!$E:$Z,MATCH($A20,SPPR!$A:$A,0),1),""),"")</f>
        <v/>
      </c>
      <c r="E20">
        <f>IFERROR(IF(ISNUMBER(INDEX(SPPR!$E:$Z,MATCH($A20,SPPR!$A:$A,0),2)),$C20*INDEX(SPPR!$E:$Z,MATCH($A20,SPPR!$A:$A,0),2),""),"")</f>
        <v/>
      </c>
      <c r="F20">
        <f>IFERROR(IF(ISNUMBER(INDEX(SPPR!$E:$Z,MATCH($A20,SPPR!$A:$A,0),3)),$C20*INDEX(SPPR!$E:$Z,MATCH($A20,SPPR!$A:$A,0),3),""),"")</f>
        <v/>
      </c>
      <c r="G20">
        <f>IFERROR(IF(ISNUMBER(INDEX(SPPR!$E:$Z,MATCH($A20,SPPR!$A:$A,0),4)),$C20*INDEX(SPPR!$E:$Z,MATCH($A20,SPPR!$A:$A,0),4),""),"")</f>
        <v/>
      </c>
      <c r="H20">
        <f>IFERROR(IF(ISNUMBER(INDEX(SPPR!$E:$Z,MATCH($A20,SPPR!$A:$A,0),5)),$C20*INDEX(SPPR!$E:$Z,MATCH($A20,SPPR!$A:$A,0),5),""),"")</f>
        <v/>
      </c>
      <c r="I20">
        <f>IFERROR(IF(ISNUMBER(INDEX(SPPR!$E:$Z,MATCH($A20,SPPR!$A:$A,0),6)),$C20*INDEX(SPPR!$E:$Z,MATCH($A20,SPPR!$A:$A,0),6),""),"")</f>
        <v/>
      </c>
      <c r="J20">
        <f>IFERROR(IF(ISNUMBER(INDEX(SPPR!$E:$Z,MATCH($A20,SPPR!$A:$A,0),7)),$C20*INDEX(SPPR!$E:$Z,MATCH($A20,SPPR!$A:$A,0),7),""),"")</f>
        <v/>
      </c>
      <c r="K20">
        <f>IFERROR(IF(ISNUMBER(INDEX(SPPR!$E:$Z,MATCH($A20,SPPR!$A:$A,0),8)),$C20*INDEX(SPPR!$E:$Z,MATCH($A20,SPPR!$A:$A,0),8),""),"")</f>
        <v/>
      </c>
      <c r="L20">
        <f>IFERROR(IF(ISNUMBER(INDEX(SPPR!$E:$Z,MATCH($A20,SPPR!$A:$A,0),9)),$C20*INDEX(SPPR!$E:$Z,MATCH($A20,SPPR!$A:$A,0),9),""),"")</f>
        <v/>
      </c>
      <c r="M20">
        <f>IFERROR(IF(ISNUMBER(INDEX(SPPR!$E:$Z,MATCH($A20,SPPR!$A:$A,0),10)),$C20*INDEX(SPPR!$E:$Z,MATCH($A20,SPPR!$A:$A,0),10),""),"")</f>
        <v/>
      </c>
      <c r="N20">
        <f>IFERROR(IF(ISNUMBER(INDEX(SPPR!$E:$Z,MATCH($A20,SPPR!$A:$A,0),11)),$C20*INDEX(SPPR!$E:$Z,MATCH($A20,SPPR!$A:$A,0),11),""),"")</f>
        <v/>
      </c>
      <c r="O20">
        <f>IFERROR(IF(ISNUMBER(INDEX(SPPR!$E:$Z,MATCH($A20,SPPR!$A:$A,0),12)),$C20*INDEX(SPPR!$E:$Z,MATCH($A20,SPPR!$A:$A,0),12),""),"")</f>
        <v/>
      </c>
      <c r="P20">
        <f>IFERROR(IF(ISNUMBER(INDEX(SPPR!$E:$Z,MATCH($A20,SPPR!$A:$A,0),13)),$C20*INDEX(SPPR!$E:$Z,MATCH($A20,SPPR!$A:$A,0),13),""),"")</f>
        <v/>
      </c>
      <c r="Q20">
        <f>IFERROR(IF(ISNUMBER(INDEX(SPPR!$E:$Z,MATCH($A20,SPPR!$A:$A,0),14)),$C20*INDEX(SPPR!$E:$Z,MATCH($A20,SPPR!$A:$A,0),14),""),"")</f>
        <v/>
      </c>
      <c r="R20">
        <f>IFERROR(IF(ISNUMBER(INDEX(SPPR!$E:$Z,MATCH($A20,SPPR!$A:$A,0),15)),$C20*INDEX(SPPR!$E:$Z,MATCH($A20,SPPR!$A:$A,0),15),""),"")</f>
        <v/>
      </c>
      <c r="S20">
        <f>IFERROR(IF(ISNUMBER(INDEX(SPPR!$E:$Z,MATCH($A20,SPPR!$A:$A,0),16)),$C20*INDEX(SPPR!$E:$Z,MATCH($A20,SPPR!$A:$A,0),16),""),"")</f>
        <v/>
      </c>
      <c r="T20">
        <f>IFERROR(IF(ISNUMBER(INDEX(SPPR!$E:$Z,MATCH($A20,SPPR!$A:$A,0),17)),$C20*INDEX(SPPR!$E:$Z,MATCH($A20,SPPR!$A:$A,0),17),""),"")</f>
        <v/>
      </c>
      <c r="U20">
        <f>IFERROR(IF(ISNUMBER(INDEX(SPPR!$E:$Z,MATCH($A20,SPPR!$A:$A,0),18)),$C20*INDEX(SPPR!$E:$Z,MATCH($A20,SPPR!$A:$A,0),18),""),"")</f>
        <v/>
      </c>
      <c r="V20">
        <f>IFERROR(IF(ISNUMBER(INDEX(SPPR!$E:$Z,MATCH($A20,SPPR!$A:$A,0),19)),$C20*INDEX(SPPR!$E:$Z,MATCH($A20,SPPR!$A:$A,0),19),""),"")</f>
        <v/>
      </c>
      <c r="W20">
        <f>IFERROR(IF(ISNUMBER(INDEX(SPPR!$E:$Z,MATCH($A20,SPPR!$A:$A,0),20)),$C20*INDEX(SPPR!$E:$Z,MATCH($A20,SPPR!$A:$A,0),20),""),"")</f>
        <v/>
      </c>
      <c r="X20">
        <f>IFERROR(IF(ISNUMBER(INDEX(SPPR!$E:$Z,MATCH($A20,SPPR!$A:$A,0),21)),$C20*INDEX(SPPR!$E:$Z,MATCH($A20,SPPR!$A:$A,0),21),""),"")</f>
        <v/>
      </c>
      <c r="Y20">
        <f>IFERROR(IF(ISNUMBER(INDEX(SPPR!$E:$Z,MATCH($A20,SPPR!$A:$A,0),22)),$C20*INDEX(SPPR!$E:$Z,MATCH($A20,SPPR!$A:$A,0),22),""),"")</f>
        <v/>
      </c>
    </row>
    <row r="21">
      <c r="A21" t="inlineStr">
        <is>
          <t>Scombridae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IFERROR(IF(ISNUMBER(INDEX(SPPR!$E:$Z,MATCH($A21,SPPR!$A:$A,0),1)),$C21*INDEX(SPPR!$E:$Z,MATCH($A21,SPPR!$A:$A,0),1),""),"")</f>
        <v/>
      </c>
      <c r="E21">
        <f>IFERROR(IF(ISNUMBER(INDEX(SPPR!$E:$Z,MATCH($A21,SPPR!$A:$A,0),2)),$C21*INDEX(SPPR!$E:$Z,MATCH($A21,SPPR!$A:$A,0),2),""),"")</f>
        <v/>
      </c>
      <c r="F21">
        <f>IFERROR(IF(ISNUMBER(INDEX(SPPR!$E:$Z,MATCH($A21,SPPR!$A:$A,0),3)),$C21*INDEX(SPPR!$E:$Z,MATCH($A21,SPPR!$A:$A,0),3),""),"")</f>
        <v/>
      </c>
      <c r="G21">
        <f>IFERROR(IF(ISNUMBER(INDEX(SPPR!$E:$Z,MATCH($A21,SPPR!$A:$A,0),4)),$C21*INDEX(SPPR!$E:$Z,MATCH($A21,SPPR!$A:$A,0),4),""),"")</f>
        <v/>
      </c>
      <c r="H21">
        <f>IFERROR(IF(ISNUMBER(INDEX(SPPR!$E:$Z,MATCH($A21,SPPR!$A:$A,0),5)),$C21*INDEX(SPPR!$E:$Z,MATCH($A21,SPPR!$A:$A,0),5),""),"")</f>
        <v/>
      </c>
      <c r="I21">
        <f>IFERROR(IF(ISNUMBER(INDEX(SPPR!$E:$Z,MATCH($A21,SPPR!$A:$A,0),6)),$C21*INDEX(SPPR!$E:$Z,MATCH($A21,SPPR!$A:$A,0),6),""),"")</f>
        <v/>
      </c>
      <c r="J21">
        <f>IFERROR(IF(ISNUMBER(INDEX(SPPR!$E:$Z,MATCH($A21,SPPR!$A:$A,0),7)),$C21*INDEX(SPPR!$E:$Z,MATCH($A21,SPPR!$A:$A,0),7),""),"")</f>
        <v/>
      </c>
      <c r="K21">
        <f>IFERROR(IF(ISNUMBER(INDEX(SPPR!$E:$Z,MATCH($A21,SPPR!$A:$A,0),8)),$C21*INDEX(SPPR!$E:$Z,MATCH($A21,SPPR!$A:$A,0),8),""),"")</f>
        <v/>
      </c>
      <c r="L21">
        <f>IFERROR(IF(ISNUMBER(INDEX(SPPR!$E:$Z,MATCH($A21,SPPR!$A:$A,0),9)),$C21*INDEX(SPPR!$E:$Z,MATCH($A21,SPPR!$A:$A,0),9),""),"")</f>
        <v/>
      </c>
      <c r="M21">
        <f>IFERROR(IF(ISNUMBER(INDEX(SPPR!$E:$Z,MATCH($A21,SPPR!$A:$A,0),10)),$C21*INDEX(SPPR!$E:$Z,MATCH($A21,SPPR!$A:$A,0),10),""),"")</f>
        <v/>
      </c>
      <c r="N21">
        <f>IFERROR(IF(ISNUMBER(INDEX(SPPR!$E:$Z,MATCH($A21,SPPR!$A:$A,0),11)),$C21*INDEX(SPPR!$E:$Z,MATCH($A21,SPPR!$A:$A,0),11),""),"")</f>
        <v/>
      </c>
      <c r="O21">
        <f>IFERROR(IF(ISNUMBER(INDEX(SPPR!$E:$Z,MATCH($A21,SPPR!$A:$A,0),12)),$C21*INDEX(SPPR!$E:$Z,MATCH($A21,SPPR!$A:$A,0),12),""),"")</f>
        <v/>
      </c>
      <c r="P21">
        <f>IFERROR(IF(ISNUMBER(INDEX(SPPR!$E:$Z,MATCH($A21,SPPR!$A:$A,0),13)),$C21*INDEX(SPPR!$E:$Z,MATCH($A21,SPPR!$A:$A,0),13),""),"")</f>
        <v/>
      </c>
      <c r="Q21">
        <f>IFERROR(IF(ISNUMBER(INDEX(SPPR!$E:$Z,MATCH($A21,SPPR!$A:$A,0),14)),$C21*INDEX(SPPR!$E:$Z,MATCH($A21,SPPR!$A:$A,0),14),""),"")</f>
        <v/>
      </c>
      <c r="R21">
        <f>IFERROR(IF(ISNUMBER(INDEX(SPPR!$E:$Z,MATCH($A21,SPPR!$A:$A,0),15)),$C21*INDEX(SPPR!$E:$Z,MATCH($A21,SPPR!$A:$A,0),15),""),"")</f>
        <v/>
      </c>
      <c r="S21">
        <f>IFERROR(IF(ISNUMBER(INDEX(SPPR!$E:$Z,MATCH($A21,SPPR!$A:$A,0),16)),$C21*INDEX(SPPR!$E:$Z,MATCH($A21,SPPR!$A:$A,0),16),""),"")</f>
        <v/>
      </c>
      <c r="T21">
        <f>IFERROR(IF(ISNUMBER(INDEX(SPPR!$E:$Z,MATCH($A21,SPPR!$A:$A,0),17)),$C21*INDEX(SPPR!$E:$Z,MATCH($A21,SPPR!$A:$A,0),17),""),"")</f>
        <v/>
      </c>
      <c r="U21">
        <f>IFERROR(IF(ISNUMBER(INDEX(SPPR!$E:$Z,MATCH($A21,SPPR!$A:$A,0),18)),$C21*INDEX(SPPR!$E:$Z,MATCH($A21,SPPR!$A:$A,0),18),""),"")</f>
        <v/>
      </c>
      <c r="V21">
        <f>IFERROR(IF(ISNUMBER(INDEX(SPPR!$E:$Z,MATCH($A21,SPPR!$A:$A,0),19)),$C21*INDEX(SPPR!$E:$Z,MATCH($A21,SPPR!$A:$A,0),19),""),"")</f>
        <v/>
      </c>
      <c r="W21">
        <f>IFERROR(IF(ISNUMBER(INDEX(SPPR!$E:$Z,MATCH($A21,SPPR!$A:$A,0),20)),$C21*INDEX(SPPR!$E:$Z,MATCH($A21,SPPR!$A:$A,0),20),""),"")</f>
        <v/>
      </c>
      <c r="X21">
        <f>IFERROR(IF(ISNUMBER(INDEX(SPPR!$E:$Z,MATCH($A21,SPPR!$A:$A,0),21)),$C21*INDEX(SPPR!$E:$Z,MATCH($A21,SPPR!$A:$A,0),21),""),"")</f>
        <v/>
      </c>
      <c r="Y21">
        <f>IFERROR(IF(ISNUMBER(INDEX(SPPR!$E:$Z,MATCH($A21,SPPR!$A:$A,0),22)),$C21*INDEX(SPPR!$E:$Z,MATCH($A21,SPPR!$A:$A,0),22),""),"")</f>
        <v/>
      </c>
    </row>
    <row r="22">
      <c r="A22" t="inlineStr">
        <is>
          <t>Sepiidae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IFERROR(IF(ISNUMBER(INDEX(SPPR!$E:$Z,MATCH($A22,SPPR!$A:$A,0),1)),$C22*INDEX(SPPR!$E:$Z,MATCH($A22,SPPR!$A:$A,0),1),""),"")</f>
        <v/>
      </c>
      <c r="E22">
        <f>IFERROR(IF(ISNUMBER(INDEX(SPPR!$E:$Z,MATCH($A22,SPPR!$A:$A,0),2)),$C22*INDEX(SPPR!$E:$Z,MATCH($A22,SPPR!$A:$A,0),2),""),"")</f>
        <v/>
      </c>
      <c r="F22">
        <f>IFERROR(IF(ISNUMBER(INDEX(SPPR!$E:$Z,MATCH($A22,SPPR!$A:$A,0),3)),$C22*INDEX(SPPR!$E:$Z,MATCH($A22,SPPR!$A:$A,0),3),""),"")</f>
        <v/>
      </c>
      <c r="G22">
        <f>IFERROR(IF(ISNUMBER(INDEX(SPPR!$E:$Z,MATCH($A22,SPPR!$A:$A,0),4)),$C22*INDEX(SPPR!$E:$Z,MATCH($A22,SPPR!$A:$A,0),4),""),"")</f>
        <v/>
      </c>
      <c r="H22">
        <f>IFERROR(IF(ISNUMBER(INDEX(SPPR!$E:$Z,MATCH($A22,SPPR!$A:$A,0),5)),$C22*INDEX(SPPR!$E:$Z,MATCH($A22,SPPR!$A:$A,0),5),""),"")</f>
        <v/>
      </c>
      <c r="I22">
        <f>IFERROR(IF(ISNUMBER(INDEX(SPPR!$E:$Z,MATCH($A22,SPPR!$A:$A,0),6)),$C22*INDEX(SPPR!$E:$Z,MATCH($A22,SPPR!$A:$A,0),6),""),"")</f>
        <v/>
      </c>
      <c r="J22">
        <f>IFERROR(IF(ISNUMBER(INDEX(SPPR!$E:$Z,MATCH($A22,SPPR!$A:$A,0),7)),$C22*INDEX(SPPR!$E:$Z,MATCH($A22,SPPR!$A:$A,0),7),""),"")</f>
        <v/>
      </c>
      <c r="K22">
        <f>IFERROR(IF(ISNUMBER(INDEX(SPPR!$E:$Z,MATCH($A22,SPPR!$A:$A,0),8)),$C22*INDEX(SPPR!$E:$Z,MATCH($A22,SPPR!$A:$A,0),8),""),"")</f>
        <v/>
      </c>
      <c r="L22">
        <f>IFERROR(IF(ISNUMBER(INDEX(SPPR!$E:$Z,MATCH($A22,SPPR!$A:$A,0),9)),$C22*INDEX(SPPR!$E:$Z,MATCH($A22,SPPR!$A:$A,0),9),""),"")</f>
        <v/>
      </c>
      <c r="M22">
        <f>IFERROR(IF(ISNUMBER(INDEX(SPPR!$E:$Z,MATCH($A22,SPPR!$A:$A,0),10)),$C22*INDEX(SPPR!$E:$Z,MATCH($A22,SPPR!$A:$A,0),10),""),"")</f>
        <v/>
      </c>
      <c r="N22">
        <f>IFERROR(IF(ISNUMBER(INDEX(SPPR!$E:$Z,MATCH($A22,SPPR!$A:$A,0),11)),$C22*INDEX(SPPR!$E:$Z,MATCH($A22,SPPR!$A:$A,0),11),""),"")</f>
        <v/>
      </c>
      <c r="O22">
        <f>IFERROR(IF(ISNUMBER(INDEX(SPPR!$E:$Z,MATCH($A22,SPPR!$A:$A,0),12)),$C22*INDEX(SPPR!$E:$Z,MATCH($A22,SPPR!$A:$A,0),12),""),"")</f>
        <v/>
      </c>
      <c r="P22">
        <f>IFERROR(IF(ISNUMBER(INDEX(SPPR!$E:$Z,MATCH($A22,SPPR!$A:$A,0),13)),$C22*INDEX(SPPR!$E:$Z,MATCH($A22,SPPR!$A:$A,0),13),""),"")</f>
        <v/>
      </c>
      <c r="Q22">
        <f>IFERROR(IF(ISNUMBER(INDEX(SPPR!$E:$Z,MATCH($A22,SPPR!$A:$A,0),14)),$C22*INDEX(SPPR!$E:$Z,MATCH($A22,SPPR!$A:$A,0),14),""),"")</f>
        <v/>
      </c>
      <c r="R22">
        <f>IFERROR(IF(ISNUMBER(INDEX(SPPR!$E:$Z,MATCH($A22,SPPR!$A:$A,0),15)),$C22*INDEX(SPPR!$E:$Z,MATCH($A22,SPPR!$A:$A,0),15),""),"")</f>
        <v/>
      </c>
      <c r="S22">
        <f>IFERROR(IF(ISNUMBER(INDEX(SPPR!$E:$Z,MATCH($A22,SPPR!$A:$A,0),16)),$C22*INDEX(SPPR!$E:$Z,MATCH($A22,SPPR!$A:$A,0),16),""),"")</f>
        <v/>
      </c>
      <c r="T22">
        <f>IFERROR(IF(ISNUMBER(INDEX(SPPR!$E:$Z,MATCH($A22,SPPR!$A:$A,0),17)),$C22*INDEX(SPPR!$E:$Z,MATCH($A22,SPPR!$A:$A,0),17),""),"")</f>
        <v/>
      </c>
      <c r="U22">
        <f>IFERROR(IF(ISNUMBER(INDEX(SPPR!$E:$Z,MATCH($A22,SPPR!$A:$A,0),18)),$C22*INDEX(SPPR!$E:$Z,MATCH($A22,SPPR!$A:$A,0),18),""),"")</f>
        <v/>
      </c>
      <c r="V22">
        <f>IFERROR(IF(ISNUMBER(INDEX(SPPR!$E:$Z,MATCH($A22,SPPR!$A:$A,0),19)),$C22*INDEX(SPPR!$E:$Z,MATCH($A22,SPPR!$A:$A,0),19),""),"")</f>
        <v/>
      </c>
      <c r="W22">
        <f>IFERROR(IF(ISNUMBER(INDEX(SPPR!$E:$Z,MATCH($A22,SPPR!$A:$A,0),20)),$C22*INDEX(SPPR!$E:$Z,MATCH($A22,SPPR!$A:$A,0),20),""),"")</f>
        <v/>
      </c>
      <c r="X22">
        <f>IFERROR(IF(ISNUMBER(INDEX(SPPR!$E:$Z,MATCH($A22,SPPR!$A:$A,0),21)),$C22*INDEX(SPPR!$E:$Z,MATCH($A22,SPPR!$A:$A,0),21),""),"")</f>
        <v/>
      </c>
      <c r="Y22">
        <f>IFERROR(IF(ISNUMBER(INDEX(SPPR!$E:$Z,MATCH($A22,SPPR!$A:$A,0),22)),$C22*INDEX(SPPR!$E:$Z,MATCH($A22,SPPR!$A:$A,0),22),""),"")</f>
        <v/>
      </c>
    </row>
    <row r="23">
      <c r="A23" t="inlineStr">
        <is>
          <t>Priacanthus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IFERROR(IF(ISNUMBER(INDEX(SPPR!$E:$Z,MATCH($A23,SPPR!$A:$A,0),1)),$C23*INDEX(SPPR!$E:$Z,MATCH($A23,SPPR!$A:$A,0),1),""),"")</f>
        <v/>
      </c>
      <c r="E23">
        <f>IFERROR(IF(ISNUMBER(INDEX(SPPR!$E:$Z,MATCH($A23,SPPR!$A:$A,0),2)),$C23*INDEX(SPPR!$E:$Z,MATCH($A23,SPPR!$A:$A,0),2),""),"")</f>
        <v/>
      </c>
      <c r="F23">
        <f>IFERROR(IF(ISNUMBER(INDEX(SPPR!$E:$Z,MATCH($A23,SPPR!$A:$A,0),3)),$C23*INDEX(SPPR!$E:$Z,MATCH($A23,SPPR!$A:$A,0),3),""),"")</f>
        <v/>
      </c>
      <c r="G23">
        <f>IFERROR(IF(ISNUMBER(INDEX(SPPR!$E:$Z,MATCH($A23,SPPR!$A:$A,0),4)),$C23*INDEX(SPPR!$E:$Z,MATCH($A23,SPPR!$A:$A,0),4),""),"")</f>
        <v/>
      </c>
      <c r="H23">
        <f>IFERROR(IF(ISNUMBER(INDEX(SPPR!$E:$Z,MATCH($A23,SPPR!$A:$A,0),5)),$C23*INDEX(SPPR!$E:$Z,MATCH($A23,SPPR!$A:$A,0),5),""),"")</f>
        <v/>
      </c>
      <c r="I23">
        <f>IFERROR(IF(ISNUMBER(INDEX(SPPR!$E:$Z,MATCH($A23,SPPR!$A:$A,0),6)),$C23*INDEX(SPPR!$E:$Z,MATCH($A23,SPPR!$A:$A,0),6),""),"")</f>
        <v/>
      </c>
      <c r="J23">
        <f>IFERROR(IF(ISNUMBER(INDEX(SPPR!$E:$Z,MATCH($A23,SPPR!$A:$A,0),7)),$C23*INDEX(SPPR!$E:$Z,MATCH($A23,SPPR!$A:$A,0),7),""),"")</f>
        <v/>
      </c>
      <c r="K23">
        <f>IFERROR(IF(ISNUMBER(INDEX(SPPR!$E:$Z,MATCH($A23,SPPR!$A:$A,0),8)),$C23*INDEX(SPPR!$E:$Z,MATCH($A23,SPPR!$A:$A,0),8),""),"")</f>
        <v/>
      </c>
      <c r="L23">
        <f>IFERROR(IF(ISNUMBER(INDEX(SPPR!$E:$Z,MATCH($A23,SPPR!$A:$A,0),9)),$C23*INDEX(SPPR!$E:$Z,MATCH($A23,SPPR!$A:$A,0),9),""),"")</f>
        <v/>
      </c>
      <c r="M23">
        <f>IFERROR(IF(ISNUMBER(INDEX(SPPR!$E:$Z,MATCH($A23,SPPR!$A:$A,0),10)),$C23*INDEX(SPPR!$E:$Z,MATCH($A23,SPPR!$A:$A,0),10),""),"")</f>
        <v/>
      </c>
      <c r="N23">
        <f>IFERROR(IF(ISNUMBER(INDEX(SPPR!$E:$Z,MATCH($A23,SPPR!$A:$A,0),11)),$C23*INDEX(SPPR!$E:$Z,MATCH($A23,SPPR!$A:$A,0),11),""),"")</f>
        <v/>
      </c>
      <c r="O23">
        <f>IFERROR(IF(ISNUMBER(INDEX(SPPR!$E:$Z,MATCH($A23,SPPR!$A:$A,0),12)),$C23*INDEX(SPPR!$E:$Z,MATCH($A23,SPPR!$A:$A,0),12),""),"")</f>
        <v/>
      </c>
      <c r="P23">
        <f>IFERROR(IF(ISNUMBER(INDEX(SPPR!$E:$Z,MATCH($A23,SPPR!$A:$A,0),13)),$C23*INDEX(SPPR!$E:$Z,MATCH($A23,SPPR!$A:$A,0),13),""),"")</f>
        <v/>
      </c>
      <c r="Q23">
        <f>IFERROR(IF(ISNUMBER(INDEX(SPPR!$E:$Z,MATCH($A23,SPPR!$A:$A,0),14)),$C23*INDEX(SPPR!$E:$Z,MATCH($A23,SPPR!$A:$A,0),14),""),"")</f>
        <v/>
      </c>
      <c r="R23">
        <f>IFERROR(IF(ISNUMBER(INDEX(SPPR!$E:$Z,MATCH($A23,SPPR!$A:$A,0),15)),$C23*INDEX(SPPR!$E:$Z,MATCH($A23,SPPR!$A:$A,0),15),""),"")</f>
        <v/>
      </c>
      <c r="S23">
        <f>IFERROR(IF(ISNUMBER(INDEX(SPPR!$E:$Z,MATCH($A23,SPPR!$A:$A,0),16)),$C23*INDEX(SPPR!$E:$Z,MATCH($A23,SPPR!$A:$A,0),16),""),"")</f>
        <v/>
      </c>
      <c r="T23">
        <f>IFERROR(IF(ISNUMBER(INDEX(SPPR!$E:$Z,MATCH($A23,SPPR!$A:$A,0),17)),$C23*INDEX(SPPR!$E:$Z,MATCH($A23,SPPR!$A:$A,0),17),""),"")</f>
        <v/>
      </c>
      <c r="U23">
        <f>IFERROR(IF(ISNUMBER(INDEX(SPPR!$E:$Z,MATCH($A23,SPPR!$A:$A,0),18)),$C23*INDEX(SPPR!$E:$Z,MATCH($A23,SPPR!$A:$A,0),18),""),"")</f>
        <v/>
      </c>
      <c r="V23">
        <f>IFERROR(IF(ISNUMBER(INDEX(SPPR!$E:$Z,MATCH($A23,SPPR!$A:$A,0),19)),$C23*INDEX(SPPR!$E:$Z,MATCH($A23,SPPR!$A:$A,0),19),""),"")</f>
        <v/>
      </c>
      <c r="W23">
        <f>IFERROR(IF(ISNUMBER(INDEX(SPPR!$E:$Z,MATCH($A23,SPPR!$A:$A,0),20)),$C23*INDEX(SPPR!$E:$Z,MATCH($A23,SPPR!$A:$A,0),20),""),"")</f>
        <v/>
      </c>
      <c r="X23">
        <f>IFERROR(IF(ISNUMBER(INDEX(SPPR!$E:$Z,MATCH($A23,SPPR!$A:$A,0),21)),$C23*INDEX(SPPR!$E:$Z,MATCH($A23,SPPR!$A:$A,0),21),""),"")</f>
        <v/>
      </c>
      <c r="Y23">
        <f>IFERROR(IF(ISNUMBER(INDEX(SPPR!$E:$Z,MATCH($A23,SPPR!$A:$A,0),22)),$C23*INDEX(SPPR!$E:$Z,MATCH($A23,SPPR!$A:$A,0),22),""),"")</f>
        <v/>
      </c>
    </row>
    <row r="24">
      <c r="A24" t="inlineStr">
        <is>
          <t>Penaeidae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IFERROR(IF(ISNUMBER(INDEX(SPPR!$E:$Z,MATCH($A24,SPPR!$A:$A,0),1)),$C24*INDEX(SPPR!$E:$Z,MATCH($A24,SPPR!$A:$A,0),1),""),"")</f>
        <v/>
      </c>
      <c r="E24">
        <f>IFERROR(IF(ISNUMBER(INDEX(SPPR!$E:$Z,MATCH($A24,SPPR!$A:$A,0),2)),$C24*INDEX(SPPR!$E:$Z,MATCH($A24,SPPR!$A:$A,0),2),""),"")</f>
        <v/>
      </c>
      <c r="F24">
        <f>IFERROR(IF(ISNUMBER(INDEX(SPPR!$E:$Z,MATCH($A24,SPPR!$A:$A,0),3)),$C24*INDEX(SPPR!$E:$Z,MATCH($A24,SPPR!$A:$A,0),3),""),"")</f>
        <v/>
      </c>
      <c r="G24">
        <f>IFERROR(IF(ISNUMBER(INDEX(SPPR!$E:$Z,MATCH($A24,SPPR!$A:$A,0),4)),$C24*INDEX(SPPR!$E:$Z,MATCH($A24,SPPR!$A:$A,0),4),""),"")</f>
        <v/>
      </c>
      <c r="H24">
        <f>IFERROR(IF(ISNUMBER(INDEX(SPPR!$E:$Z,MATCH($A24,SPPR!$A:$A,0),5)),$C24*INDEX(SPPR!$E:$Z,MATCH($A24,SPPR!$A:$A,0),5),""),"")</f>
        <v/>
      </c>
      <c r="I24">
        <f>IFERROR(IF(ISNUMBER(INDEX(SPPR!$E:$Z,MATCH($A24,SPPR!$A:$A,0),6)),$C24*INDEX(SPPR!$E:$Z,MATCH($A24,SPPR!$A:$A,0),6),""),"")</f>
        <v/>
      </c>
      <c r="J24">
        <f>IFERROR(IF(ISNUMBER(INDEX(SPPR!$E:$Z,MATCH($A24,SPPR!$A:$A,0),7)),$C24*INDEX(SPPR!$E:$Z,MATCH($A24,SPPR!$A:$A,0),7),""),"")</f>
        <v/>
      </c>
      <c r="K24">
        <f>IFERROR(IF(ISNUMBER(INDEX(SPPR!$E:$Z,MATCH($A24,SPPR!$A:$A,0),8)),$C24*INDEX(SPPR!$E:$Z,MATCH($A24,SPPR!$A:$A,0),8),""),"")</f>
        <v/>
      </c>
      <c r="L24">
        <f>IFERROR(IF(ISNUMBER(INDEX(SPPR!$E:$Z,MATCH($A24,SPPR!$A:$A,0),9)),$C24*INDEX(SPPR!$E:$Z,MATCH($A24,SPPR!$A:$A,0),9),""),"")</f>
        <v/>
      </c>
      <c r="M24">
        <f>IFERROR(IF(ISNUMBER(INDEX(SPPR!$E:$Z,MATCH($A24,SPPR!$A:$A,0),10)),$C24*INDEX(SPPR!$E:$Z,MATCH($A24,SPPR!$A:$A,0),10),""),"")</f>
        <v/>
      </c>
      <c r="N24">
        <f>IFERROR(IF(ISNUMBER(INDEX(SPPR!$E:$Z,MATCH($A24,SPPR!$A:$A,0),11)),$C24*INDEX(SPPR!$E:$Z,MATCH($A24,SPPR!$A:$A,0),11),""),"")</f>
        <v/>
      </c>
      <c r="O24">
        <f>IFERROR(IF(ISNUMBER(INDEX(SPPR!$E:$Z,MATCH($A24,SPPR!$A:$A,0),12)),$C24*INDEX(SPPR!$E:$Z,MATCH($A24,SPPR!$A:$A,0),12),""),"")</f>
        <v/>
      </c>
      <c r="P24">
        <f>IFERROR(IF(ISNUMBER(INDEX(SPPR!$E:$Z,MATCH($A24,SPPR!$A:$A,0),13)),$C24*INDEX(SPPR!$E:$Z,MATCH($A24,SPPR!$A:$A,0),13),""),"")</f>
        <v/>
      </c>
      <c r="Q24">
        <f>IFERROR(IF(ISNUMBER(INDEX(SPPR!$E:$Z,MATCH($A24,SPPR!$A:$A,0),14)),$C24*INDEX(SPPR!$E:$Z,MATCH($A24,SPPR!$A:$A,0),14),""),"")</f>
        <v/>
      </c>
      <c r="R24">
        <f>IFERROR(IF(ISNUMBER(INDEX(SPPR!$E:$Z,MATCH($A24,SPPR!$A:$A,0),15)),$C24*INDEX(SPPR!$E:$Z,MATCH($A24,SPPR!$A:$A,0),15),""),"")</f>
        <v/>
      </c>
      <c r="S24">
        <f>IFERROR(IF(ISNUMBER(INDEX(SPPR!$E:$Z,MATCH($A24,SPPR!$A:$A,0),16)),$C24*INDEX(SPPR!$E:$Z,MATCH($A24,SPPR!$A:$A,0),16),""),"")</f>
        <v/>
      </c>
      <c r="T24">
        <f>IFERROR(IF(ISNUMBER(INDEX(SPPR!$E:$Z,MATCH($A24,SPPR!$A:$A,0),17)),$C24*INDEX(SPPR!$E:$Z,MATCH($A24,SPPR!$A:$A,0),17),""),"")</f>
        <v/>
      </c>
      <c r="U24">
        <f>IFERROR(IF(ISNUMBER(INDEX(SPPR!$E:$Z,MATCH($A24,SPPR!$A:$A,0),18)),$C24*INDEX(SPPR!$E:$Z,MATCH($A24,SPPR!$A:$A,0),18),""),"")</f>
        <v/>
      </c>
      <c r="V24">
        <f>IFERROR(IF(ISNUMBER(INDEX(SPPR!$E:$Z,MATCH($A24,SPPR!$A:$A,0),19)),$C24*INDEX(SPPR!$E:$Z,MATCH($A24,SPPR!$A:$A,0),19),""),"")</f>
        <v/>
      </c>
      <c r="W24">
        <f>IFERROR(IF(ISNUMBER(INDEX(SPPR!$E:$Z,MATCH($A24,SPPR!$A:$A,0),20)),$C24*INDEX(SPPR!$E:$Z,MATCH($A24,SPPR!$A:$A,0),20),""),"")</f>
        <v/>
      </c>
      <c r="X24">
        <f>IFERROR(IF(ISNUMBER(INDEX(SPPR!$E:$Z,MATCH($A24,SPPR!$A:$A,0),21)),$C24*INDEX(SPPR!$E:$Z,MATCH($A24,SPPR!$A:$A,0),21),""),"")</f>
        <v/>
      </c>
      <c r="Y24">
        <f>IFERROR(IF(ISNUMBER(INDEX(SPPR!$E:$Z,MATCH($A24,SPPR!$A:$A,0),22)),$C24*INDEX(SPPR!$E:$Z,MATCH($A24,SPPR!$A:$A,0),22),""),"")</f>
        <v/>
      </c>
    </row>
    <row r="25">
      <c r="A25" t="inlineStr">
        <is>
          <t>Rastrelliger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IFERROR(IF(ISNUMBER(INDEX(SPPR!$E:$Z,MATCH($A25,SPPR!$A:$A,0),1)),$C25*INDEX(SPPR!$E:$Z,MATCH($A25,SPPR!$A:$A,0),1),""),"")</f>
        <v/>
      </c>
      <c r="E25">
        <f>IFERROR(IF(ISNUMBER(INDEX(SPPR!$E:$Z,MATCH($A25,SPPR!$A:$A,0),2)),$C25*INDEX(SPPR!$E:$Z,MATCH($A25,SPPR!$A:$A,0),2),""),"")</f>
        <v/>
      </c>
      <c r="F25">
        <f>IFERROR(IF(ISNUMBER(INDEX(SPPR!$E:$Z,MATCH($A25,SPPR!$A:$A,0),3)),$C25*INDEX(SPPR!$E:$Z,MATCH($A25,SPPR!$A:$A,0),3),""),"")</f>
        <v/>
      </c>
      <c r="G25">
        <f>IFERROR(IF(ISNUMBER(INDEX(SPPR!$E:$Z,MATCH($A25,SPPR!$A:$A,0),4)),$C25*INDEX(SPPR!$E:$Z,MATCH($A25,SPPR!$A:$A,0),4),""),"")</f>
        <v/>
      </c>
      <c r="H25">
        <f>IFERROR(IF(ISNUMBER(INDEX(SPPR!$E:$Z,MATCH($A25,SPPR!$A:$A,0),5)),$C25*INDEX(SPPR!$E:$Z,MATCH($A25,SPPR!$A:$A,0),5),""),"")</f>
        <v/>
      </c>
      <c r="I25">
        <f>IFERROR(IF(ISNUMBER(INDEX(SPPR!$E:$Z,MATCH($A25,SPPR!$A:$A,0),6)),$C25*INDEX(SPPR!$E:$Z,MATCH($A25,SPPR!$A:$A,0),6),""),"")</f>
        <v/>
      </c>
      <c r="J25">
        <f>IFERROR(IF(ISNUMBER(INDEX(SPPR!$E:$Z,MATCH($A25,SPPR!$A:$A,0),7)),$C25*INDEX(SPPR!$E:$Z,MATCH($A25,SPPR!$A:$A,0),7),""),"")</f>
        <v/>
      </c>
      <c r="K25">
        <f>IFERROR(IF(ISNUMBER(INDEX(SPPR!$E:$Z,MATCH($A25,SPPR!$A:$A,0),8)),$C25*INDEX(SPPR!$E:$Z,MATCH($A25,SPPR!$A:$A,0),8),""),"")</f>
        <v/>
      </c>
      <c r="L25">
        <f>IFERROR(IF(ISNUMBER(INDEX(SPPR!$E:$Z,MATCH($A25,SPPR!$A:$A,0),9)),$C25*INDEX(SPPR!$E:$Z,MATCH($A25,SPPR!$A:$A,0),9),""),"")</f>
        <v/>
      </c>
      <c r="M25">
        <f>IFERROR(IF(ISNUMBER(INDEX(SPPR!$E:$Z,MATCH($A25,SPPR!$A:$A,0),10)),$C25*INDEX(SPPR!$E:$Z,MATCH($A25,SPPR!$A:$A,0),10),""),"")</f>
        <v/>
      </c>
      <c r="N25">
        <f>IFERROR(IF(ISNUMBER(INDEX(SPPR!$E:$Z,MATCH($A25,SPPR!$A:$A,0),11)),$C25*INDEX(SPPR!$E:$Z,MATCH($A25,SPPR!$A:$A,0),11),""),"")</f>
        <v/>
      </c>
      <c r="O25">
        <f>IFERROR(IF(ISNUMBER(INDEX(SPPR!$E:$Z,MATCH($A25,SPPR!$A:$A,0),12)),$C25*INDEX(SPPR!$E:$Z,MATCH($A25,SPPR!$A:$A,0),12),""),"")</f>
        <v/>
      </c>
      <c r="P25">
        <f>IFERROR(IF(ISNUMBER(INDEX(SPPR!$E:$Z,MATCH($A25,SPPR!$A:$A,0),13)),$C25*INDEX(SPPR!$E:$Z,MATCH($A25,SPPR!$A:$A,0),13),""),"")</f>
        <v/>
      </c>
      <c r="Q25">
        <f>IFERROR(IF(ISNUMBER(INDEX(SPPR!$E:$Z,MATCH($A25,SPPR!$A:$A,0),14)),$C25*INDEX(SPPR!$E:$Z,MATCH($A25,SPPR!$A:$A,0),14),""),"")</f>
        <v/>
      </c>
      <c r="R25">
        <f>IFERROR(IF(ISNUMBER(INDEX(SPPR!$E:$Z,MATCH($A25,SPPR!$A:$A,0),15)),$C25*INDEX(SPPR!$E:$Z,MATCH($A25,SPPR!$A:$A,0),15),""),"")</f>
        <v/>
      </c>
      <c r="S25">
        <f>IFERROR(IF(ISNUMBER(INDEX(SPPR!$E:$Z,MATCH($A25,SPPR!$A:$A,0),16)),$C25*INDEX(SPPR!$E:$Z,MATCH($A25,SPPR!$A:$A,0),16),""),"")</f>
        <v/>
      </c>
      <c r="T25">
        <f>IFERROR(IF(ISNUMBER(INDEX(SPPR!$E:$Z,MATCH($A25,SPPR!$A:$A,0),17)),$C25*INDEX(SPPR!$E:$Z,MATCH($A25,SPPR!$A:$A,0),17),""),"")</f>
        <v/>
      </c>
      <c r="U25">
        <f>IFERROR(IF(ISNUMBER(INDEX(SPPR!$E:$Z,MATCH($A25,SPPR!$A:$A,0),18)),$C25*INDEX(SPPR!$E:$Z,MATCH($A25,SPPR!$A:$A,0),18),""),"")</f>
        <v/>
      </c>
      <c r="V25">
        <f>IFERROR(IF(ISNUMBER(INDEX(SPPR!$E:$Z,MATCH($A25,SPPR!$A:$A,0),19)),$C25*INDEX(SPPR!$E:$Z,MATCH($A25,SPPR!$A:$A,0),19),""),"")</f>
        <v/>
      </c>
      <c r="W25">
        <f>IFERROR(IF(ISNUMBER(INDEX(SPPR!$E:$Z,MATCH($A25,SPPR!$A:$A,0),20)),$C25*INDEX(SPPR!$E:$Z,MATCH($A25,SPPR!$A:$A,0),20),""),"")</f>
        <v/>
      </c>
      <c r="X25">
        <f>IFERROR(IF(ISNUMBER(INDEX(SPPR!$E:$Z,MATCH($A25,SPPR!$A:$A,0),21)),$C25*INDEX(SPPR!$E:$Z,MATCH($A25,SPPR!$A:$A,0),21),""),"")</f>
        <v/>
      </c>
      <c r="Y25">
        <f>IFERROR(IF(ISNUMBER(INDEX(SPPR!$E:$Z,MATCH($A25,SPPR!$A:$A,0),22)),$C25*INDEX(SPPR!$E:$Z,MATCH($A25,SPPR!$A:$A,0),22),""),"")</f>
        <v/>
      </c>
    </row>
    <row r="26">
      <c r="A26" t="inlineStr">
        <is>
          <t>Decapterus russelli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IFERROR(IF(ISNUMBER(INDEX(SPPR!$E:$Z,MATCH($A26,SPPR!$A:$A,0),1)),$C26*INDEX(SPPR!$E:$Z,MATCH($A26,SPPR!$A:$A,0),1),""),"")</f>
        <v/>
      </c>
      <c r="E26">
        <f>IFERROR(IF(ISNUMBER(INDEX(SPPR!$E:$Z,MATCH($A26,SPPR!$A:$A,0),2)),$C26*INDEX(SPPR!$E:$Z,MATCH($A26,SPPR!$A:$A,0),2),""),"")</f>
        <v/>
      </c>
      <c r="F26">
        <f>IFERROR(IF(ISNUMBER(INDEX(SPPR!$E:$Z,MATCH($A26,SPPR!$A:$A,0),3)),$C26*INDEX(SPPR!$E:$Z,MATCH($A26,SPPR!$A:$A,0),3),""),"")</f>
        <v/>
      </c>
      <c r="G26">
        <f>IFERROR(IF(ISNUMBER(INDEX(SPPR!$E:$Z,MATCH($A26,SPPR!$A:$A,0),4)),$C26*INDEX(SPPR!$E:$Z,MATCH($A26,SPPR!$A:$A,0),4),""),"")</f>
        <v/>
      </c>
      <c r="H26">
        <f>IFERROR(IF(ISNUMBER(INDEX(SPPR!$E:$Z,MATCH($A26,SPPR!$A:$A,0),5)),$C26*INDEX(SPPR!$E:$Z,MATCH($A26,SPPR!$A:$A,0),5),""),"")</f>
        <v/>
      </c>
      <c r="I26">
        <f>IFERROR(IF(ISNUMBER(INDEX(SPPR!$E:$Z,MATCH($A26,SPPR!$A:$A,0),6)),$C26*INDEX(SPPR!$E:$Z,MATCH($A26,SPPR!$A:$A,0),6),""),"")</f>
        <v/>
      </c>
      <c r="J26">
        <f>IFERROR(IF(ISNUMBER(INDEX(SPPR!$E:$Z,MATCH($A26,SPPR!$A:$A,0),7)),$C26*INDEX(SPPR!$E:$Z,MATCH($A26,SPPR!$A:$A,0),7),""),"")</f>
        <v/>
      </c>
      <c r="K26">
        <f>IFERROR(IF(ISNUMBER(INDEX(SPPR!$E:$Z,MATCH($A26,SPPR!$A:$A,0),8)),$C26*INDEX(SPPR!$E:$Z,MATCH($A26,SPPR!$A:$A,0),8),""),"")</f>
        <v/>
      </c>
      <c r="L26">
        <f>IFERROR(IF(ISNUMBER(INDEX(SPPR!$E:$Z,MATCH($A26,SPPR!$A:$A,0),9)),$C26*INDEX(SPPR!$E:$Z,MATCH($A26,SPPR!$A:$A,0),9),""),"")</f>
        <v/>
      </c>
      <c r="M26">
        <f>IFERROR(IF(ISNUMBER(INDEX(SPPR!$E:$Z,MATCH($A26,SPPR!$A:$A,0),10)),$C26*INDEX(SPPR!$E:$Z,MATCH($A26,SPPR!$A:$A,0),10),""),"")</f>
        <v/>
      </c>
      <c r="N26">
        <f>IFERROR(IF(ISNUMBER(INDEX(SPPR!$E:$Z,MATCH($A26,SPPR!$A:$A,0),11)),$C26*INDEX(SPPR!$E:$Z,MATCH($A26,SPPR!$A:$A,0),11),""),"")</f>
        <v/>
      </c>
      <c r="O26">
        <f>IFERROR(IF(ISNUMBER(INDEX(SPPR!$E:$Z,MATCH($A26,SPPR!$A:$A,0),12)),$C26*INDEX(SPPR!$E:$Z,MATCH($A26,SPPR!$A:$A,0),12),""),"")</f>
        <v/>
      </c>
      <c r="P26">
        <f>IFERROR(IF(ISNUMBER(INDEX(SPPR!$E:$Z,MATCH($A26,SPPR!$A:$A,0),13)),$C26*INDEX(SPPR!$E:$Z,MATCH($A26,SPPR!$A:$A,0),13),""),"")</f>
        <v/>
      </c>
      <c r="Q26">
        <f>IFERROR(IF(ISNUMBER(INDEX(SPPR!$E:$Z,MATCH($A26,SPPR!$A:$A,0),14)),$C26*INDEX(SPPR!$E:$Z,MATCH($A26,SPPR!$A:$A,0),14),""),"")</f>
        <v/>
      </c>
      <c r="R26">
        <f>IFERROR(IF(ISNUMBER(INDEX(SPPR!$E:$Z,MATCH($A26,SPPR!$A:$A,0),15)),$C26*INDEX(SPPR!$E:$Z,MATCH($A26,SPPR!$A:$A,0),15),""),"")</f>
        <v/>
      </c>
      <c r="S26">
        <f>IFERROR(IF(ISNUMBER(INDEX(SPPR!$E:$Z,MATCH($A26,SPPR!$A:$A,0),16)),$C26*INDEX(SPPR!$E:$Z,MATCH($A26,SPPR!$A:$A,0),16),""),"")</f>
        <v/>
      </c>
      <c r="T26">
        <f>IFERROR(IF(ISNUMBER(INDEX(SPPR!$E:$Z,MATCH($A26,SPPR!$A:$A,0),17)),$C26*INDEX(SPPR!$E:$Z,MATCH($A26,SPPR!$A:$A,0),17),""),"")</f>
        <v/>
      </c>
      <c r="U26">
        <f>IFERROR(IF(ISNUMBER(INDEX(SPPR!$E:$Z,MATCH($A26,SPPR!$A:$A,0),18)),$C26*INDEX(SPPR!$E:$Z,MATCH($A26,SPPR!$A:$A,0),18),""),"")</f>
        <v/>
      </c>
      <c r="V26">
        <f>IFERROR(IF(ISNUMBER(INDEX(SPPR!$E:$Z,MATCH($A26,SPPR!$A:$A,0),19)),$C26*INDEX(SPPR!$E:$Z,MATCH($A26,SPPR!$A:$A,0),19),""),"")</f>
        <v/>
      </c>
      <c r="W26">
        <f>IFERROR(IF(ISNUMBER(INDEX(SPPR!$E:$Z,MATCH($A26,SPPR!$A:$A,0),20)),$C26*INDEX(SPPR!$E:$Z,MATCH($A26,SPPR!$A:$A,0),20),""),"")</f>
        <v/>
      </c>
      <c r="X26">
        <f>IFERROR(IF(ISNUMBER(INDEX(SPPR!$E:$Z,MATCH($A26,SPPR!$A:$A,0),21)),$C26*INDEX(SPPR!$E:$Z,MATCH($A26,SPPR!$A:$A,0),21),""),"")</f>
        <v/>
      </c>
      <c r="Y26">
        <f>IFERROR(IF(ISNUMBER(INDEX(SPPR!$E:$Z,MATCH($A26,SPPR!$A:$A,0),22)),$C26*INDEX(SPPR!$E:$Z,MATCH($A26,SPPR!$A:$A,0),22),""),"")</f>
        <v/>
      </c>
    </row>
    <row r="27">
      <c r="A27" t="inlineStr">
        <is>
          <t>Nemipterus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IFERROR(IF(ISNUMBER(INDEX(SPPR!$E:$Z,MATCH($A27,SPPR!$A:$A,0),1)),$C27*INDEX(SPPR!$E:$Z,MATCH($A27,SPPR!$A:$A,0),1),""),"")</f>
        <v/>
      </c>
      <c r="E27">
        <f>IFERROR(IF(ISNUMBER(INDEX(SPPR!$E:$Z,MATCH($A27,SPPR!$A:$A,0),2)),$C27*INDEX(SPPR!$E:$Z,MATCH($A27,SPPR!$A:$A,0),2),""),"")</f>
        <v/>
      </c>
      <c r="F27">
        <f>IFERROR(IF(ISNUMBER(INDEX(SPPR!$E:$Z,MATCH($A27,SPPR!$A:$A,0),3)),$C27*INDEX(SPPR!$E:$Z,MATCH($A27,SPPR!$A:$A,0),3),""),"")</f>
        <v/>
      </c>
      <c r="G27">
        <f>IFERROR(IF(ISNUMBER(INDEX(SPPR!$E:$Z,MATCH($A27,SPPR!$A:$A,0),4)),$C27*INDEX(SPPR!$E:$Z,MATCH($A27,SPPR!$A:$A,0),4),""),"")</f>
        <v/>
      </c>
      <c r="H27">
        <f>IFERROR(IF(ISNUMBER(INDEX(SPPR!$E:$Z,MATCH($A27,SPPR!$A:$A,0),5)),$C27*INDEX(SPPR!$E:$Z,MATCH($A27,SPPR!$A:$A,0),5),""),"")</f>
        <v/>
      </c>
      <c r="I27">
        <f>IFERROR(IF(ISNUMBER(INDEX(SPPR!$E:$Z,MATCH($A27,SPPR!$A:$A,0),6)),$C27*INDEX(SPPR!$E:$Z,MATCH($A27,SPPR!$A:$A,0),6),""),"")</f>
        <v/>
      </c>
      <c r="J27">
        <f>IFERROR(IF(ISNUMBER(INDEX(SPPR!$E:$Z,MATCH($A27,SPPR!$A:$A,0),7)),$C27*INDEX(SPPR!$E:$Z,MATCH($A27,SPPR!$A:$A,0),7),""),"")</f>
        <v/>
      </c>
      <c r="K27">
        <f>IFERROR(IF(ISNUMBER(INDEX(SPPR!$E:$Z,MATCH($A27,SPPR!$A:$A,0),8)),$C27*INDEX(SPPR!$E:$Z,MATCH($A27,SPPR!$A:$A,0),8),""),"")</f>
        <v/>
      </c>
      <c r="L27">
        <f>IFERROR(IF(ISNUMBER(INDEX(SPPR!$E:$Z,MATCH($A27,SPPR!$A:$A,0),9)),$C27*INDEX(SPPR!$E:$Z,MATCH($A27,SPPR!$A:$A,0),9),""),"")</f>
        <v/>
      </c>
      <c r="M27">
        <f>IFERROR(IF(ISNUMBER(INDEX(SPPR!$E:$Z,MATCH($A27,SPPR!$A:$A,0),10)),$C27*INDEX(SPPR!$E:$Z,MATCH($A27,SPPR!$A:$A,0),10),""),"")</f>
        <v/>
      </c>
      <c r="N27">
        <f>IFERROR(IF(ISNUMBER(INDEX(SPPR!$E:$Z,MATCH($A27,SPPR!$A:$A,0),11)),$C27*INDEX(SPPR!$E:$Z,MATCH($A27,SPPR!$A:$A,0),11),""),"")</f>
        <v/>
      </c>
      <c r="O27">
        <f>IFERROR(IF(ISNUMBER(INDEX(SPPR!$E:$Z,MATCH($A27,SPPR!$A:$A,0),12)),$C27*INDEX(SPPR!$E:$Z,MATCH($A27,SPPR!$A:$A,0),12),""),"")</f>
        <v/>
      </c>
      <c r="P27">
        <f>IFERROR(IF(ISNUMBER(INDEX(SPPR!$E:$Z,MATCH($A27,SPPR!$A:$A,0),13)),$C27*INDEX(SPPR!$E:$Z,MATCH($A27,SPPR!$A:$A,0),13),""),"")</f>
        <v/>
      </c>
      <c r="Q27">
        <f>IFERROR(IF(ISNUMBER(INDEX(SPPR!$E:$Z,MATCH($A27,SPPR!$A:$A,0),14)),$C27*INDEX(SPPR!$E:$Z,MATCH($A27,SPPR!$A:$A,0),14),""),"")</f>
        <v/>
      </c>
      <c r="R27">
        <f>IFERROR(IF(ISNUMBER(INDEX(SPPR!$E:$Z,MATCH($A27,SPPR!$A:$A,0),15)),$C27*INDEX(SPPR!$E:$Z,MATCH($A27,SPPR!$A:$A,0),15),""),"")</f>
        <v/>
      </c>
      <c r="S27">
        <f>IFERROR(IF(ISNUMBER(INDEX(SPPR!$E:$Z,MATCH($A27,SPPR!$A:$A,0),16)),$C27*INDEX(SPPR!$E:$Z,MATCH($A27,SPPR!$A:$A,0),16),""),"")</f>
        <v/>
      </c>
      <c r="T27">
        <f>IFERROR(IF(ISNUMBER(INDEX(SPPR!$E:$Z,MATCH($A27,SPPR!$A:$A,0),17)),$C27*INDEX(SPPR!$E:$Z,MATCH($A27,SPPR!$A:$A,0),17),""),"")</f>
        <v/>
      </c>
      <c r="U27">
        <f>IFERROR(IF(ISNUMBER(INDEX(SPPR!$E:$Z,MATCH($A27,SPPR!$A:$A,0),18)),$C27*INDEX(SPPR!$E:$Z,MATCH($A27,SPPR!$A:$A,0),18),""),"")</f>
        <v/>
      </c>
      <c r="V27">
        <f>IFERROR(IF(ISNUMBER(INDEX(SPPR!$E:$Z,MATCH($A27,SPPR!$A:$A,0),19)),$C27*INDEX(SPPR!$E:$Z,MATCH($A27,SPPR!$A:$A,0),19),""),"")</f>
        <v/>
      </c>
      <c r="W27">
        <f>IFERROR(IF(ISNUMBER(INDEX(SPPR!$E:$Z,MATCH($A27,SPPR!$A:$A,0),20)),$C27*INDEX(SPPR!$E:$Z,MATCH($A27,SPPR!$A:$A,0),20),""),"")</f>
        <v/>
      </c>
      <c r="X27">
        <f>IFERROR(IF(ISNUMBER(INDEX(SPPR!$E:$Z,MATCH($A27,SPPR!$A:$A,0),21)),$C27*INDEX(SPPR!$E:$Z,MATCH($A27,SPPR!$A:$A,0),21),""),"")</f>
        <v/>
      </c>
      <c r="Y27">
        <f>IFERROR(IF(ISNUMBER(INDEX(SPPR!$E:$Z,MATCH($A27,SPPR!$A:$A,0),22)),$C27*INDEX(SPPR!$E:$Z,MATCH($A27,SPPR!$A:$A,0),22),""),"")</f>
        <v/>
      </c>
    </row>
    <row r="28">
      <c r="A28" t="inlineStr">
        <is>
          <t>Portunus pelagicus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IFERROR(IF(ISNUMBER(INDEX(SPPR!$E:$Z,MATCH($A28,SPPR!$A:$A,0),1)),$C28*INDEX(SPPR!$E:$Z,MATCH($A28,SPPR!$A:$A,0),1),""),"")</f>
        <v/>
      </c>
      <c r="E28">
        <f>IFERROR(IF(ISNUMBER(INDEX(SPPR!$E:$Z,MATCH($A28,SPPR!$A:$A,0),2)),$C28*INDEX(SPPR!$E:$Z,MATCH($A28,SPPR!$A:$A,0),2),""),"")</f>
        <v/>
      </c>
      <c r="F28">
        <f>IFERROR(IF(ISNUMBER(INDEX(SPPR!$E:$Z,MATCH($A28,SPPR!$A:$A,0),3)),$C28*INDEX(SPPR!$E:$Z,MATCH($A28,SPPR!$A:$A,0),3),""),"")</f>
        <v/>
      </c>
      <c r="G28">
        <f>IFERROR(IF(ISNUMBER(INDEX(SPPR!$E:$Z,MATCH($A28,SPPR!$A:$A,0),4)),$C28*INDEX(SPPR!$E:$Z,MATCH($A28,SPPR!$A:$A,0),4),""),"")</f>
        <v/>
      </c>
      <c r="H28">
        <f>IFERROR(IF(ISNUMBER(INDEX(SPPR!$E:$Z,MATCH($A28,SPPR!$A:$A,0),5)),$C28*INDEX(SPPR!$E:$Z,MATCH($A28,SPPR!$A:$A,0),5),""),"")</f>
        <v/>
      </c>
      <c r="I28">
        <f>IFERROR(IF(ISNUMBER(INDEX(SPPR!$E:$Z,MATCH($A28,SPPR!$A:$A,0),6)),$C28*INDEX(SPPR!$E:$Z,MATCH($A28,SPPR!$A:$A,0),6),""),"")</f>
        <v/>
      </c>
      <c r="J28">
        <f>IFERROR(IF(ISNUMBER(INDEX(SPPR!$E:$Z,MATCH($A28,SPPR!$A:$A,0),7)),$C28*INDEX(SPPR!$E:$Z,MATCH($A28,SPPR!$A:$A,0),7),""),"")</f>
        <v/>
      </c>
      <c r="K28">
        <f>IFERROR(IF(ISNUMBER(INDEX(SPPR!$E:$Z,MATCH($A28,SPPR!$A:$A,0),8)),$C28*INDEX(SPPR!$E:$Z,MATCH($A28,SPPR!$A:$A,0),8),""),"")</f>
        <v/>
      </c>
      <c r="L28">
        <f>IFERROR(IF(ISNUMBER(INDEX(SPPR!$E:$Z,MATCH($A28,SPPR!$A:$A,0),9)),$C28*INDEX(SPPR!$E:$Z,MATCH($A28,SPPR!$A:$A,0),9),""),"")</f>
        <v/>
      </c>
      <c r="M28">
        <f>IFERROR(IF(ISNUMBER(INDEX(SPPR!$E:$Z,MATCH($A28,SPPR!$A:$A,0),10)),$C28*INDEX(SPPR!$E:$Z,MATCH($A28,SPPR!$A:$A,0),10),""),"")</f>
        <v/>
      </c>
      <c r="N28">
        <f>IFERROR(IF(ISNUMBER(INDEX(SPPR!$E:$Z,MATCH($A28,SPPR!$A:$A,0),11)),$C28*INDEX(SPPR!$E:$Z,MATCH($A28,SPPR!$A:$A,0),11),""),"")</f>
        <v/>
      </c>
      <c r="O28">
        <f>IFERROR(IF(ISNUMBER(INDEX(SPPR!$E:$Z,MATCH($A28,SPPR!$A:$A,0),12)),$C28*INDEX(SPPR!$E:$Z,MATCH($A28,SPPR!$A:$A,0),12),""),"")</f>
        <v/>
      </c>
      <c r="P28">
        <f>IFERROR(IF(ISNUMBER(INDEX(SPPR!$E:$Z,MATCH($A28,SPPR!$A:$A,0),13)),$C28*INDEX(SPPR!$E:$Z,MATCH($A28,SPPR!$A:$A,0),13),""),"")</f>
        <v/>
      </c>
      <c r="Q28">
        <f>IFERROR(IF(ISNUMBER(INDEX(SPPR!$E:$Z,MATCH($A28,SPPR!$A:$A,0),14)),$C28*INDEX(SPPR!$E:$Z,MATCH($A28,SPPR!$A:$A,0),14),""),"")</f>
        <v/>
      </c>
      <c r="R28">
        <f>IFERROR(IF(ISNUMBER(INDEX(SPPR!$E:$Z,MATCH($A28,SPPR!$A:$A,0),15)),$C28*INDEX(SPPR!$E:$Z,MATCH($A28,SPPR!$A:$A,0),15),""),"")</f>
        <v/>
      </c>
      <c r="S28">
        <f>IFERROR(IF(ISNUMBER(INDEX(SPPR!$E:$Z,MATCH($A28,SPPR!$A:$A,0),16)),$C28*INDEX(SPPR!$E:$Z,MATCH($A28,SPPR!$A:$A,0),16),""),"")</f>
        <v/>
      </c>
      <c r="T28">
        <f>IFERROR(IF(ISNUMBER(INDEX(SPPR!$E:$Z,MATCH($A28,SPPR!$A:$A,0),17)),$C28*INDEX(SPPR!$E:$Z,MATCH($A28,SPPR!$A:$A,0),17),""),"")</f>
        <v/>
      </c>
      <c r="U28">
        <f>IFERROR(IF(ISNUMBER(INDEX(SPPR!$E:$Z,MATCH($A28,SPPR!$A:$A,0),18)),$C28*INDEX(SPPR!$E:$Z,MATCH($A28,SPPR!$A:$A,0),18),""),"")</f>
        <v/>
      </c>
      <c r="V28">
        <f>IFERROR(IF(ISNUMBER(INDEX(SPPR!$E:$Z,MATCH($A28,SPPR!$A:$A,0),19)),$C28*INDEX(SPPR!$E:$Z,MATCH($A28,SPPR!$A:$A,0),19),""),"")</f>
        <v/>
      </c>
      <c r="W28">
        <f>IFERROR(IF(ISNUMBER(INDEX(SPPR!$E:$Z,MATCH($A28,SPPR!$A:$A,0),20)),$C28*INDEX(SPPR!$E:$Z,MATCH($A28,SPPR!$A:$A,0),20),""),"")</f>
        <v/>
      </c>
      <c r="X28">
        <f>IFERROR(IF(ISNUMBER(INDEX(SPPR!$E:$Z,MATCH($A28,SPPR!$A:$A,0),21)),$C28*INDEX(SPPR!$E:$Z,MATCH($A28,SPPR!$A:$A,0),21),""),"")</f>
        <v/>
      </c>
      <c r="Y28">
        <f>IFERROR(IF(ISNUMBER(INDEX(SPPR!$E:$Z,MATCH($A28,SPPR!$A:$A,0),22)),$C28*INDEX(SPPR!$E:$Z,MATCH($A28,SPPR!$A:$A,0),22),""),"")</f>
        <v/>
      </c>
    </row>
    <row r="29">
      <c r="A29" t="inlineStr">
        <is>
          <t>Veneridae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IFERROR(IF(ISNUMBER(INDEX(SPPR!$E:$Z,MATCH($A29,SPPR!$A:$A,0),1)),$C29*INDEX(SPPR!$E:$Z,MATCH($A29,SPPR!$A:$A,0),1),""),"")</f>
        <v/>
      </c>
      <c r="E29">
        <f>IFERROR(IF(ISNUMBER(INDEX(SPPR!$E:$Z,MATCH($A29,SPPR!$A:$A,0),2)),$C29*INDEX(SPPR!$E:$Z,MATCH($A29,SPPR!$A:$A,0),2),""),"")</f>
        <v/>
      </c>
      <c r="F29">
        <f>IFERROR(IF(ISNUMBER(INDEX(SPPR!$E:$Z,MATCH($A29,SPPR!$A:$A,0),3)),$C29*INDEX(SPPR!$E:$Z,MATCH($A29,SPPR!$A:$A,0),3),""),"")</f>
        <v/>
      </c>
      <c r="G29">
        <f>IFERROR(IF(ISNUMBER(INDEX(SPPR!$E:$Z,MATCH($A29,SPPR!$A:$A,0),4)),$C29*INDEX(SPPR!$E:$Z,MATCH($A29,SPPR!$A:$A,0),4),""),"")</f>
        <v/>
      </c>
      <c r="H29">
        <f>IFERROR(IF(ISNUMBER(INDEX(SPPR!$E:$Z,MATCH($A29,SPPR!$A:$A,0),5)),$C29*INDEX(SPPR!$E:$Z,MATCH($A29,SPPR!$A:$A,0),5),""),"")</f>
        <v/>
      </c>
      <c r="I29">
        <f>IFERROR(IF(ISNUMBER(INDEX(SPPR!$E:$Z,MATCH($A29,SPPR!$A:$A,0),6)),$C29*INDEX(SPPR!$E:$Z,MATCH($A29,SPPR!$A:$A,0),6),""),"")</f>
        <v/>
      </c>
      <c r="J29">
        <f>IFERROR(IF(ISNUMBER(INDEX(SPPR!$E:$Z,MATCH($A29,SPPR!$A:$A,0),7)),$C29*INDEX(SPPR!$E:$Z,MATCH($A29,SPPR!$A:$A,0),7),""),"")</f>
        <v/>
      </c>
      <c r="K29">
        <f>IFERROR(IF(ISNUMBER(INDEX(SPPR!$E:$Z,MATCH($A29,SPPR!$A:$A,0),8)),$C29*INDEX(SPPR!$E:$Z,MATCH($A29,SPPR!$A:$A,0),8),""),"")</f>
        <v/>
      </c>
      <c r="L29">
        <f>IFERROR(IF(ISNUMBER(INDEX(SPPR!$E:$Z,MATCH($A29,SPPR!$A:$A,0),9)),$C29*INDEX(SPPR!$E:$Z,MATCH($A29,SPPR!$A:$A,0),9),""),"")</f>
        <v/>
      </c>
      <c r="M29">
        <f>IFERROR(IF(ISNUMBER(INDEX(SPPR!$E:$Z,MATCH($A29,SPPR!$A:$A,0),10)),$C29*INDEX(SPPR!$E:$Z,MATCH($A29,SPPR!$A:$A,0),10),""),"")</f>
        <v/>
      </c>
      <c r="N29">
        <f>IFERROR(IF(ISNUMBER(INDEX(SPPR!$E:$Z,MATCH($A29,SPPR!$A:$A,0),11)),$C29*INDEX(SPPR!$E:$Z,MATCH($A29,SPPR!$A:$A,0),11),""),"")</f>
        <v/>
      </c>
      <c r="O29">
        <f>IFERROR(IF(ISNUMBER(INDEX(SPPR!$E:$Z,MATCH($A29,SPPR!$A:$A,0),12)),$C29*INDEX(SPPR!$E:$Z,MATCH($A29,SPPR!$A:$A,0),12),""),"")</f>
        <v/>
      </c>
      <c r="P29">
        <f>IFERROR(IF(ISNUMBER(INDEX(SPPR!$E:$Z,MATCH($A29,SPPR!$A:$A,0),13)),$C29*INDEX(SPPR!$E:$Z,MATCH($A29,SPPR!$A:$A,0),13),""),"")</f>
        <v/>
      </c>
      <c r="Q29">
        <f>IFERROR(IF(ISNUMBER(INDEX(SPPR!$E:$Z,MATCH($A29,SPPR!$A:$A,0),14)),$C29*INDEX(SPPR!$E:$Z,MATCH($A29,SPPR!$A:$A,0),14),""),"")</f>
        <v/>
      </c>
      <c r="R29">
        <f>IFERROR(IF(ISNUMBER(INDEX(SPPR!$E:$Z,MATCH($A29,SPPR!$A:$A,0),15)),$C29*INDEX(SPPR!$E:$Z,MATCH($A29,SPPR!$A:$A,0),15),""),"")</f>
        <v/>
      </c>
      <c r="S29">
        <f>IFERROR(IF(ISNUMBER(INDEX(SPPR!$E:$Z,MATCH($A29,SPPR!$A:$A,0),16)),$C29*INDEX(SPPR!$E:$Z,MATCH($A29,SPPR!$A:$A,0),16),""),"")</f>
        <v/>
      </c>
      <c r="T29">
        <f>IFERROR(IF(ISNUMBER(INDEX(SPPR!$E:$Z,MATCH($A29,SPPR!$A:$A,0),17)),$C29*INDEX(SPPR!$E:$Z,MATCH($A29,SPPR!$A:$A,0),17),""),"")</f>
        <v/>
      </c>
      <c r="U29">
        <f>IFERROR(IF(ISNUMBER(INDEX(SPPR!$E:$Z,MATCH($A29,SPPR!$A:$A,0),18)),$C29*INDEX(SPPR!$E:$Z,MATCH($A29,SPPR!$A:$A,0),18),""),"")</f>
        <v/>
      </c>
      <c r="V29">
        <f>IFERROR(IF(ISNUMBER(INDEX(SPPR!$E:$Z,MATCH($A29,SPPR!$A:$A,0),19)),$C29*INDEX(SPPR!$E:$Z,MATCH($A29,SPPR!$A:$A,0),19),""),"")</f>
        <v/>
      </c>
      <c r="W29">
        <f>IFERROR(IF(ISNUMBER(INDEX(SPPR!$E:$Z,MATCH($A29,SPPR!$A:$A,0),20)),$C29*INDEX(SPPR!$E:$Z,MATCH($A29,SPPR!$A:$A,0),20),""),"")</f>
        <v/>
      </c>
      <c r="X29">
        <f>IFERROR(IF(ISNUMBER(INDEX(SPPR!$E:$Z,MATCH($A29,SPPR!$A:$A,0),21)),$C29*INDEX(SPPR!$E:$Z,MATCH($A29,SPPR!$A:$A,0),21),""),"")</f>
        <v/>
      </c>
      <c r="Y29">
        <f>IFERROR(IF(ISNUMBER(INDEX(SPPR!$E:$Z,MATCH($A29,SPPR!$A:$A,0),22)),$C29*INDEX(SPPR!$E:$Z,MATCH($A29,SPPR!$A:$A,0),22),""),"")</f>
        <v/>
      </c>
    </row>
    <row r="30">
      <c r="A30" t="inlineStr">
        <is>
          <t>Saurida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IFERROR(IF(ISNUMBER(INDEX(SPPR!$E:$Z,MATCH($A30,SPPR!$A:$A,0),1)),$C30*INDEX(SPPR!$E:$Z,MATCH($A30,SPPR!$A:$A,0),1),""),"")</f>
        <v/>
      </c>
      <c r="E30">
        <f>IFERROR(IF(ISNUMBER(INDEX(SPPR!$E:$Z,MATCH($A30,SPPR!$A:$A,0),2)),$C30*INDEX(SPPR!$E:$Z,MATCH($A30,SPPR!$A:$A,0),2),""),"")</f>
        <v/>
      </c>
      <c r="F30">
        <f>IFERROR(IF(ISNUMBER(INDEX(SPPR!$E:$Z,MATCH($A30,SPPR!$A:$A,0),3)),$C30*INDEX(SPPR!$E:$Z,MATCH($A30,SPPR!$A:$A,0),3),""),"")</f>
        <v/>
      </c>
      <c r="G30">
        <f>IFERROR(IF(ISNUMBER(INDEX(SPPR!$E:$Z,MATCH($A30,SPPR!$A:$A,0),4)),$C30*INDEX(SPPR!$E:$Z,MATCH($A30,SPPR!$A:$A,0),4),""),"")</f>
        <v/>
      </c>
      <c r="H30">
        <f>IFERROR(IF(ISNUMBER(INDEX(SPPR!$E:$Z,MATCH($A30,SPPR!$A:$A,0),5)),$C30*INDEX(SPPR!$E:$Z,MATCH($A30,SPPR!$A:$A,0),5),""),"")</f>
        <v/>
      </c>
      <c r="I30">
        <f>IFERROR(IF(ISNUMBER(INDEX(SPPR!$E:$Z,MATCH($A30,SPPR!$A:$A,0),6)),$C30*INDEX(SPPR!$E:$Z,MATCH($A30,SPPR!$A:$A,0),6),""),"")</f>
        <v/>
      </c>
      <c r="J30">
        <f>IFERROR(IF(ISNUMBER(INDEX(SPPR!$E:$Z,MATCH($A30,SPPR!$A:$A,0),7)),$C30*INDEX(SPPR!$E:$Z,MATCH($A30,SPPR!$A:$A,0),7),""),"")</f>
        <v/>
      </c>
      <c r="K30">
        <f>IFERROR(IF(ISNUMBER(INDEX(SPPR!$E:$Z,MATCH($A30,SPPR!$A:$A,0),8)),$C30*INDEX(SPPR!$E:$Z,MATCH($A30,SPPR!$A:$A,0),8),""),"")</f>
        <v/>
      </c>
      <c r="L30">
        <f>IFERROR(IF(ISNUMBER(INDEX(SPPR!$E:$Z,MATCH($A30,SPPR!$A:$A,0),9)),$C30*INDEX(SPPR!$E:$Z,MATCH($A30,SPPR!$A:$A,0),9),""),"")</f>
        <v/>
      </c>
      <c r="M30">
        <f>IFERROR(IF(ISNUMBER(INDEX(SPPR!$E:$Z,MATCH($A30,SPPR!$A:$A,0),10)),$C30*INDEX(SPPR!$E:$Z,MATCH($A30,SPPR!$A:$A,0),10),""),"")</f>
        <v/>
      </c>
      <c r="N30">
        <f>IFERROR(IF(ISNUMBER(INDEX(SPPR!$E:$Z,MATCH($A30,SPPR!$A:$A,0),11)),$C30*INDEX(SPPR!$E:$Z,MATCH($A30,SPPR!$A:$A,0),11),""),"")</f>
        <v/>
      </c>
      <c r="O30">
        <f>IFERROR(IF(ISNUMBER(INDEX(SPPR!$E:$Z,MATCH($A30,SPPR!$A:$A,0),12)),$C30*INDEX(SPPR!$E:$Z,MATCH($A30,SPPR!$A:$A,0),12),""),"")</f>
        <v/>
      </c>
      <c r="P30">
        <f>IFERROR(IF(ISNUMBER(INDEX(SPPR!$E:$Z,MATCH($A30,SPPR!$A:$A,0),13)),$C30*INDEX(SPPR!$E:$Z,MATCH($A30,SPPR!$A:$A,0),13),""),"")</f>
        <v/>
      </c>
      <c r="Q30">
        <f>IFERROR(IF(ISNUMBER(INDEX(SPPR!$E:$Z,MATCH($A30,SPPR!$A:$A,0),14)),$C30*INDEX(SPPR!$E:$Z,MATCH($A30,SPPR!$A:$A,0),14),""),"")</f>
        <v/>
      </c>
      <c r="R30">
        <f>IFERROR(IF(ISNUMBER(INDEX(SPPR!$E:$Z,MATCH($A30,SPPR!$A:$A,0),15)),$C30*INDEX(SPPR!$E:$Z,MATCH($A30,SPPR!$A:$A,0),15),""),"")</f>
        <v/>
      </c>
      <c r="S30">
        <f>IFERROR(IF(ISNUMBER(INDEX(SPPR!$E:$Z,MATCH($A30,SPPR!$A:$A,0),16)),$C30*INDEX(SPPR!$E:$Z,MATCH($A30,SPPR!$A:$A,0),16),""),"")</f>
        <v/>
      </c>
      <c r="T30">
        <f>IFERROR(IF(ISNUMBER(INDEX(SPPR!$E:$Z,MATCH($A30,SPPR!$A:$A,0),17)),$C30*INDEX(SPPR!$E:$Z,MATCH($A30,SPPR!$A:$A,0),17),""),"")</f>
        <v/>
      </c>
      <c r="U30">
        <f>IFERROR(IF(ISNUMBER(INDEX(SPPR!$E:$Z,MATCH($A30,SPPR!$A:$A,0),18)),$C30*INDEX(SPPR!$E:$Z,MATCH($A30,SPPR!$A:$A,0),18),""),"")</f>
        <v/>
      </c>
      <c r="V30">
        <f>IFERROR(IF(ISNUMBER(INDEX(SPPR!$E:$Z,MATCH($A30,SPPR!$A:$A,0),19)),$C30*INDEX(SPPR!$E:$Z,MATCH($A30,SPPR!$A:$A,0),19),""),"")</f>
        <v/>
      </c>
      <c r="W30">
        <f>IFERROR(IF(ISNUMBER(INDEX(SPPR!$E:$Z,MATCH($A30,SPPR!$A:$A,0),20)),$C30*INDEX(SPPR!$E:$Z,MATCH($A30,SPPR!$A:$A,0),20),""),"")</f>
        <v/>
      </c>
      <c r="X30">
        <f>IFERROR(IF(ISNUMBER(INDEX(SPPR!$E:$Z,MATCH($A30,SPPR!$A:$A,0),21)),$C30*INDEX(SPPR!$E:$Z,MATCH($A30,SPPR!$A:$A,0),21),""),"")</f>
        <v/>
      </c>
      <c r="Y30">
        <f>IFERROR(IF(ISNUMBER(INDEX(SPPR!$E:$Z,MATCH($A30,SPPR!$A:$A,0),22)),$C30*INDEX(SPPR!$E:$Z,MATCH($A30,SPPR!$A:$A,0),22),""),"")</f>
        <v/>
      </c>
    </row>
    <row r="31">
      <c r="A31" t="inlineStr">
        <is>
          <t>Decapterus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IFERROR(IF(ISNUMBER(INDEX(SPPR!$E:$Z,MATCH($A31,SPPR!$A:$A,0),1)),$C31*INDEX(SPPR!$E:$Z,MATCH($A31,SPPR!$A:$A,0),1),""),"")</f>
        <v/>
      </c>
      <c r="E31">
        <f>IFERROR(IF(ISNUMBER(INDEX(SPPR!$E:$Z,MATCH($A31,SPPR!$A:$A,0),2)),$C31*INDEX(SPPR!$E:$Z,MATCH($A31,SPPR!$A:$A,0),2),""),"")</f>
        <v/>
      </c>
      <c r="F31">
        <f>IFERROR(IF(ISNUMBER(INDEX(SPPR!$E:$Z,MATCH($A31,SPPR!$A:$A,0),3)),$C31*INDEX(SPPR!$E:$Z,MATCH($A31,SPPR!$A:$A,0),3),""),"")</f>
        <v/>
      </c>
      <c r="G31">
        <f>IFERROR(IF(ISNUMBER(INDEX(SPPR!$E:$Z,MATCH($A31,SPPR!$A:$A,0),4)),$C31*INDEX(SPPR!$E:$Z,MATCH($A31,SPPR!$A:$A,0),4),""),"")</f>
        <v/>
      </c>
      <c r="H31">
        <f>IFERROR(IF(ISNUMBER(INDEX(SPPR!$E:$Z,MATCH($A31,SPPR!$A:$A,0),5)),$C31*INDEX(SPPR!$E:$Z,MATCH($A31,SPPR!$A:$A,0),5),""),"")</f>
        <v/>
      </c>
      <c r="I31">
        <f>IFERROR(IF(ISNUMBER(INDEX(SPPR!$E:$Z,MATCH($A31,SPPR!$A:$A,0),6)),$C31*INDEX(SPPR!$E:$Z,MATCH($A31,SPPR!$A:$A,0),6),""),"")</f>
        <v/>
      </c>
      <c r="J31">
        <f>IFERROR(IF(ISNUMBER(INDEX(SPPR!$E:$Z,MATCH($A31,SPPR!$A:$A,0),7)),$C31*INDEX(SPPR!$E:$Z,MATCH($A31,SPPR!$A:$A,0),7),""),"")</f>
        <v/>
      </c>
      <c r="K31">
        <f>IFERROR(IF(ISNUMBER(INDEX(SPPR!$E:$Z,MATCH($A31,SPPR!$A:$A,0),8)),$C31*INDEX(SPPR!$E:$Z,MATCH($A31,SPPR!$A:$A,0),8),""),"")</f>
        <v/>
      </c>
      <c r="L31">
        <f>IFERROR(IF(ISNUMBER(INDEX(SPPR!$E:$Z,MATCH($A31,SPPR!$A:$A,0),9)),$C31*INDEX(SPPR!$E:$Z,MATCH($A31,SPPR!$A:$A,0),9),""),"")</f>
        <v/>
      </c>
      <c r="M31">
        <f>IFERROR(IF(ISNUMBER(INDEX(SPPR!$E:$Z,MATCH($A31,SPPR!$A:$A,0),10)),$C31*INDEX(SPPR!$E:$Z,MATCH($A31,SPPR!$A:$A,0),10),""),"")</f>
        <v/>
      </c>
      <c r="N31">
        <f>IFERROR(IF(ISNUMBER(INDEX(SPPR!$E:$Z,MATCH($A31,SPPR!$A:$A,0),11)),$C31*INDEX(SPPR!$E:$Z,MATCH($A31,SPPR!$A:$A,0),11),""),"")</f>
        <v/>
      </c>
      <c r="O31">
        <f>IFERROR(IF(ISNUMBER(INDEX(SPPR!$E:$Z,MATCH($A31,SPPR!$A:$A,0),12)),$C31*INDEX(SPPR!$E:$Z,MATCH($A31,SPPR!$A:$A,0),12),""),"")</f>
        <v/>
      </c>
      <c r="P31">
        <f>IFERROR(IF(ISNUMBER(INDEX(SPPR!$E:$Z,MATCH($A31,SPPR!$A:$A,0),13)),$C31*INDEX(SPPR!$E:$Z,MATCH($A31,SPPR!$A:$A,0),13),""),"")</f>
        <v/>
      </c>
      <c r="Q31">
        <f>IFERROR(IF(ISNUMBER(INDEX(SPPR!$E:$Z,MATCH($A31,SPPR!$A:$A,0),14)),$C31*INDEX(SPPR!$E:$Z,MATCH($A31,SPPR!$A:$A,0),14),""),"")</f>
        <v/>
      </c>
      <c r="R31">
        <f>IFERROR(IF(ISNUMBER(INDEX(SPPR!$E:$Z,MATCH($A31,SPPR!$A:$A,0),15)),$C31*INDEX(SPPR!$E:$Z,MATCH($A31,SPPR!$A:$A,0),15),""),"")</f>
        <v/>
      </c>
      <c r="S31">
        <f>IFERROR(IF(ISNUMBER(INDEX(SPPR!$E:$Z,MATCH($A31,SPPR!$A:$A,0),16)),$C31*INDEX(SPPR!$E:$Z,MATCH($A31,SPPR!$A:$A,0),16),""),"")</f>
        <v/>
      </c>
      <c r="T31">
        <f>IFERROR(IF(ISNUMBER(INDEX(SPPR!$E:$Z,MATCH($A31,SPPR!$A:$A,0),17)),$C31*INDEX(SPPR!$E:$Z,MATCH($A31,SPPR!$A:$A,0),17),""),"")</f>
        <v/>
      </c>
      <c r="U31">
        <f>IFERROR(IF(ISNUMBER(INDEX(SPPR!$E:$Z,MATCH($A31,SPPR!$A:$A,0),18)),$C31*INDEX(SPPR!$E:$Z,MATCH($A31,SPPR!$A:$A,0),18),""),"")</f>
        <v/>
      </c>
      <c r="V31">
        <f>IFERROR(IF(ISNUMBER(INDEX(SPPR!$E:$Z,MATCH($A31,SPPR!$A:$A,0),19)),$C31*INDEX(SPPR!$E:$Z,MATCH($A31,SPPR!$A:$A,0),19),""),"")</f>
        <v/>
      </c>
      <c r="W31">
        <f>IFERROR(IF(ISNUMBER(INDEX(SPPR!$E:$Z,MATCH($A31,SPPR!$A:$A,0),20)),$C31*INDEX(SPPR!$E:$Z,MATCH($A31,SPPR!$A:$A,0),20),""),"")</f>
        <v/>
      </c>
      <c r="X31">
        <f>IFERROR(IF(ISNUMBER(INDEX(SPPR!$E:$Z,MATCH($A31,SPPR!$A:$A,0),21)),$C31*INDEX(SPPR!$E:$Z,MATCH($A31,SPPR!$A:$A,0),21),""),"")</f>
        <v/>
      </c>
      <c r="Y31">
        <f>IFERROR(IF(ISNUMBER(INDEX(SPPR!$E:$Z,MATCH($A31,SPPR!$A:$A,0),22)),$C31*INDEX(SPPR!$E:$Z,MATCH($A31,SPPR!$A:$A,0),22),""),"")</f>
        <v/>
      </c>
    </row>
    <row r="32">
      <c r="A32" t="inlineStr">
        <is>
          <t>Stolephorus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IFERROR(IF(ISNUMBER(INDEX(SPPR!$E:$Z,MATCH($A32,SPPR!$A:$A,0),1)),$C32*INDEX(SPPR!$E:$Z,MATCH($A32,SPPR!$A:$A,0),1),""),"")</f>
        <v/>
      </c>
      <c r="E32">
        <f>IFERROR(IF(ISNUMBER(INDEX(SPPR!$E:$Z,MATCH($A32,SPPR!$A:$A,0),2)),$C32*INDEX(SPPR!$E:$Z,MATCH($A32,SPPR!$A:$A,0),2),""),"")</f>
        <v/>
      </c>
      <c r="F32">
        <f>IFERROR(IF(ISNUMBER(INDEX(SPPR!$E:$Z,MATCH($A32,SPPR!$A:$A,0),3)),$C32*INDEX(SPPR!$E:$Z,MATCH($A32,SPPR!$A:$A,0),3),""),"")</f>
        <v/>
      </c>
      <c r="G32">
        <f>IFERROR(IF(ISNUMBER(INDEX(SPPR!$E:$Z,MATCH($A32,SPPR!$A:$A,0),4)),$C32*INDEX(SPPR!$E:$Z,MATCH($A32,SPPR!$A:$A,0),4),""),"")</f>
        <v/>
      </c>
      <c r="H32">
        <f>IFERROR(IF(ISNUMBER(INDEX(SPPR!$E:$Z,MATCH($A32,SPPR!$A:$A,0),5)),$C32*INDEX(SPPR!$E:$Z,MATCH($A32,SPPR!$A:$A,0),5),""),"")</f>
        <v/>
      </c>
      <c r="I32">
        <f>IFERROR(IF(ISNUMBER(INDEX(SPPR!$E:$Z,MATCH($A32,SPPR!$A:$A,0),6)),$C32*INDEX(SPPR!$E:$Z,MATCH($A32,SPPR!$A:$A,0),6),""),"")</f>
        <v/>
      </c>
      <c r="J32">
        <f>IFERROR(IF(ISNUMBER(INDEX(SPPR!$E:$Z,MATCH($A32,SPPR!$A:$A,0),7)),$C32*INDEX(SPPR!$E:$Z,MATCH($A32,SPPR!$A:$A,0),7),""),"")</f>
        <v/>
      </c>
      <c r="K32">
        <f>IFERROR(IF(ISNUMBER(INDEX(SPPR!$E:$Z,MATCH($A32,SPPR!$A:$A,0),8)),$C32*INDEX(SPPR!$E:$Z,MATCH($A32,SPPR!$A:$A,0),8),""),"")</f>
        <v/>
      </c>
      <c r="L32">
        <f>IFERROR(IF(ISNUMBER(INDEX(SPPR!$E:$Z,MATCH($A32,SPPR!$A:$A,0),9)),$C32*INDEX(SPPR!$E:$Z,MATCH($A32,SPPR!$A:$A,0),9),""),"")</f>
        <v/>
      </c>
      <c r="M32">
        <f>IFERROR(IF(ISNUMBER(INDEX(SPPR!$E:$Z,MATCH($A32,SPPR!$A:$A,0),10)),$C32*INDEX(SPPR!$E:$Z,MATCH($A32,SPPR!$A:$A,0),10),""),"")</f>
        <v/>
      </c>
      <c r="N32">
        <f>IFERROR(IF(ISNUMBER(INDEX(SPPR!$E:$Z,MATCH($A32,SPPR!$A:$A,0),11)),$C32*INDEX(SPPR!$E:$Z,MATCH($A32,SPPR!$A:$A,0),11),""),"")</f>
        <v/>
      </c>
      <c r="O32">
        <f>IFERROR(IF(ISNUMBER(INDEX(SPPR!$E:$Z,MATCH($A32,SPPR!$A:$A,0),12)),$C32*INDEX(SPPR!$E:$Z,MATCH($A32,SPPR!$A:$A,0),12),""),"")</f>
        <v/>
      </c>
      <c r="P32">
        <f>IFERROR(IF(ISNUMBER(INDEX(SPPR!$E:$Z,MATCH($A32,SPPR!$A:$A,0),13)),$C32*INDEX(SPPR!$E:$Z,MATCH($A32,SPPR!$A:$A,0),13),""),"")</f>
        <v/>
      </c>
      <c r="Q32">
        <f>IFERROR(IF(ISNUMBER(INDEX(SPPR!$E:$Z,MATCH($A32,SPPR!$A:$A,0),14)),$C32*INDEX(SPPR!$E:$Z,MATCH($A32,SPPR!$A:$A,0),14),""),"")</f>
        <v/>
      </c>
      <c r="R32">
        <f>IFERROR(IF(ISNUMBER(INDEX(SPPR!$E:$Z,MATCH($A32,SPPR!$A:$A,0),15)),$C32*INDEX(SPPR!$E:$Z,MATCH($A32,SPPR!$A:$A,0),15),""),"")</f>
        <v/>
      </c>
      <c r="S32">
        <f>IFERROR(IF(ISNUMBER(INDEX(SPPR!$E:$Z,MATCH($A32,SPPR!$A:$A,0),16)),$C32*INDEX(SPPR!$E:$Z,MATCH($A32,SPPR!$A:$A,0),16),""),"")</f>
        <v/>
      </c>
      <c r="T32">
        <f>IFERROR(IF(ISNUMBER(INDEX(SPPR!$E:$Z,MATCH($A32,SPPR!$A:$A,0),17)),$C32*INDEX(SPPR!$E:$Z,MATCH($A32,SPPR!$A:$A,0),17),""),"")</f>
        <v/>
      </c>
      <c r="U32">
        <f>IFERROR(IF(ISNUMBER(INDEX(SPPR!$E:$Z,MATCH($A32,SPPR!$A:$A,0),18)),$C32*INDEX(SPPR!$E:$Z,MATCH($A32,SPPR!$A:$A,0),18),""),"")</f>
        <v/>
      </c>
      <c r="V32">
        <f>IFERROR(IF(ISNUMBER(INDEX(SPPR!$E:$Z,MATCH($A32,SPPR!$A:$A,0),19)),$C32*INDEX(SPPR!$E:$Z,MATCH($A32,SPPR!$A:$A,0),19),""),"")</f>
        <v/>
      </c>
      <c r="W32">
        <f>IFERROR(IF(ISNUMBER(INDEX(SPPR!$E:$Z,MATCH($A32,SPPR!$A:$A,0),20)),$C32*INDEX(SPPR!$E:$Z,MATCH($A32,SPPR!$A:$A,0),20),""),"")</f>
        <v/>
      </c>
      <c r="X32">
        <f>IFERROR(IF(ISNUMBER(INDEX(SPPR!$E:$Z,MATCH($A32,SPPR!$A:$A,0),21)),$C32*INDEX(SPPR!$E:$Z,MATCH($A32,SPPR!$A:$A,0),21),""),"")</f>
        <v/>
      </c>
      <c r="Y32">
        <f>IFERROR(IF(ISNUMBER(INDEX(SPPR!$E:$Z,MATCH($A32,SPPR!$A:$A,0),22)),$C32*INDEX(SPPR!$E:$Z,MATCH($A32,SPPR!$A:$A,0),22),""),"")</f>
        <v/>
      </c>
    </row>
    <row r="33">
      <c r="A33" t="inlineStr">
        <is>
          <t>Cephea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IFERROR(IF(ISNUMBER(INDEX(SPPR!$E:$Z,MATCH($A33,SPPR!$A:$A,0),1)),$C33*INDEX(SPPR!$E:$Z,MATCH($A33,SPPR!$A:$A,0),1),""),"")</f>
        <v/>
      </c>
      <c r="E33">
        <f>IFERROR(IF(ISNUMBER(INDEX(SPPR!$E:$Z,MATCH($A33,SPPR!$A:$A,0),2)),$C33*INDEX(SPPR!$E:$Z,MATCH($A33,SPPR!$A:$A,0),2),""),"")</f>
        <v/>
      </c>
      <c r="F33">
        <f>IFERROR(IF(ISNUMBER(INDEX(SPPR!$E:$Z,MATCH($A33,SPPR!$A:$A,0),3)),$C33*INDEX(SPPR!$E:$Z,MATCH($A33,SPPR!$A:$A,0),3),""),"")</f>
        <v/>
      </c>
      <c r="G33">
        <f>IFERROR(IF(ISNUMBER(INDEX(SPPR!$E:$Z,MATCH($A33,SPPR!$A:$A,0),4)),$C33*INDEX(SPPR!$E:$Z,MATCH($A33,SPPR!$A:$A,0),4),""),"")</f>
        <v/>
      </c>
      <c r="H33">
        <f>IFERROR(IF(ISNUMBER(INDEX(SPPR!$E:$Z,MATCH($A33,SPPR!$A:$A,0),5)),$C33*INDEX(SPPR!$E:$Z,MATCH($A33,SPPR!$A:$A,0),5),""),"")</f>
        <v/>
      </c>
      <c r="I33">
        <f>IFERROR(IF(ISNUMBER(INDEX(SPPR!$E:$Z,MATCH($A33,SPPR!$A:$A,0),6)),$C33*INDEX(SPPR!$E:$Z,MATCH($A33,SPPR!$A:$A,0),6),""),"")</f>
        <v/>
      </c>
      <c r="J33">
        <f>IFERROR(IF(ISNUMBER(INDEX(SPPR!$E:$Z,MATCH($A33,SPPR!$A:$A,0),7)),$C33*INDEX(SPPR!$E:$Z,MATCH($A33,SPPR!$A:$A,0),7),""),"")</f>
        <v/>
      </c>
      <c r="K33">
        <f>IFERROR(IF(ISNUMBER(INDEX(SPPR!$E:$Z,MATCH($A33,SPPR!$A:$A,0),8)),$C33*INDEX(SPPR!$E:$Z,MATCH($A33,SPPR!$A:$A,0),8),""),"")</f>
        <v/>
      </c>
      <c r="L33">
        <f>IFERROR(IF(ISNUMBER(INDEX(SPPR!$E:$Z,MATCH($A33,SPPR!$A:$A,0),9)),$C33*INDEX(SPPR!$E:$Z,MATCH($A33,SPPR!$A:$A,0),9),""),"")</f>
        <v/>
      </c>
      <c r="M33">
        <f>IFERROR(IF(ISNUMBER(INDEX(SPPR!$E:$Z,MATCH($A33,SPPR!$A:$A,0),10)),$C33*INDEX(SPPR!$E:$Z,MATCH($A33,SPPR!$A:$A,0),10),""),"")</f>
        <v/>
      </c>
      <c r="N33">
        <f>IFERROR(IF(ISNUMBER(INDEX(SPPR!$E:$Z,MATCH($A33,SPPR!$A:$A,0),11)),$C33*INDEX(SPPR!$E:$Z,MATCH($A33,SPPR!$A:$A,0),11),""),"")</f>
        <v/>
      </c>
      <c r="O33">
        <f>IFERROR(IF(ISNUMBER(INDEX(SPPR!$E:$Z,MATCH($A33,SPPR!$A:$A,0),12)),$C33*INDEX(SPPR!$E:$Z,MATCH($A33,SPPR!$A:$A,0),12),""),"")</f>
        <v/>
      </c>
      <c r="P33">
        <f>IFERROR(IF(ISNUMBER(INDEX(SPPR!$E:$Z,MATCH($A33,SPPR!$A:$A,0),13)),$C33*INDEX(SPPR!$E:$Z,MATCH($A33,SPPR!$A:$A,0),13),""),"")</f>
        <v/>
      </c>
      <c r="Q33">
        <f>IFERROR(IF(ISNUMBER(INDEX(SPPR!$E:$Z,MATCH($A33,SPPR!$A:$A,0),14)),$C33*INDEX(SPPR!$E:$Z,MATCH($A33,SPPR!$A:$A,0),14),""),"")</f>
        <v/>
      </c>
      <c r="R33">
        <f>IFERROR(IF(ISNUMBER(INDEX(SPPR!$E:$Z,MATCH($A33,SPPR!$A:$A,0),15)),$C33*INDEX(SPPR!$E:$Z,MATCH($A33,SPPR!$A:$A,0),15),""),"")</f>
        <v/>
      </c>
      <c r="S33">
        <f>IFERROR(IF(ISNUMBER(INDEX(SPPR!$E:$Z,MATCH($A33,SPPR!$A:$A,0),16)),$C33*INDEX(SPPR!$E:$Z,MATCH($A33,SPPR!$A:$A,0),16),""),"")</f>
        <v/>
      </c>
      <c r="T33">
        <f>IFERROR(IF(ISNUMBER(INDEX(SPPR!$E:$Z,MATCH($A33,SPPR!$A:$A,0),17)),$C33*INDEX(SPPR!$E:$Z,MATCH($A33,SPPR!$A:$A,0),17),""),"")</f>
        <v/>
      </c>
      <c r="U33">
        <f>IFERROR(IF(ISNUMBER(INDEX(SPPR!$E:$Z,MATCH($A33,SPPR!$A:$A,0),18)),$C33*INDEX(SPPR!$E:$Z,MATCH($A33,SPPR!$A:$A,0),18),""),"")</f>
        <v/>
      </c>
      <c r="V33">
        <f>IFERROR(IF(ISNUMBER(INDEX(SPPR!$E:$Z,MATCH($A33,SPPR!$A:$A,0),19)),$C33*INDEX(SPPR!$E:$Z,MATCH($A33,SPPR!$A:$A,0),19),""),"")</f>
        <v/>
      </c>
      <c r="W33">
        <f>IFERROR(IF(ISNUMBER(INDEX(SPPR!$E:$Z,MATCH($A33,SPPR!$A:$A,0),20)),$C33*INDEX(SPPR!$E:$Z,MATCH($A33,SPPR!$A:$A,0),20),""),"")</f>
        <v/>
      </c>
      <c r="X33">
        <f>IFERROR(IF(ISNUMBER(INDEX(SPPR!$E:$Z,MATCH($A33,SPPR!$A:$A,0),21)),$C33*INDEX(SPPR!$E:$Z,MATCH($A33,SPPR!$A:$A,0),21),""),"")</f>
        <v/>
      </c>
      <c r="Y33">
        <f>IFERROR(IF(ISNUMBER(INDEX(SPPR!$E:$Z,MATCH($A33,SPPR!$A:$A,0),22)),$C33*INDEX(SPPR!$E:$Z,MATCH($A33,SPPR!$A:$A,0),22),""),"")</f>
        <v/>
      </c>
    </row>
    <row r="34">
      <c r="A34" t="inlineStr">
        <is>
          <t>Scomberomorus guttatus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IFERROR(IF(ISNUMBER(INDEX(SPPR!$E:$Z,MATCH($A34,SPPR!$A:$A,0),1)),$C34*INDEX(SPPR!$E:$Z,MATCH($A34,SPPR!$A:$A,0),1),""),"")</f>
        <v/>
      </c>
      <c r="E34">
        <f>IFERROR(IF(ISNUMBER(INDEX(SPPR!$E:$Z,MATCH($A34,SPPR!$A:$A,0),2)),$C34*INDEX(SPPR!$E:$Z,MATCH($A34,SPPR!$A:$A,0),2),""),"")</f>
        <v/>
      </c>
      <c r="F34">
        <f>IFERROR(IF(ISNUMBER(INDEX(SPPR!$E:$Z,MATCH($A34,SPPR!$A:$A,0),3)),$C34*INDEX(SPPR!$E:$Z,MATCH($A34,SPPR!$A:$A,0),3),""),"")</f>
        <v/>
      </c>
      <c r="G34">
        <f>IFERROR(IF(ISNUMBER(INDEX(SPPR!$E:$Z,MATCH($A34,SPPR!$A:$A,0),4)),$C34*INDEX(SPPR!$E:$Z,MATCH($A34,SPPR!$A:$A,0),4),""),"")</f>
        <v/>
      </c>
      <c r="H34">
        <f>IFERROR(IF(ISNUMBER(INDEX(SPPR!$E:$Z,MATCH($A34,SPPR!$A:$A,0),5)),$C34*INDEX(SPPR!$E:$Z,MATCH($A34,SPPR!$A:$A,0),5),""),"")</f>
        <v/>
      </c>
      <c r="I34">
        <f>IFERROR(IF(ISNUMBER(INDEX(SPPR!$E:$Z,MATCH($A34,SPPR!$A:$A,0),6)),$C34*INDEX(SPPR!$E:$Z,MATCH($A34,SPPR!$A:$A,0),6),""),"")</f>
        <v/>
      </c>
      <c r="J34">
        <f>IFERROR(IF(ISNUMBER(INDEX(SPPR!$E:$Z,MATCH($A34,SPPR!$A:$A,0),7)),$C34*INDEX(SPPR!$E:$Z,MATCH($A34,SPPR!$A:$A,0),7),""),"")</f>
        <v/>
      </c>
      <c r="K34">
        <f>IFERROR(IF(ISNUMBER(INDEX(SPPR!$E:$Z,MATCH($A34,SPPR!$A:$A,0),8)),$C34*INDEX(SPPR!$E:$Z,MATCH($A34,SPPR!$A:$A,0),8),""),"")</f>
        <v/>
      </c>
      <c r="L34">
        <f>IFERROR(IF(ISNUMBER(INDEX(SPPR!$E:$Z,MATCH($A34,SPPR!$A:$A,0),9)),$C34*INDEX(SPPR!$E:$Z,MATCH($A34,SPPR!$A:$A,0),9),""),"")</f>
        <v/>
      </c>
      <c r="M34">
        <f>IFERROR(IF(ISNUMBER(INDEX(SPPR!$E:$Z,MATCH($A34,SPPR!$A:$A,0),10)),$C34*INDEX(SPPR!$E:$Z,MATCH($A34,SPPR!$A:$A,0),10),""),"")</f>
        <v/>
      </c>
      <c r="N34">
        <f>IFERROR(IF(ISNUMBER(INDEX(SPPR!$E:$Z,MATCH($A34,SPPR!$A:$A,0),11)),$C34*INDEX(SPPR!$E:$Z,MATCH($A34,SPPR!$A:$A,0),11),""),"")</f>
        <v/>
      </c>
      <c r="O34">
        <f>IFERROR(IF(ISNUMBER(INDEX(SPPR!$E:$Z,MATCH($A34,SPPR!$A:$A,0),12)),$C34*INDEX(SPPR!$E:$Z,MATCH($A34,SPPR!$A:$A,0),12),""),"")</f>
        <v/>
      </c>
      <c r="P34">
        <f>IFERROR(IF(ISNUMBER(INDEX(SPPR!$E:$Z,MATCH($A34,SPPR!$A:$A,0),13)),$C34*INDEX(SPPR!$E:$Z,MATCH($A34,SPPR!$A:$A,0),13),""),"")</f>
        <v/>
      </c>
      <c r="Q34">
        <f>IFERROR(IF(ISNUMBER(INDEX(SPPR!$E:$Z,MATCH($A34,SPPR!$A:$A,0),14)),$C34*INDEX(SPPR!$E:$Z,MATCH($A34,SPPR!$A:$A,0),14),""),"")</f>
        <v/>
      </c>
      <c r="R34">
        <f>IFERROR(IF(ISNUMBER(INDEX(SPPR!$E:$Z,MATCH($A34,SPPR!$A:$A,0),15)),$C34*INDEX(SPPR!$E:$Z,MATCH($A34,SPPR!$A:$A,0),15),""),"")</f>
        <v/>
      </c>
      <c r="S34">
        <f>IFERROR(IF(ISNUMBER(INDEX(SPPR!$E:$Z,MATCH($A34,SPPR!$A:$A,0),16)),$C34*INDEX(SPPR!$E:$Z,MATCH($A34,SPPR!$A:$A,0),16),""),"")</f>
        <v/>
      </c>
      <c r="T34">
        <f>IFERROR(IF(ISNUMBER(INDEX(SPPR!$E:$Z,MATCH($A34,SPPR!$A:$A,0),17)),$C34*INDEX(SPPR!$E:$Z,MATCH($A34,SPPR!$A:$A,0),17),""),"")</f>
        <v/>
      </c>
      <c r="U34">
        <f>IFERROR(IF(ISNUMBER(INDEX(SPPR!$E:$Z,MATCH($A34,SPPR!$A:$A,0),18)),$C34*INDEX(SPPR!$E:$Z,MATCH($A34,SPPR!$A:$A,0),18),""),"")</f>
        <v/>
      </c>
      <c r="V34">
        <f>IFERROR(IF(ISNUMBER(INDEX(SPPR!$E:$Z,MATCH($A34,SPPR!$A:$A,0),19)),$C34*INDEX(SPPR!$E:$Z,MATCH($A34,SPPR!$A:$A,0),19),""),"")</f>
        <v/>
      </c>
      <c r="W34">
        <f>IFERROR(IF(ISNUMBER(INDEX(SPPR!$E:$Z,MATCH($A34,SPPR!$A:$A,0),20)),$C34*INDEX(SPPR!$E:$Z,MATCH($A34,SPPR!$A:$A,0),20),""),"")</f>
        <v/>
      </c>
      <c r="X34">
        <f>IFERROR(IF(ISNUMBER(INDEX(SPPR!$E:$Z,MATCH($A34,SPPR!$A:$A,0),21)),$C34*INDEX(SPPR!$E:$Z,MATCH($A34,SPPR!$A:$A,0),21),""),"")</f>
        <v/>
      </c>
      <c r="Y34">
        <f>IFERROR(IF(ISNUMBER(INDEX(SPPR!$E:$Z,MATCH($A34,SPPR!$A:$A,0),22)),$C34*INDEX(SPPR!$E:$Z,MATCH($A34,SPPR!$A:$A,0),22),""),"")</f>
        <v/>
      </c>
    </row>
    <row r="35">
      <c r="A35" t="inlineStr">
        <is>
          <t>Sparidae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IFERROR(IF(ISNUMBER(INDEX(SPPR!$E:$Z,MATCH($A35,SPPR!$A:$A,0),1)),$C35*INDEX(SPPR!$E:$Z,MATCH($A35,SPPR!$A:$A,0),1),""),"")</f>
        <v/>
      </c>
      <c r="E35">
        <f>IFERROR(IF(ISNUMBER(INDEX(SPPR!$E:$Z,MATCH($A35,SPPR!$A:$A,0),2)),$C35*INDEX(SPPR!$E:$Z,MATCH($A35,SPPR!$A:$A,0),2),""),"")</f>
        <v/>
      </c>
      <c r="F35">
        <f>IFERROR(IF(ISNUMBER(INDEX(SPPR!$E:$Z,MATCH($A35,SPPR!$A:$A,0),3)),$C35*INDEX(SPPR!$E:$Z,MATCH($A35,SPPR!$A:$A,0),3),""),"")</f>
        <v/>
      </c>
      <c r="G35">
        <f>IFERROR(IF(ISNUMBER(INDEX(SPPR!$E:$Z,MATCH($A35,SPPR!$A:$A,0),4)),$C35*INDEX(SPPR!$E:$Z,MATCH($A35,SPPR!$A:$A,0),4),""),"")</f>
        <v/>
      </c>
      <c r="H35">
        <f>IFERROR(IF(ISNUMBER(INDEX(SPPR!$E:$Z,MATCH($A35,SPPR!$A:$A,0),5)),$C35*INDEX(SPPR!$E:$Z,MATCH($A35,SPPR!$A:$A,0),5),""),"")</f>
        <v/>
      </c>
      <c r="I35">
        <f>IFERROR(IF(ISNUMBER(INDEX(SPPR!$E:$Z,MATCH($A35,SPPR!$A:$A,0),6)),$C35*INDEX(SPPR!$E:$Z,MATCH($A35,SPPR!$A:$A,0),6),""),"")</f>
        <v/>
      </c>
      <c r="J35">
        <f>IFERROR(IF(ISNUMBER(INDEX(SPPR!$E:$Z,MATCH($A35,SPPR!$A:$A,0),7)),$C35*INDEX(SPPR!$E:$Z,MATCH($A35,SPPR!$A:$A,0),7),""),"")</f>
        <v/>
      </c>
      <c r="K35">
        <f>IFERROR(IF(ISNUMBER(INDEX(SPPR!$E:$Z,MATCH($A35,SPPR!$A:$A,0),8)),$C35*INDEX(SPPR!$E:$Z,MATCH($A35,SPPR!$A:$A,0),8),""),"")</f>
        <v/>
      </c>
      <c r="L35">
        <f>IFERROR(IF(ISNUMBER(INDEX(SPPR!$E:$Z,MATCH($A35,SPPR!$A:$A,0),9)),$C35*INDEX(SPPR!$E:$Z,MATCH($A35,SPPR!$A:$A,0),9),""),"")</f>
        <v/>
      </c>
      <c r="M35">
        <f>IFERROR(IF(ISNUMBER(INDEX(SPPR!$E:$Z,MATCH($A35,SPPR!$A:$A,0),10)),$C35*INDEX(SPPR!$E:$Z,MATCH($A35,SPPR!$A:$A,0),10),""),"")</f>
        <v/>
      </c>
      <c r="N35">
        <f>IFERROR(IF(ISNUMBER(INDEX(SPPR!$E:$Z,MATCH($A35,SPPR!$A:$A,0),11)),$C35*INDEX(SPPR!$E:$Z,MATCH($A35,SPPR!$A:$A,0),11),""),"")</f>
        <v/>
      </c>
      <c r="O35">
        <f>IFERROR(IF(ISNUMBER(INDEX(SPPR!$E:$Z,MATCH($A35,SPPR!$A:$A,0),12)),$C35*INDEX(SPPR!$E:$Z,MATCH($A35,SPPR!$A:$A,0),12),""),"")</f>
        <v/>
      </c>
      <c r="P35">
        <f>IFERROR(IF(ISNUMBER(INDEX(SPPR!$E:$Z,MATCH($A35,SPPR!$A:$A,0),13)),$C35*INDEX(SPPR!$E:$Z,MATCH($A35,SPPR!$A:$A,0),13),""),"")</f>
        <v/>
      </c>
      <c r="Q35">
        <f>IFERROR(IF(ISNUMBER(INDEX(SPPR!$E:$Z,MATCH($A35,SPPR!$A:$A,0),14)),$C35*INDEX(SPPR!$E:$Z,MATCH($A35,SPPR!$A:$A,0),14),""),"")</f>
        <v/>
      </c>
      <c r="R35">
        <f>IFERROR(IF(ISNUMBER(INDEX(SPPR!$E:$Z,MATCH($A35,SPPR!$A:$A,0),15)),$C35*INDEX(SPPR!$E:$Z,MATCH($A35,SPPR!$A:$A,0),15),""),"")</f>
        <v/>
      </c>
      <c r="S35">
        <f>IFERROR(IF(ISNUMBER(INDEX(SPPR!$E:$Z,MATCH($A35,SPPR!$A:$A,0),16)),$C35*INDEX(SPPR!$E:$Z,MATCH($A35,SPPR!$A:$A,0),16),""),"")</f>
        <v/>
      </c>
      <c r="T35">
        <f>IFERROR(IF(ISNUMBER(INDEX(SPPR!$E:$Z,MATCH($A35,SPPR!$A:$A,0),17)),$C35*INDEX(SPPR!$E:$Z,MATCH($A35,SPPR!$A:$A,0),17),""),"")</f>
        <v/>
      </c>
      <c r="U35">
        <f>IFERROR(IF(ISNUMBER(INDEX(SPPR!$E:$Z,MATCH($A35,SPPR!$A:$A,0),18)),$C35*INDEX(SPPR!$E:$Z,MATCH($A35,SPPR!$A:$A,0),18),""),"")</f>
        <v/>
      </c>
      <c r="V35">
        <f>IFERROR(IF(ISNUMBER(INDEX(SPPR!$E:$Z,MATCH($A35,SPPR!$A:$A,0),19)),$C35*INDEX(SPPR!$E:$Z,MATCH($A35,SPPR!$A:$A,0),19),""),"")</f>
        <v/>
      </c>
      <c r="W35">
        <f>IFERROR(IF(ISNUMBER(INDEX(SPPR!$E:$Z,MATCH($A35,SPPR!$A:$A,0),20)),$C35*INDEX(SPPR!$E:$Z,MATCH($A35,SPPR!$A:$A,0),20),""),"")</f>
        <v/>
      </c>
      <c r="X35">
        <f>IFERROR(IF(ISNUMBER(INDEX(SPPR!$E:$Z,MATCH($A35,SPPR!$A:$A,0),21)),$C35*INDEX(SPPR!$E:$Z,MATCH($A35,SPPR!$A:$A,0),21),""),"")</f>
        <v/>
      </c>
      <c r="Y35">
        <f>IFERROR(IF(ISNUMBER(INDEX(SPPR!$E:$Z,MATCH($A35,SPPR!$A:$A,0),22)),$C35*INDEX(SPPR!$E:$Z,MATCH($A35,SPPR!$A:$A,0),22),""),"")</f>
        <v/>
      </c>
    </row>
    <row r="36">
      <c r="A36" t="inlineStr">
        <is>
          <t>Megalaspis cordyla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IFERROR(IF(ISNUMBER(INDEX(SPPR!$E:$Z,MATCH($A36,SPPR!$A:$A,0),1)),$C36*INDEX(SPPR!$E:$Z,MATCH($A36,SPPR!$A:$A,0),1),""),"")</f>
        <v/>
      </c>
      <c r="E36">
        <f>IFERROR(IF(ISNUMBER(INDEX(SPPR!$E:$Z,MATCH($A36,SPPR!$A:$A,0),2)),$C36*INDEX(SPPR!$E:$Z,MATCH($A36,SPPR!$A:$A,0),2),""),"")</f>
        <v/>
      </c>
      <c r="F36">
        <f>IFERROR(IF(ISNUMBER(INDEX(SPPR!$E:$Z,MATCH($A36,SPPR!$A:$A,0),3)),$C36*INDEX(SPPR!$E:$Z,MATCH($A36,SPPR!$A:$A,0),3),""),"")</f>
        <v/>
      </c>
      <c r="G36">
        <f>IFERROR(IF(ISNUMBER(INDEX(SPPR!$E:$Z,MATCH($A36,SPPR!$A:$A,0),4)),$C36*INDEX(SPPR!$E:$Z,MATCH($A36,SPPR!$A:$A,0),4),""),"")</f>
        <v/>
      </c>
      <c r="H36">
        <f>IFERROR(IF(ISNUMBER(INDEX(SPPR!$E:$Z,MATCH($A36,SPPR!$A:$A,0),5)),$C36*INDEX(SPPR!$E:$Z,MATCH($A36,SPPR!$A:$A,0),5),""),"")</f>
        <v/>
      </c>
      <c r="I36">
        <f>IFERROR(IF(ISNUMBER(INDEX(SPPR!$E:$Z,MATCH($A36,SPPR!$A:$A,0),6)),$C36*INDEX(SPPR!$E:$Z,MATCH($A36,SPPR!$A:$A,0),6),""),"")</f>
        <v/>
      </c>
      <c r="J36">
        <f>IFERROR(IF(ISNUMBER(INDEX(SPPR!$E:$Z,MATCH($A36,SPPR!$A:$A,0),7)),$C36*INDEX(SPPR!$E:$Z,MATCH($A36,SPPR!$A:$A,0),7),""),"")</f>
        <v/>
      </c>
      <c r="K36">
        <f>IFERROR(IF(ISNUMBER(INDEX(SPPR!$E:$Z,MATCH($A36,SPPR!$A:$A,0),8)),$C36*INDEX(SPPR!$E:$Z,MATCH($A36,SPPR!$A:$A,0),8),""),"")</f>
        <v/>
      </c>
      <c r="L36">
        <f>IFERROR(IF(ISNUMBER(INDEX(SPPR!$E:$Z,MATCH($A36,SPPR!$A:$A,0),9)),$C36*INDEX(SPPR!$E:$Z,MATCH($A36,SPPR!$A:$A,0),9),""),"")</f>
        <v/>
      </c>
      <c r="M36">
        <f>IFERROR(IF(ISNUMBER(INDEX(SPPR!$E:$Z,MATCH($A36,SPPR!$A:$A,0),10)),$C36*INDEX(SPPR!$E:$Z,MATCH($A36,SPPR!$A:$A,0),10),""),"")</f>
        <v/>
      </c>
      <c r="N36">
        <f>IFERROR(IF(ISNUMBER(INDEX(SPPR!$E:$Z,MATCH($A36,SPPR!$A:$A,0),11)),$C36*INDEX(SPPR!$E:$Z,MATCH($A36,SPPR!$A:$A,0),11),""),"")</f>
        <v/>
      </c>
      <c r="O36">
        <f>IFERROR(IF(ISNUMBER(INDEX(SPPR!$E:$Z,MATCH($A36,SPPR!$A:$A,0),12)),$C36*INDEX(SPPR!$E:$Z,MATCH($A36,SPPR!$A:$A,0),12),""),"")</f>
        <v/>
      </c>
      <c r="P36">
        <f>IFERROR(IF(ISNUMBER(INDEX(SPPR!$E:$Z,MATCH($A36,SPPR!$A:$A,0),13)),$C36*INDEX(SPPR!$E:$Z,MATCH($A36,SPPR!$A:$A,0),13),""),"")</f>
        <v/>
      </c>
      <c r="Q36">
        <f>IFERROR(IF(ISNUMBER(INDEX(SPPR!$E:$Z,MATCH($A36,SPPR!$A:$A,0),14)),$C36*INDEX(SPPR!$E:$Z,MATCH($A36,SPPR!$A:$A,0),14),""),"")</f>
        <v/>
      </c>
      <c r="R36">
        <f>IFERROR(IF(ISNUMBER(INDEX(SPPR!$E:$Z,MATCH($A36,SPPR!$A:$A,0),15)),$C36*INDEX(SPPR!$E:$Z,MATCH($A36,SPPR!$A:$A,0),15),""),"")</f>
        <v/>
      </c>
      <c r="S36">
        <f>IFERROR(IF(ISNUMBER(INDEX(SPPR!$E:$Z,MATCH($A36,SPPR!$A:$A,0),16)),$C36*INDEX(SPPR!$E:$Z,MATCH($A36,SPPR!$A:$A,0),16),""),"")</f>
        <v/>
      </c>
      <c r="T36">
        <f>IFERROR(IF(ISNUMBER(INDEX(SPPR!$E:$Z,MATCH($A36,SPPR!$A:$A,0),17)),$C36*INDEX(SPPR!$E:$Z,MATCH($A36,SPPR!$A:$A,0),17),""),"")</f>
        <v/>
      </c>
      <c r="U36">
        <f>IFERROR(IF(ISNUMBER(INDEX(SPPR!$E:$Z,MATCH($A36,SPPR!$A:$A,0),18)),$C36*INDEX(SPPR!$E:$Z,MATCH($A36,SPPR!$A:$A,0),18),""),"")</f>
        <v/>
      </c>
      <c r="V36">
        <f>IFERROR(IF(ISNUMBER(INDEX(SPPR!$E:$Z,MATCH($A36,SPPR!$A:$A,0),19)),$C36*INDEX(SPPR!$E:$Z,MATCH($A36,SPPR!$A:$A,0),19),""),"")</f>
        <v/>
      </c>
      <c r="W36">
        <f>IFERROR(IF(ISNUMBER(INDEX(SPPR!$E:$Z,MATCH($A36,SPPR!$A:$A,0),20)),$C36*INDEX(SPPR!$E:$Z,MATCH($A36,SPPR!$A:$A,0),20),""),"")</f>
        <v/>
      </c>
      <c r="X36">
        <f>IFERROR(IF(ISNUMBER(INDEX(SPPR!$E:$Z,MATCH($A36,SPPR!$A:$A,0),21)),$C36*INDEX(SPPR!$E:$Z,MATCH($A36,SPPR!$A:$A,0),21),""),"")</f>
        <v/>
      </c>
      <c r="Y36">
        <f>IFERROR(IF(ISNUMBER(INDEX(SPPR!$E:$Z,MATCH($A36,SPPR!$A:$A,0),22)),$C36*INDEX(SPPR!$E:$Z,MATCH($A36,SPPR!$A:$A,0),22),""),"")</f>
        <v/>
      </c>
    </row>
    <row r="37">
      <c r="A37" t="inlineStr">
        <is>
          <t>Mugilidae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IFERROR(IF(ISNUMBER(INDEX(SPPR!$E:$Z,MATCH($A37,SPPR!$A:$A,0),1)),$C37*INDEX(SPPR!$E:$Z,MATCH($A37,SPPR!$A:$A,0),1),""),"")</f>
        <v/>
      </c>
      <c r="E37">
        <f>IFERROR(IF(ISNUMBER(INDEX(SPPR!$E:$Z,MATCH($A37,SPPR!$A:$A,0),2)),$C37*INDEX(SPPR!$E:$Z,MATCH($A37,SPPR!$A:$A,0),2),""),"")</f>
        <v/>
      </c>
      <c r="F37">
        <f>IFERROR(IF(ISNUMBER(INDEX(SPPR!$E:$Z,MATCH($A37,SPPR!$A:$A,0),3)),$C37*INDEX(SPPR!$E:$Z,MATCH($A37,SPPR!$A:$A,0),3),""),"")</f>
        <v/>
      </c>
      <c r="G37">
        <f>IFERROR(IF(ISNUMBER(INDEX(SPPR!$E:$Z,MATCH($A37,SPPR!$A:$A,0),4)),$C37*INDEX(SPPR!$E:$Z,MATCH($A37,SPPR!$A:$A,0),4),""),"")</f>
        <v/>
      </c>
      <c r="H37">
        <f>IFERROR(IF(ISNUMBER(INDEX(SPPR!$E:$Z,MATCH($A37,SPPR!$A:$A,0),5)),$C37*INDEX(SPPR!$E:$Z,MATCH($A37,SPPR!$A:$A,0),5),""),"")</f>
        <v/>
      </c>
      <c r="I37">
        <f>IFERROR(IF(ISNUMBER(INDEX(SPPR!$E:$Z,MATCH($A37,SPPR!$A:$A,0),6)),$C37*INDEX(SPPR!$E:$Z,MATCH($A37,SPPR!$A:$A,0),6),""),"")</f>
        <v/>
      </c>
      <c r="J37">
        <f>IFERROR(IF(ISNUMBER(INDEX(SPPR!$E:$Z,MATCH($A37,SPPR!$A:$A,0),7)),$C37*INDEX(SPPR!$E:$Z,MATCH($A37,SPPR!$A:$A,0),7),""),"")</f>
        <v/>
      </c>
      <c r="K37">
        <f>IFERROR(IF(ISNUMBER(INDEX(SPPR!$E:$Z,MATCH($A37,SPPR!$A:$A,0),8)),$C37*INDEX(SPPR!$E:$Z,MATCH($A37,SPPR!$A:$A,0),8),""),"")</f>
        <v/>
      </c>
      <c r="L37">
        <f>IFERROR(IF(ISNUMBER(INDEX(SPPR!$E:$Z,MATCH($A37,SPPR!$A:$A,0),9)),$C37*INDEX(SPPR!$E:$Z,MATCH($A37,SPPR!$A:$A,0),9),""),"")</f>
        <v/>
      </c>
      <c r="M37">
        <f>IFERROR(IF(ISNUMBER(INDEX(SPPR!$E:$Z,MATCH($A37,SPPR!$A:$A,0),10)),$C37*INDEX(SPPR!$E:$Z,MATCH($A37,SPPR!$A:$A,0),10),""),"")</f>
        <v/>
      </c>
      <c r="N37">
        <f>IFERROR(IF(ISNUMBER(INDEX(SPPR!$E:$Z,MATCH($A37,SPPR!$A:$A,0),11)),$C37*INDEX(SPPR!$E:$Z,MATCH($A37,SPPR!$A:$A,0),11),""),"")</f>
        <v/>
      </c>
      <c r="O37">
        <f>IFERROR(IF(ISNUMBER(INDEX(SPPR!$E:$Z,MATCH($A37,SPPR!$A:$A,0),12)),$C37*INDEX(SPPR!$E:$Z,MATCH($A37,SPPR!$A:$A,0),12),""),"")</f>
        <v/>
      </c>
      <c r="P37">
        <f>IFERROR(IF(ISNUMBER(INDEX(SPPR!$E:$Z,MATCH($A37,SPPR!$A:$A,0),13)),$C37*INDEX(SPPR!$E:$Z,MATCH($A37,SPPR!$A:$A,0),13),""),"")</f>
        <v/>
      </c>
      <c r="Q37">
        <f>IFERROR(IF(ISNUMBER(INDEX(SPPR!$E:$Z,MATCH($A37,SPPR!$A:$A,0),14)),$C37*INDEX(SPPR!$E:$Z,MATCH($A37,SPPR!$A:$A,0),14),""),"")</f>
        <v/>
      </c>
      <c r="R37">
        <f>IFERROR(IF(ISNUMBER(INDEX(SPPR!$E:$Z,MATCH($A37,SPPR!$A:$A,0),15)),$C37*INDEX(SPPR!$E:$Z,MATCH($A37,SPPR!$A:$A,0),15),""),"")</f>
        <v/>
      </c>
      <c r="S37">
        <f>IFERROR(IF(ISNUMBER(INDEX(SPPR!$E:$Z,MATCH($A37,SPPR!$A:$A,0),16)),$C37*INDEX(SPPR!$E:$Z,MATCH($A37,SPPR!$A:$A,0),16),""),"")</f>
        <v/>
      </c>
      <c r="T37">
        <f>IFERROR(IF(ISNUMBER(INDEX(SPPR!$E:$Z,MATCH($A37,SPPR!$A:$A,0),17)),$C37*INDEX(SPPR!$E:$Z,MATCH($A37,SPPR!$A:$A,0),17),""),"")</f>
        <v/>
      </c>
      <c r="U37">
        <f>IFERROR(IF(ISNUMBER(INDEX(SPPR!$E:$Z,MATCH($A37,SPPR!$A:$A,0),18)),$C37*INDEX(SPPR!$E:$Z,MATCH($A37,SPPR!$A:$A,0),18),""),"")</f>
        <v/>
      </c>
      <c r="V37">
        <f>IFERROR(IF(ISNUMBER(INDEX(SPPR!$E:$Z,MATCH($A37,SPPR!$A:$A,0),19)),$C37*INDEX(SPPR!$E:$Z,MATCH($A37,SPPR!$A:$A,0),19),""),"")</f>
        <v/>
      </c>
      <c r="W37">
        <f>IFERROR(IF(ISNUMBER(INDEX(SPPR!$E:$Z,MATCH($A37,SPPR!$A:$A,0),20)),$C37*INDEX(SPPR!$E:$Z,MATCH($A37,SPPR!$A:$A,0),20),""),"")</f>
        <v/>
      </c>
      <c r="X37">
        <f>IFERROR(IF(ISNUMBER(INDEX(SPPR!$E:$Z,MATCH($A37,SPPR!$A:$A,0),21)),$C37*INDEX(SPPR!$E:$Z,MATCH($A37,SPPR!$A:$A,0),21),""),"")</f>
        <v/>
      </c>
      <c r="Y37">
        <f>IFERROR(IF(ISNUMBER(INDEX(SPPR!$E:$Z,MATCH($A37,SPPR!$A:$A,0),22)),$C37*INDEX(SPPR!$E:$Z,MATCH($A37,SPPR!$A:$A,0),22),""),"")</f>
        <v/>
      </c>
    </row>
    <row r="38">
      <c r="A38" t="inlineStr">
        <is>
          <t>Thunnus tonggol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IFERROR(IF(ISNUMBER(INDEX(SPPR!$E:$Z,MATCH($A38,SPPR!$A:$A,0),1)),$C38*INDEX(SPPR!$E:$Z,MATCH($A38,SPPR!$A:$A,0),1),""),"")</f>
        <v/>
      </c>
      <c r="E38">
        <f>IFERROR(IF(ISNUMBER(INDEX(SPPR!$E:$Z,MATCH($A38,SPPR!$A:$A,0),2)),$C38*INDEX(SPPR!$E:$Z,MATCH($A38,SPPR!$A:$A,0),2),""),"")</f>
        <v/>
      </c>
      <c r="F38">
        <f>IFERROR(IF(ISNUMBER(INDEX(SPPR!$E:$Z,MATCH($A38,SPPR!$A:$A,0),3)),$C38*INDEX(SPPR!$E:$Z,MATCH($A38,SPPR!$A:$A,0),3),""),"")</f>
        <v/>
      </c>
      <c r="G38">
        <f>IFERROR(IF(ISNUMBER(INDEX(SPPR!$E:$Z,MATCH($A38,SPPR!$A:$A,0),4)),$C38*INDEX(SPPR!$E:$Z,MATCH($A38,SPPR!$A:$A,0),4),""),"")</f>
        <v/>
      </c>
      <c r="H38">
        <f>IFERROR(IF(ISNUMBER(INDEX(SPPR!$E:$Z,MATCH($A38,SPPR!$A:$A,0),5)),$C38*INDEX(SPPR!$E:$Z,MATCH($A38,SPPR!$A:$A,0),5),""),"")</f>
        <v/>
      </c>
      <c r="I38">
        <f>IFERROR(IF(ISNUMBER(INDEX(SPPR!$E:$Z,MATCH($A38,SPPR!$A:$A,0),6)),$C38*INDEX(SPPR!$E:$Z,MATCH($A38,SPPR!$A:$A,0),6),""),"")</f>
        <v/>
      </c>
      <c r="J38">
        <f>IFERROR(IF(ISNUMBER(INDEX(SPPR!$E:$Z,MATCH($A38,SPPR!$A:$A,0),7)),$C38*INDEX(SPPR!$E:$Z,MATCH($A38,SPPR!$A:$A,0),7),""),"")</f>
        <v/>
      </c>
      <c r="K38">
        <f>IFERROR(IF(ISNUMBER(INDEX(SPPR!$E:$Z,MATCH($A38,SPPR!$A:$A,0),8)),$C38*INDEX(SPPR!$E:$Z,MATCH($A38,SPPR!$A:$A,0),8),""),"")</f>
        <v/>
      </c>
      <c r="L38">
        <f>IFERROR(IF(ISNUMBER(INDEX(SPPR!$E:$Z,MATCH($A38,SPPR!$A:$A,0),9)),$C38*INDEX(SPPR!$E:$Z,MATCH($A38,SPPR!$A:$A,0),9),""),"")</f>
        <v/>
      </c>
      <c r="M38">
        <f>IFERROR(IF(ISNUMBER(INDEX(SPPR!$E:$Z,MATCH($A38,SPPR!$A:$A,0),10)),$C38*INDEX(SPPR!$E:$Z,MATCH($A38,SPPR!$A:$A,0),10),""),"")</f>
        <v/>
      </c>
      <c r="N38">
        <f>IFERROR(IF(ISNUMBER(INDEX(SPPR!$E:$Z,MATCH($A38,SPPR!$A:$A,0),11)),$C38*INDEX(SPPR!$E:$Z,MATCH($A38,SPPR!$A:$A,0),11),""),"")</f>
        <v/>
      </c>
      <c r="O38">
        <f>IFERROR(IF(ISNUMBER(INDEX(SPPR!$E:$Z,MATCH($A38,SPPR!$A:$A,0),12)),$C38*INDEX(SPPR!$E:$Z,MATCH($A38,SPPR!$A:$A,0),12),""),"")</f>
        <v/>
      </c>
      <c r="P38">
        <f>IFERROR(IF(ISNUMBER(INDEX(SPPR!$E:$Z,MATCH($A38,SPPR!$A:$A,0),13)),$C38*INDEX(SPPR!$E:$Z,MATCH($A38,SPPR!$A:$A,0),13),""),"")</f>
        <v/>
      </c>
      <c r="Q38">
        <f>IFERROR(IF(ISNUMBER(INDEX(SPPR!$E:$Z,MATCH($A38,SPPR!$A:$A,0),14)),$C38*INDEX(SPPR!$E:$Z,MATCH($A38,SPPR!$A:$A,0),14),""),"")</f>
        <v/>
      </c>
      <c r="R38">
        <f>IFERROR(IF(ISNUMBER(INDEX(SPPR!$E:$Z,MATCH($A38,SPPR!$A:$A,0),15)),$C38*INDEX(SPPR!$E:$Z,MATCH($A38,SPPR!$A:$A,0),15),""),"")</f>
        <v/>
      </c>
      <c r="S38">
        <f>IFERROR(IF(ISNUMBER(INDEX(SPPR!$E:$Z,MATCH($A38,SPPR!$A:$A,0),16)),$C38*INDEX(SPPR!$E:$Z,MATCH($A38,SPPR!$A:$A,0),16),""),"")</f>
        <v/>
      </c>
      <c r="T38">
        <f>IFERROR(IF(ISNUMBER(INDEX(SPPR!$E:$Z,MATCH($A38,SPPR!$A:$A,0),17)),$C38*INDEX(SPPR!$E:$Z,MATCH($A38,SPPR!$A:$A,0),17),""),"")</f>
        <v/>
      </c>
      <c r="U38">
        <f>IFERROR(IF(ISNUMBER(INDEX(SPPR!$E:$Z,MATCH($A38,SPPR!$A:$A,0),18)),$C38*INDEX(SPPR!$E:$Z,MATCH($A38,SPPR!$A:$A,0),18),""),"")</f>
        <v/>
      </c>
      <c r="V38">
        <f>IFERROR(IF(ISNUMBER(INDEX(SPPR!$E:$Z,MATCH($A38,SPPR!$A:$A,0),19)),$C38*INDEX(SPPR!$E:$Z,MATCH($A38,SPPR!$A:$A,0),19),""),"")</f>
        <v/>
      </c>
      <c r="W38">
        <f>IFERROR(IF(ISNUMBER(INDEX(SPPR!$E:$Z,MATCH($A38,SPPR!$A:$A,0),20)),$C38*INDEX(SPPR!$E:$Z,MATCH($A38,SPPR!$A:$A,0),20),""),"")</f>
        <v/>
      </c>
      <c r="X38">
        <f>IFERROR(IF(ISNUMBER(INDEX(SPPR!$E:$Z,MATCH($A38,SPPR!$A:$A,0),21)),$C38*INDEX(SPPR!$E:$Z,MATCH($A38,SPPR!$A:$A,0),21),""),"")</f>
        <v/>
      </c>
      <c r="Y38">
        <f>IFERROR(IF(ISNUMBER(INDEX(SPPR!$E:$Z,MATCH($A38,SPPR!$A:$A,0),22)),$C38*INDEX(SPPR!$E:$Z,MATCH($A38,SPPR!$A:$A,0),22),""),"")</f>
        <v/>
      </c>
    </row>
    <row r="39">
      <c r="A39" t="inlineStr">
        <is>
          <t>Selaroides leptolepis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IFERROR(IF(ISNUMBER(INDEX(SPPR!$E:$Z,MATCH($A39,SPPR!$A:$A,0),1)),$C39*INDEX(SPPR!$E:$Z,MATCH($A39,SPPR!$A:$A,0),1),""),"")</f>
        <v/>
      </c>
      <c r="E39">
        <f>IFERROR(IF(ISNUMBER(INDEX(SPPR!$E:$Z,MATCH($A39,SPPR!$A:$A,0),2)),$C39*INDEX(SPPR!$E:$Z,MATCH($A39,SPPR!$A:$A,0),2),""),"")</f>
        <v/>
      </c>
      <c r="F39">
        <f>IFERROR(IF(ISNUMBER(INDEX(SPPR!$E:$Z,MATCH($A39,SPPR!$A:$A,0),3)),$C39*INDEX(SPPR!$E:$Z,MATCH($A39,SPPR!$A:$A,0),3),""),"")</f>
        <v/>
      </c>
      <c r="G39">
        <f>IFERROR(IF(ISNUMBER(INDEX(SPPR!$E:$Z,MATCH($A39,SPPR!$A:$A,0),4)),$C39*INDEX(SPPR!$E:$Z,MATCH($A39,SPPR!$A:$A,0),4),""),"")</f>
        <v/>
      </c>
      <c r="H39">
        <f>IFERROR(IF(ISNUMBER(INDEX(SPPR!$E:$Z,MATCH($A39,SPPR!$A:$A,0),5)),$C39*INDEX(SPPR!$E:$Z,MATCH($A39,SPPR!$A:$A,0),5),""),"")</f>
        <v/>
      </c>
      <c r="I39">
        <f>IFERROR(IF(ISNUMBER(INDEX(SPPR!$E:$Z,MATCH($A39,SPPR!$A:$A,0),6)),$C39*INDEX(SPPR!$E:$Z,MATCH($A39,SPPR!$A:$A,0),6),""),"")</f>
        <v/>
      </c>
      <c r="J39">
        <f>IFERROR(IF(ISNUMBER(INDEX(SPPR!$E:$Z,MATCH($A39,SPPR!$A:$A,0),7)),$C39*INDEX(SPPR!$E:$Z,MATCH($A39,SPPR!$A:$A,0),7),""),"")</f>
        <v/>
      </c>
      <c r="K39">
        <f>IFERROR(IF(ISNUMBER(INDEX(SPPR!$E:$Z,MATCH($A39,SPPR!$A:$A,0),8)),$C39*INDEX(SPPR!$E:$Z,MATCH($A39,SPPR!$A:$A,0),8),""),"")</f>
        <v/>
      </c>
      <c r="L39">
        <f>IFERROR(IF(ISNUMBER(INDEX(SPPR!$E:$Z,MATCH($A39,SPPR!$A:$A,0),9)),$C39*INDEX(SPPR!$E:$Z,MATCH($A39,SPPR!$A:$A,0),9),""),"")</f>
        <v/>
      </c>
      <c r="M39">
        <f>IFERROR(IF(ISNUMBER(INDEX(SPPR!$E:$Z,MATCH($A39,SPPR!$A:$A,0),10)),$C39*INDEX(SPPR!$E:$Z,MATCH($A39,SPPR!$A:$A,0),10),""),"")</f>
        <v/>
      </c>
      <c r="N39">
        <f>IFERROR(IF(ISNUMBER(INDEX(SPPR!$E:$Z,MATCH($A39,SPPR!$A:$A,0),11)),$C39*INDEX(SPPR!$E:$Z,MATCH($A39,SPPR!$A:$A,0),11),""),"")</f>
        <v/>
      </c>
      <c r="O39">
        <f>IFERROR(IF(ISNUMBER(INDEX(SPPR!$E:$Z,MATCH($A39,SPPR!$A:$A,0),12)),$C39*INDEX(SPPR!$E:$Z,MATCH($A39,SPPR!$A:$A,0),12),""),"")</f>
        <v/>
      </c>
      <c r="P39">
        <f>IFERROR(IF(ISNUMBER(INDEX(SPPR!$E:$Z,MATCH($A39,SPPR!$A:$A,0),13)),$C39*INDEX(SPPR!$E:$Z,MATCH($A39,SPPR!$A:$A,0),13),""),"")</f>
        <v/>
      </c>
      <c r="Q39">
        <f>IFERROR(IF(ISNUMBER(INDEX(SPPR!$E:$Z,MATCH($A39,SPPR!$A:$A,0),14)),$C39*INDEX(SPPR!$E:$Z,MATCH($A39,SPPR!$A:$A,0),14),""),"")</f>
        <v/>
      </c>
      <c r="R39">
        <f>IFERROR(IF(ISNUMBER(INDEX(SPPR!$E:$Z,MATCH($A39,SPPR!$A:$A,0),15)),$C39*INDEX(SPPR!$E:$Z,MATCH($A39,SPPR!$A:$A,0),15),""),"")</f>
        <v/>
      </c>
      <c r="S39">
        <f>IFERROR(IF(ISNUMBER(INDEX(SPPR!$E:$Z,MATCH($A39,SPPR!$A:$A,0),16)),$C39*INDEX(SPPR!$E:$Z,MATCH($A39,SPPR!$A:$A,0),16),""),"")</f>
        <v/>
      </c>
      <c r="T39">
        <f>IFERROR(IF(ISNUMBER(INDEX(SPPR!$E:$Z,MATCH($A39,SPPR!$A:$A,0),17)),$C39*INDEX(SPPR!$E:$Z,MATCH($A39,SPPR!$A:$A,0),17),""),"")</f>
        <v/>
      </c>
      <c r="U39">
        <f>IFERROR(IF(ISNUMBER(INDEX(SPPR!$E:$Z,MATCH($A39,SPPR!$A:$A,0),18)),$C39*INDEX(SPPR!$E:$Z,MATCH($A39,SPPR!$A:$A,0),18),""),"")</f>
        <v/>
      </c>
      <c r="V39">
        <f>IFERROR(IF(ISNUMBER(INDEX(SPPR!$E:$Z,MATCH($A39,SPPR!$A:$A,0),19)),$C39*INDEX(SPPR!$E:$Z,MATCH($A39,SPPR!$A:$A,0),19),""),"")</f>
        <v/>
      </c>
      <c r="W39">
        <f>IFERROR(IF(ISNUMBER(INDEX(SPPR!$E:$Z,MATCH($A39,SPPR!$A:$A,0),20)),$C39*INDEX(SPPR!$E:$Z,MATCH($A39,SPPR!$A:$A,0),20),""),"")</f>
        <v/>
      </c>
      <c r="X39">
        <f>IFERROR(IF(ISNUMBER(INDEX(SPPR!$E:$Z,MATCH($A39,SPPR!$A:$A,0),21)),$C39*INDEX(SPPR!$E:$Z,MATCH($A39,SPPR!$A:$A,0),21),""),"")</f>
        <v/>
      </c>
      <c r="Y39">
        <f>IFERROR(IF(ISNUMBER(INDEX(SPPR!$E:$Z,MATCH($A39,SPPR!$A:$A,0),22)),$C39*INDEX(SPPR!$E:$Z,MATCH($A39,SPPR!$A:$A,0),22),""),"")</f>
        <v/>
      </c>
    </row>
    <row r="40">
      <c r="A40" t="inlineStr">
        <is>
          <t>Dendrobranchiata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IFERROR(IF(ISNUMBER(INDEX(SPPR!$E:$Z,MATCH($A40,SPPR!$A:$A,0),1)),$C40*INDEX(SPPR!$E:$Z,MATCH($A40,SPPR!$A:$A,0),1),""),"")</f>
        <v/>
      </c>
      <c r="E40">
        <f>IFERROR(IF(ISNUMBER(INDEX(SPPR!$E:$Z,MATCH($A40,SPPR!$A:$A,0),2)),$C40*INDEX(SPPR!$E:$Z,MATCH($A40,SPPR!$A:$A,0),2),""),"")</f>
        <v/>
      </c>
      <c r="F40">
        <f>IFERROR(IF(ISNUMBER(INDEX(SPPR!$E:$Z,MATCH($A40,SPPR!$A:$A,0),3)),$C40*INDEX(SPPR!$E:$Z,MATCH($A40,SPPR!$A:$A,0),3),""),"")</f>
        <v/>
      </c>
      <c r="G40">
        <f>IFERROR(IF(ISNUMBER(INDEX(SPPR!$E:$Z,MATCH($A40,SPPR!$A:$A,0),4)),$C40*INDEX(SPPR!$E:$Z,MATCH($A40,SPPR!$A:$A,0),4),""),"")</f>
        <v/>
      </c>
      <c r="H40">
        <f>IFERROR(IF(ISNUMBER(INDEX(SPPR!$E:$Z,MATCH($A40,SPPR!$A:$A,0),5)),$C40*INDEX(SPPR!$E:$Z,MATCH($A40,SPPR!$A:$A,0),5),""),"")</f>
        <v/>
      </c>
      <c r="I40">
        <f>IFERROR(IF(ISNUMBER(INDEX(SPPR!$E:$Z,MATCH($A40,SPPR!$A:$A,0),6)),$C40*INDEX(SPPR!$E:$Z,MATCH($A40,SPPR!$A:$A,0),6),""),"")</f>
        <v/>
      </c>
      <c r="J40">
        <f>IFERROR(IF(ISNUMBER(INDEX(SPPR!$E:$Z,MATCH($A40,SPPR!$A:$A,0),7)),$C40*INDEX(SPPR!$E:$Z,MATCH($A40,SPPR!$A:$A,0),7),""),"")</f>
        <v/>
      </c>
      <c r="K40">
        <f>IFERROR(IF(ISNUMBER(INDEX(SPPR!$E:$Z,MATCH($A40,SPPR!$A:$A,0),8)),$C40*INDEX(SPPR!$E:$Z,MATCH($A40,SPPR!$A:$A,0),8),""),"")</f>
        <v/>
      </c>
      <c r="L40">
        <f>IFERROR(IF(ISNUMBER(INDEX(SPPR!$E:$Z,MATCH($A40,SPPR!$A:$A,0),9)),$C40*INDEX(SPPR!$E:$Z,MATCH($A40,SPPR!$A:$A,0),9),""),"")</f>
        <v/>
      </c>
      <c r="M40">
        <f>IFERROR(IF(ISNUMBER(INDEX(SPPR!$E:$Z,MATCH($A40,SPPR!$A:$A,0),10)),$C40*INDEX(SPPR!$E:$Z,MATCH($A40,SPPR!$A:$A,0),10),""),"")</f>
        <v/>
      </c>
      <c r="N40">
        <f>IFERROR(IF(ISNUMBER(INDEX(SPPR!$E:$Z,MATCH($A40,SPPR!$A:$A,0),11)),$C40*INDEX(SPPR!$E:$Z,MATCH($A40,SPPR!$A:$A,0),11),""),"")</f>
        <v/>
      </c>
      <c r="O40">
        <f>IFERROR(IF(ISNUMBER(INDEX(SPPR!$E:$Z,MATCH($A40,SPPR!$A:$A,0),12)),$C40*INDEX(SPPR!$E:$Z,MATCH($A40,SPPR!$A:$A,0),12),""),"")</f>
        <v/>
      </c>
      <c r="P40">
        <f>IFERROR(IF(ISNUMBER(INDEX(SPPR!$E:$Z,MATCH($A40,SPPR!$A:$A,0),13)),$C40*INDEX(SPPR!$E:$Z,MATCH($A40,SPPR!$A:$A,0),13),""),"")</f>
        <v/>
      </c>
      <c r="Q40">
        <f>IFERROR(IF(ISNUMBER(INDEX(SPPR!$E:$Z,MATCH($A40,SPPR!$A:$A,0),14)),$C40*INDEX(SPPR!$E:$Z,MATCH($A40,SPPR!$A:$A,0),14),""),"")</f>
        <v/>
      </c>
      <c r="R40">
        <f>IFERROR(IF(ISNUMBER(INDEX(SPPR!$E:$Z,MATCH($A40,SPPR!$A:$A,0),15)),$C40*INDEX(SPPR!$E:$Z,MATCH($A40,SPPR!$A:$A,0),15),""),"")</f>
        <v/>
      </c>
      <c r="S40">
        <f>IFERROR(IF(ISNUMBER(INDEX(SPPR!$E:$Z,MATCH($A40,SPPR!$A:$A,0),16)),$C40*INDEX(SPPR!$E:$Z,MATCH($A40,SPPR!$A:$A,0),16),""),"")</f>
        <v/>
      </c>
      <c r="T40">
        <f>IFERROR(IF(ISNUMBER(INDEX(SPPR!$E:$Z,MATCH($A40,SPPR!$A:$A,0),17)),$C40*INDEX(SPPR!$E:$Z,MATCH($A40,SPPR!$A:$A,0),17),""),"")</f>
        <v/>
      </c>
      <c r="U40">
        <f>IFERROR(IF(ISNUMBER(INDEX(SPPR!$E:$Z,MATCH($A40,SPPR!$A:$A,0),18)),$C40*INDEX(SPPR!$E:$Z,MATCH($A40,SPPR!$A:$A,0),18),""),"")</f>
        <v/>
      </c>
      <c r="V40">
        <f>IFERROR(IF(ISNUMBER(INDEX(SPPR!$E:$Z,MATCH($A40,SPPR!$A:$A,0),19)),$C40*INDEX(SPPR!$E:$Z,MATCH($A40,SPPR!$A:$A,0),19),""),"")</f>
        <v/>
      </c>
      <c r="W40">
        <f>IFERROR(IF(ISNUMBER(INDEX(SPPR!$E:$Z,MATCH($A40,SPPR!$A:$A,0),20)),$C40*INDEX(SPPR!$E:$Z,MATCH($A40,SPPR!$A:$A,0),20),""),"")</f>
        <v/>
      </c>
      <c r="X40">
        <f>IFERROR(IF(ISNUMBER(INDEX(SPPR!$E:$Z,MATCH($A40,SPPR!$A:$A,0),21)),$C40*INDEX(SPPR!$E:$Z,MATCH($A40,SPPR!$A:$A,0),21),""),"")</f>
        <v/>
      </c>
      <c r="Y40">
        <f>IFERROR(IF(ISNUMBER(INDEX(SPPR!$E:$Z,MATCH($A40,SPPR!$A:$A,0),22)),$C40*INDEX(SPPR!$E:$Z,MATCH($A40,SPPR!$A:$A,0),22),""),"")</f>
        <v/>
      </c>
    </row>
    <row r="41">
      <c r="A41" t="inlineStr">
        <is>
          <t>Ariidae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IFERROR(IF(ISNUMBER(INDEX(SPPR!$E:$Z,MATCH($A41,SPPR!$A:$A,0),1)),$C41*INDEX(SPPR!$E:$Z,MATCH($A41,SPPR!$A:$A,0),1),""),"")</f>
        <v/>
      </c>
      <c r="E41">
        <f>IFERROR(IF(ISNUMBER(INDEX(SPPR!$E:$Z,MATCH($A41,SPPR!$A:$A,0),2)),$C41*INDEX(SPPR!$E:$Z,MATCH($A41,SPPR!$A:$A,0),2),""),"")</f>
        <v/>
      </c>
      <c r="F41">
        <f>IFERROR(IF(ISNUMBER(INDEX(SPPR!$E:$Z,MATCH($A41,SPPR!$A:$A,0),3)),$C41*INDEX(SPPR!$E:$Z,MATCH($A41,SPPR!$A:$A,0),3),""),"")</f>
        <v/>
      </c>
      <c r="G41">
        <f>IFERROR(IF(ISNUMBER(INDEX(SPPR!$E:$Z,MATCH($A41,SPPR!$A:$A,0),4)),$C41*INDEX(SPPR!$E:$Z,MATCH($A41,SPPR!$A:$A,0),4),""),"")</f>
        <v/>
      </c>
      <c r="H41">
        <f>IFERROR(IF(ISNUMBER(INDEX(SPPR!$E:$Z,MATCH($A41,SPPR!$A:$A,0),5)),$C41*INDEX(SPPR!$E:$Z,MATCH($A41,SPPR!$A:$A,0),5),""),"")</f>
        <v/>
      </c>
      <c r="I41">
        <f>IFERROR(IF(ISNUMBER(INDEX(SPPR!$E:$Z,MATCH($A41,SPPR!$A:$A,0),6)),$C41*INDEX(SPPR!$E:$Z,MATCH($A41,SPPR!$A:$A,0),6),""),"")</f>
        <v/>
      </c>
      <c r="J41">
        <f>IFERROR(IF(ISNUMBER(INDEX(SPPR!$E:$Z,MATCH($A41,SPPR!$A:$A,0),7)),$C41*INDEX(SPPR!$E:$Z,MATCH($A41,SPPR!$A:$A,0),7),""),"")</f>
        <v/>
      </c>
      <c r="K41">
        <f>IFERROR(IF(ISNUMBER(INDEX(SPPR!$E:$Z,MATCH($A41,SPPR!$A:$A,0),8)),$C41*INDEX(SPPR!$E:$Z,MATCH($A41,SPPR!$A:$A,0),8),""),"")</f>
        <v/>
      </c>
      <c r="L41">
        <f>IFERROR(IF(ISNUMBER(INDEX(SPPR!$E:$Z,MATCH($A41,SPPR!$A:$A,0),9)),$C41*INDEX(SPPR!$E:$Z,MATCH($A41,SPPR!$A:$A,0),9),""),"")</f>
        <v/>
      </c>
      <c r="M41">
        <f>IFERROR(IF(ISNUMBER(INDEX(SPPR!$E:$Z,MATCH($A41,SPPR!$A:$A,0),10)),$C41*INDEX(SPPR!$E:$Z,MATCH($A41,SPPR!$A:$A,0),10),""),"")</f>
        <v/>
      </c>
      <c r="N41">
        <f>IFERROR(IF(ISNUMBER(INDEX(SPPR!$E:$Z,MATCH($A41,SPPR!$A:$A,0),11)),$C41*INDEX(SPPR!$E:$Z,MATCH($A41,SPPR!$A:$A,0),11),""),"")</f>
        <v/>
      </c>
      <c r="O41">
        <f>IFERROR(IF(ISNUMBER(INDEX(SPPR!$E:$Z,MATCH($A41,SPPR!$A:$A,0),12)),$C41*INDEX(SPPR!$E:$Z,MATCH($A41,SPPR!$A:$A,0),12),""),"")</f>
        <v/>
      </c>
      <c r="P41">
        <f>IFERROR(IF(ISNUMBER(INDEX(SPPR!$E:$Z,MATCH($A41,SPPR!$A:$A,0),13)),$C41*INDEX(SPPR!$E:$Z,MATCH($A41,SPPR!$A:$A,0),13),""),"")</f>
        <v/>
      </c>
      <c r="Q41">
        <f>IFERROR(IF(ISNUMBER(INDEX(SPPR!$E:$Z,MATCH($A41,SPPR!$A:$A,0),14)),$C41*INDEX(SPPR!$E:$Z,MATCH($A41,SPPR!$A:$A,0),14),""),"")</f>
        <v/>
      </c>
      <c r="R41">
        <f>IFERROR(IF(ISNUMBER(INDEX(SPPR!$E:$Z,MATCH($A41,SPPR!$A:$A,0),15)),$C41*INDEX(SPPR!$E:$Z,MATCH($A41,SPPR!$A:$A,0),15),""),"")</f>
        <v/>
      </c>
      <c r="S41">
        <f>IFERROR(IF(ISNUMBER(INDEX(SPPR!$E:$Z,MATCH($A41,SPPR!$A:$A,0),16)),$C41*INDEX(SPPR!$E:$Z,MATCH($A41,SPPR!$A:$A,0),16),""),"")</f>
        <v/>
      </c>
      <c r="T41">
        <f>IFERROR(IF(ISNUMBER(INDEX(SPPR!$E:$Z,MATCH($A41,SPPR!$A:$A,0),17)),$C41*INDEX(SPPR!$E:$Z,MATCH($A41,SPPR!$A:$A,0),17),""),"")</f>
        <v/>
      </c>
      <c r="U41">
        <f>IFERROR(IF(ISNUMBER(INDEX(SPPR!$E:$Z,MATCH($A41,SPPR!$A:$A,0),18)),$C41*INDEX(SPPR!$E:$Z,MATCH($A41,SPPR!$A:$A,0),18),""),"")</f>
        <v/>
      </c>
      <c r="V41">
        <f>IFERROR(IF(ISNUMBER(INDEX(SPPR!$E:$Z,MATCH($A41,SPPR!$A:$A,0),19)),$C41*INDEX(SPPR!$E:$Z,MATCH($A41,SPPR!$A:$A,0),19),""),"")</f>
        <v/>
      </c>
      <c r="W41">
        <f>IFERROR(IF(ISNUMBER(INDEX(SPPR!$E:$Z,MATCH($A41,SPPR!$A:$A,0),20)),$C41*INDEX(SPPR!$E:$Z,MATCH($A41,SPPR!$A:$A,0),20),""),"")</f>
        <v/>
      </c>
      <c r="X41">
        <f>IFERROR(IF(ISNUMBER(INDEX(SPPR!$E:$Z,MATCH($A41,SPPR!$A:$A,0),21)),$C41*INDEX(SPPR!$E:$Z,MATCH($A41,SPPR!$A:$A,0),21),""),"")</f>
        <v/>
      </c>
      <c r="Y41">
        <f>IFERROR(IF(ISNUMBER(INDEX(SPPR!$E:$Z,MATCH($A41,SPPR!$A:$A,0),22)),$C41*INDEX(SPPR!$E:$Z,MATCH($A41,SPPR!$A:$A,0),22),""),"")</f>
        <v/>
      </c>
    </row>
    <row r="42">
      <c r="A42" t="inlineStr">
        <is>
          <t>Scomberomorus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IFERROR(IF(ISNUMBER(INDEX(SPPR!$E:$Z,MATCH($A42,SPPR!$A:$A,0),1)),$C42*INDEX(SPPR!$E:$Z,MATCH($A42,SPPR!$A:$A,0),1),""),"")</f>
        <v/>
      </c>
      <c r="E42">
        <f>IFERROR(IF(ISNUMBER(INDEX(SPPR!$E:$Z,MATCH($A42,SPPR!$A:$A,0),2)),$C42*INDEX(SPPR!$E:$Z,MATCH($A42,SPPR!$A:$A,0),2),""),"")</f>
        <v/>
      </c>
      <c r="F42">
        <f>IFERROR(IF(ISNUMBER(INDEX(SPPR!$E:$Z,MATCH($A42,SPPR!$A:$A,0),3)),$C42*INDEX(SPPR!$E:$Z,MATCH($A42,SPPR!$A:$A,0),3),""),"")</f>
        <v/>
      </c>
      <c r="G42">
        <f>IFERROR(IF(ISNUMBER(INDEX(SPPR!$E:$Z,MATCH($A42,SPPR!$A:$A,0),4)),$C42*INDEX(SPPR!$E:$Z,MATCH($A42,SPPR!$A:$A,0),4),""),"")</f>
        <v/>
      </c>
      <c r="H42">
        <f>IFERROR(IF(ISNUMBER(INDEX(SPPR!$E:$Z,MATCH($A42,SPPR!$A:$A,0),5)),$C42*INDEX(SPPR!$E:$Z,MATCH($A42,SPPR!$A:$A,0),5),""),"")</f>
        <v/>
      </c>
      <c r="I42">
        <f>IFERROR(IF(ISNUMBER(INDEX(SPPR!$E:$Z,MATCH($A42,SPPR!$A:$A,0),6)),$C42*INDEX(SPPR!$E:$Z,MATCH($A42,SPPR!$A:$A,0),6),""),"")</f>
        <v/>
      </c>
      <c r="J42">
        <f>IFERROR(IF(ISNUMBER(INDEX(SPPR!$E:$Z,MATCH($A42,SPPR!$A:$A,0),7)),$C42*INDEX(SPPR!$E:$Z,MATCH($A42,SPPR!$A:$A,0),7),""),"")</f>
        <v/>
      </c>
      <c r="K42">
        <f>IFERROR(IF(ISNUMBER(INDEX(SPPR!$E:$Z,MATCH($A42,SPPR!$A:$A,0),8)),$C42*INDEX(SPPR!$E:$Z,MATCH($A42,SPPR!$A:$A,0),8),""),"")</f>
        <v/>
      </c>
      <c r="L42">
        <f>IFERROR(IF(ISNUMBER(INDEX(SPPR!$E:$Z,MATCH($A42,SPPR!$A:$A,0),9)),$C42*INDEX(SPPR!$E:$Z,MATCH($A42,SPPR!$A:$A,0),9),""),"")</f>
        <v/>
      </c>
      <c r="M42">
        <f>IFERROR(IF(ISNUMBER(INDEX(SPPR!$E:$Z,MATCH($A42,SPPR!$A:$A,0),10)),$C42*INDEX(SPPR!$E:$Z,MATCH($A42,SPPR!$A:$A,0),10),""),"")</f>
        <v/>
      </c>
      <c r="N42">
        <f>IFERROR(IF(ISNUMBER(INDEX(SPPR!$E:$Z,MATCH($A42,SPPR!$A:$A,0),11)),$C42*INDEX(SPPR!$E:$Z,MATCH($A42,SPPR!$A:$A,0),11),""),"")</f>
        <v/>
      </c>
      <c r="O42">
        <f>IFERROR(IF(ISNUMBER(INDEX(SPPR!$E:$Z,MATCH($A42,SPPR!$A:$A,0),12)),$C42*INDEX(SPPR!$E:$Z,MATCH($A42,SPPR!$A:$A,0),12),""),"")</f>
        <v/>
      </c>
      <c r="P42">
        <f>IFERROR(IF(ISNUMBER(INDEX(SPPR!$E:$Z,MATCH($A42,SPPR!$A:$A,0),13)),$C42*INDEX(SPPR!$E:$Z,MATCH($A42,SPPR!$A:$A,0),13),""),"")</f>
        <v/>
      </c>
      <c r="Q42">
        <f>IFERROR(IF(ISNUMBER(INDEX(SPPR!$E:$Z,MATCH($A42,SPPR!$A:$A,0),14)),$C42*INDEX(SPPR!$E:$Z,MATCH($A42,SPPR!$A:$A,0),14),""),"")</f>
        <v/>
      </c>
      <c r="R42">
        <f>IFERROR(IF(ISNUMBER(INDEX(SPPR!$E:$Z,MATCH($A42,SPPR!$A:$A,0),15)),$C42*INDEX(SPPR!$E:$Z,MATCH($A42,SPPR!$A:$A,0),15),""),"")</f>
        <v/>
      </c>
      <c r="S42">
        <f>IFERROR(IF(ISNUMBER(INDEX(SPPR!$E:$Z,MATCH($A42,SPPR!$A:$A,0),16)),$C42*INDEX(SPPR!$E:$Z,MATCH($A42,SPPR!$A:$A,0),16),""),"")</f>
        <v/>
      </c>
      <c r="T42">
        <f>IFERROR(IF(ISNUMBER(INDEX(SPPR!$E:$Z,MATCH($A42,SPPR!$A:$A,0),17)),$C42*INDEX(SPPR!$E:$Z,MATCH($A42,SPPR!$A:$A,0),17),""),"")</f>
        <v/>
      </c>
      <c r="U42">
        <f>IFERROR(IF(ISNUMBER(INDEX(SPPR!$E:$Z,MATCH($A42,SPPR!$A:$A,0),18)),$C42*INDEX(SPPR!$E:$Z,MATCH($A42,SPPR!$A:$A,0),18),""),"")</f>
        <v/>
      </c>
      <c r="V42">
        <f>IFERROR(IF(ISNUMBER(INDEX(SPPR!$E:$Z,MATCH($A42,SPPR!$A:$A,0),19)),$C42*INDEX(SPPR!$E:$Z,MATCH($A42,SPPR!$A:$A,0),19),""),"")</f>
        <v/>
      </c>
      <c r="W42">
        <f>IFERROR(IF(ISNUMBER(INDEX(SPPR!$E:$Z,MATCH($A42,SPPR!$A:$A,0),20)),$C42*INDEX(SPPR!$E:$Z,MATCH($A42,SPPR!$A:$A,0),20),""),"")</f>
        <v/>
      </c>
      <c r="X42">
        <f>IFERROR(IF(ISNUMBER(INDEX(SPPR!$E:$Z,MATCH($A42,SPPR!$A:$A,0),21)),$C42*INDEX(SPPR!$E:$Z,MATCH($A42,SPPR!$A:$A,0),21),""),"")</f>
        <v/>
      </c>
      <c r="Y42">
        <f>IFERROR(IF(ISNUMBER(INDEX(SPPR!$E:$Z,MATCH($A42,SPPR!$A:$A,0),22)),$C42*INDEX(SPPR!$E:$Z,MATCH($A42,SPPR!$A:$A,0),22),""),"")</f>
        <v/>
      </c>
    </row>
    <row r="43">
      <c r="A43" t="inlineStr">
        <is>
          <t>Priacanthidae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IFERROR(IF(ISNUMBER(INDEX(SPPR!$E:$Z,MATCH($A43,SPPR!$A:$A,0),1)),$C43*INDEX(SPPR!$E:$Z,MATCH($A43,SPPR!$A:$A,0),1),""),"")</f>
        <v/>
      </c>
      <c r="E43">
        <f>IFERROR(IF(ISNUMBER(INDEX(SPPR!$E:$Z,MATCH($A43,SPPR!$A:$A,0),2)),$C43*INDEX(SPPR!$E:$Z,MATCH($A43,SPPR!$A:$A,0),2),""),"")</f>
        <v/>
      </c>
      <c r="F43">
        <f>IFERROR(IF(ISNUMBER(INDEX(SPPR!$E:$Z,MATCH($A43,SPPR!$A:$A,0),3)),$C43*INDEX(SPPR!$E:$Z,MATCH($A43,SPPR!$A:$A,0),3),""),"")</f>
        <v/>
      </c>
      <c r="G43">
        <f>IFERROR(IF(ISNUMBER(INDEX(SPPR!$E:$Z,MATCH($A43,SPPR!$A:$A,0),4)),$C43*INDEX(SPPR!$E:$Z,MATCH($A43,SPPR!$A:$A,0),4),""),"")</f>
        <v/>
      </c>
      <c r="H43">
        <f>IFERROR(IF(ISNUMBER(INDEX(SPPR!$E:$Z,MATCH($A43,SPPR!$A:$A,0),5)),$C43*INDEX(SPPR!$E:$Z,MATCH($A43,SPPR!$A:$A,0),5),""),"")</f>
        <v/>
      </c>
      <c r="I43">
        <f>IFERROR(IF(ISNUMBER(INDEX(SPPR!$E:$Z,MATCH($A43,SPPR!$A:$A,0),6)),$C43*INDEX(SPPR!$E:$Z,MATCH($A43,SPPR!$A:$A,0),6),""),"")</f>
        <v/>
      </c>
      <c r="J43">
        <f>IFERROR(IF(ISNUMBER(INDEX(SPPR!$E:$Z,MATCH($A43,SPPR!$A:$A,0),7)),$C43*INDEX(SPPR!$E:$Z,MATCH($A43,SPPR!$A:$A,0),7),""),"")</f>
        <v/>
      </c>
      <c r="K43">
        <f>IFERROR(IF(ISNUMBER(INDEX(SPPR!$E:$Z,MATCH($A43,SPPR!$A:$A,0),8)),$C43*INDEX(SPPR!$E:$Z,MATCH($A43,SPPR!$A:$A,0),8),""),"")</f>
        <v/>
      </c>
      <c r="L43">
        <f>IFERROR(IF(ISNUMBER(INDEX(SPPR!$E:$Z,MATCH($A43,SPPR!$A:$A,0),9)),$C43*INDEX(SPPR!$E:$Z,MATCH($A43,SPPR!$A:$A,0),9),""),"")</f>
        <v/>
      </c>
      <c r="M43">
        <f>IFERROR(IF(ISNUMBER(INDEX(SPPR!$E:$Z,MATCH($A43,SPPR!$A:$A,0),10)),$C43*INDEX(SPPR!$E:$Z,MATCH($A43,SPPR!$A:$A,0),10),""),"")</f>
        <v/>
      </c>
      <c r="N43">
        <f>IFERROR(IF(ISNUMBER(INDEX(SPPR!$E:$Z,MATCH($A43,SPPR!$A:$A,0),11)),$C43*INDEX(SPPR!$E:$Z,MATCH($A43,SPPR!$A:$A,0),11),""),"")</f>
        <v/>
      </c>
      <c r="O43">
        <f>IFERROR(IF(ISNUMBER(INDEX(SPPR!$E:$Z,MATCH($A43,SPPR!$A:$A,0),12)),$C43*INDEX(SPPR!$E:$Z,MATCH($A43,SPPR!$A:$A,0),12),""),"")</f>
        <v/>
      </c>
      <c r="P43">
        <f>IFERROR(IF(ISNUMBER(INDEX(SPPR!$E:$Z,MATCH($A43,SPPR!$A:$A,0),13)),$C43*INDEX(SPPR!$E:$Z,MATCH($A43,SPPR!$A:$A,0),13),""),"")</f>
        <v/>
      </c>
      <c r="Q43">
        <f>IFERROR(IF(ISNUMBER(INDEX(SPPR!$E:$Z,MATCH($A43,SPPR!$A:$A,0),14)),$C43*INDEX(SPPR!$E:$Z,MATCH($A43,SPPR!$A:$A,0),14),""),"")</f>
        <v/>
      </c>
      <c r="R43">
        <f>IFERROR(IF(ISNUMBER(INDEX(SPPR!$E:$Z,MATCH($A43,SPPR!$A:$A,0),15)),$C43*INDEX(SPPR!$E:$Z,MATCH($A43,SPPR!$A:$A,0),15),""),"")</f>
        <v/>
      </c>
      <c r="S43">
        <f>IFERROR(IF(ISNUMBER(INDEX(SPPR!$E:$Z,MATCH($A43,SPPR!$A:$A,0),16)),$C43*INDEX(SPPR!$E:$Z,MATCH($A43,SPPR!$A:$A,0),16),""),"")</f>
        <v/>
      </c>
      <c r="T43">
        <f>IFERROR(IF(ISNUMBER(INDEX(SPPR!$E:$Z,MATCH($A43,SPPR!$A:$A,0),17)),$C43*INDEX(SPPR!$E:$Z,MATCH($A43,SPPR!$A:$A,0),17),""),"")</f>
        <v/>
      </c>
      <c r="U43">
        <f>IFERROR(IF(ISNUMBER(INDEX(SPPR!$E:$Z,MATCH($A43,SPPR!$A:$A,0),18)),$C43*INDEX(SPPR!$E:$Z,MATCH($A43,SPPR!$A:$A,0),18),""),"")</f>
        <v/>
      </c>
      <c r="V43">
        <f>IFERROR(IF(ISNUMBER(INDEX(SPPR!$E:$Z,MATCH($A43,SPPR!$A:$A,0),19)),$C43*INDEX(SPPR!$E:$Z,MATCH($A43,SPPR!$A:$A,0),19),""),"")</f>
        <v/>
      </c>
      <c r="W43">
        <f>IFERROR(IF(ISNUMBER(INDEX(SPPR!$E:$Z,MATCH($A43,SPPR!$A:$A,0),20)),$C43*INDEX(SPPR!$E:$Z,MATCH($A43,SPPR!$A:$A,0),20),""),"")</f>
        <v/>
      </c>
      <c r="X43">
        <f>IFERROR(IF(ISNUMBER(INDEX(SPPR!$E:$Z,MATCH($A43,SPPR!$A:$A,0),21)),$C43*INDEX(SPPR!$E:$Z,MATCH($A43,SPPR!$A:$A,0),21),""),"")</f>
        <v/>
      </c>
      <c r="Y43">
        <f>IFERROR(IF(ISNUMBER(INDEX(SPPR!$E:$Z,MATCH($A43,SPPR!$A:$A,0),22)),$C43*INDEX(SPPR!$E:$Z,MATCH($A43,SPPR!$A:$A,0),22),""),"")</f>
        <v/>
      </c>
    </row>
    <row r="44">
      <c r="A44" t="inlineStr">
        <is>
          <t>Octopodidae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IFERROR(IF(ISNUMBER(INDEX(SPPR!$E:$Z,MATCH($A44,SPPR!$A:$A,0),1)),$C44*INDEX(SPPR!$E:$Z,MATCH($A44,SPPR!$A:$A,0),1),""),"")</f>
        <v/>
      </c>
      <c r="E44">
        <f>IFERROR(IF(ISNUMBER(INDEX(SPPR!$E:$Z,MATCH($A44,SPPR!$A:$A,0),2)),$C44*INDEX(SPPR!$E:$Z,MATCH($A44,SPPR!$A:$A,0),2),""),"")</f>
        <v/>
      </c>
      <c r="F44">
        <f>IFERROR(IF(ISNUMBER(INDEX(SPPR!$E:$Z,MATCH($A44,SPPR!$A:$A,0),3)),$C44*INDEX(SPPR!$E:$Z,MATCH($A44,SPPR!$A:$A,0),3),""),"")</f>
        <v/>
      </c>
      <c r="G44">
        <f>IFERROR(IF(ISNUMBER(INDEX(SPPR!$E:$Z,MATCH($A44,SPPR!$A:$A,0),4)),$C44*INDEX(SPPR!$E:$Z,MATCH($A44,SPPR!$A:$A,0),4),""),"")</f>
        <v/>
      </c>
      <c r="H44">
        <f>IFERROR(IF(ISNUMBER(INDEX(SPPR!$E:$Z,MATCH($A44,SPPR!$A:$A,0),5)),$C44*INDEX(SPPR!$E:$Z,MATCH($A44,SPPR!$A:$A,0),5),""),"")</f>
        <v/>
      </c>
      <c r="I44">
        <f>IFERROR(IF(ISNUMBER(INDEX(SPPR!$E:$Z,MATCH($A44,SPPR!$A:$A,0),6)),$C44*INDEX(SPPR!$E:$Z,MATCH($A44,SPPR!$A:$A,0),6),""),"")</f>
        <v/>
      </c>
      <c r="J44">
        <f>IFERROR(IF(ISNUMBER(INDEX(SPPR!$E:$Z,MATCH($A44,SPPR!$A:$A,0),7)),$C44*INDEX(SPPR!$E:$Z,MATCH($A44,SPPR!$A:$A,0),7),""),"")</f>
        <v/>
      </c>
      <c r="K44">
        <f>IFERROR(IF(ISNUMBER(INDEX(SPPR!$E:$Z,MATCH($A44,SPPR!$A:$A,0),8)),$C44*INDEX(SPPR!$E:$Z,MATCH($A44,SPPR!$A:$A,0),8),""),"")</f>
        <v/>
      </c>
      <c r="L44">
        <f>IFERROR(IF(ISNUMBER(INDEX(SPPR!$E:$Z,MATCH($A44,SPPR!$A:$A,0),9)),$C44*INDEX(SPPR!$E:$Z,MATCH($A44,SPPR!$A:$A,0),9),""),"")</f>
        <v/>
      </c>
      <c r="M44">
        <f>IFERROR(IF(ISNUMBER(INDEX(SPPR!$E:$Z,MATCH($A44,SPPR!$A:$A,0),10)),$C44*INDEX(SPPR!$E:$Z,MATCH($A44,SPPR!$A:$A,0),10),""),"")</f>
        <v/>
      </c>
      <c r="N44">
        <f>IFERROR(IF(ISNUMBER(INDEX(SPPR!$E:$Z,MATCH($A44,SPPR!$A:$A,0),11)),$C44*INDEX(SPPR!$E:$Z,MATCH($A44,SPPR!$A:$A,0),11),""),"")</f>
        <v/>
      </c>
      <c r="O44">
        <f>IFERROR(IF(ISNUMBER(INDEX(SPPR!$E:$Z,MATCH($A44,SPPR!$A:$A,0),12)),$C44*INDEX(SPPR!$E:$Z,MATCH($A44,SPPR!$A:$A,0),12),""),"")</f>
        <v/>
      </c>
      <c r="P44">
        <f>IFERROR(IF(ISNUMBER(INDEX(SPPR!$E:$Z,MATCH($A44,SPPR!$A:$A,0),13)),$C44*INDEX(SPPR!$E:$Z,MATCH($A44,SPPR!$A:$A,0),13),""),"")</f>
        <v/>
      </c>
      <c r="Q44">
        <f>IFERROR(IF(ISNUMBER(INDEX(SPPR!$E:$Z,MATCH($A44,SPPR!$A:$A,0),14)),$C44*INDEX(SPPR!$E:$Z,MATCH($A44,SPPR!$A:$A,0),14),""),"")</f>
        <v/>
      </c>
      <c r="R44">
        <f>IFERROR(IF(ISNUMBER(INDEX(SPPR!$E:$Z,MATCH($A44,SPPR!$A:$A,0),15)),$C44*INDEX(SPPR!$E:$Z,MATCH($A44,SPPR!$A:$A,0),15),""),"")</f>
        <v/>
      </c>
      <c r="S44">
        <f>IFERROR(IF(ISNUMBER(INDEX(SPPR!$E:$Z,MATCH($A44,SPPR!$A:$A,0),16)),$C44*INDEX(SPPR!$E:$Z,MATCH($A44,SPPR!$A:$A,0),16),""),"")</f>
        <v/>
      </c>
      <c r="T44">
        <f>IFERROR(IF(ISNUMBER(INDEX(SPPR!$E:$Z,MATCH($A44,SPPR!$A:$A,0),17)),$C44*INDEX(SPPR!$E:$Z,MATCH($A44,SPPR!$A:$A,0),17),""),"")</f>
        <v/>
      </c>
      <c r="U44">
        <f>IFERROR(IF(ISNUMBER(INDEX(SPPR!$E:$Z,MATCH($A44,SPPR!$A:$A,0),18)),$C44*INDEX(SPPR!$E:$Z,MATCH($A44,SPPR!$A:$A,0),18),""),"")</f>
        <v/>
      </c>
      <c r="V44">
        <f>IFERROR(IF(ISNUMBER(INDEX(SPPR!$E:$Z,MATCH($A44,SPPR!$A:$A,0),19)),$C44*INDEX(SPPR!$E:$Z,MATCH($A44,SPPR!$A:$A,0),19),""),"")</f>
        <v/>
      </c>
      <c r="W44">
        <f>IFERROR(IF(ISNUMBER(INDEX(SPPR!$E:$Z,MATCH($A44,SPPR!$A:$A,0),20)),$C44*INDEX(SPPR!$E:$Z,MATCH($A44,SPPR!$A:$A,0),20),""),"")</f>
        <v/>
      </c>
      <c r="X44">
        <f>IFERROR(IF(ISNUMBER(INDEX(SPPR!$E:$Z,MATCH($A44,SPPR!$A:$A,0),21)),$C44*INDEX(SPPR!$E:$Z,MATCH($A44,SPPR!$A:$A,0),21),""),"")</f>
        <v/>
      </c>
      <c r="Y44">
        <f>IFERROR(IF(ISNUMBER(INDEX(SPPR!$E:$Z,MATCH($A44,SPPR!$A:$A,0),22)),$C44*INDEX(SPPR!$E:$Z,MATCH($A44,SPPR!$A:$A,0),22),""),"")</f>
        <v/>
      </c>
    </row>
    <row r="45">
      <c r="A45" t="inlineStr">
        <is>
          <t>Clupeidae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IFERROR(IF(ISNUMBER(INDEX(SPPR!$E:$Z,MATCH($A45,SPPR!$A:$A,0),1)),$C45*INDEX(SPPR!$E:$Z,MATCH($A45,SPPR!$A:$A,0),1),""),"")</f>
        <v/>
      </c>
      <c r="E45">
        <f>IFERROR(IF(ISNUMBER(INDEX(SPPR!$E:$Z,MATCH($A45,SPPR!$A:$A,0),2)),$C45*INDEX(SPPR!$E:$Z,MATCH($A45,SPPR!$A:$A,0),2),""),"")</f>
        <v/>
      </c>
      <c r="F45">
        <f>IFERROR(IF(ISNUMBER(INDEX(SPPR!$E:$Z,MATCH($A45,SPPR!$A:$A,0),3)),$C45*INDEX(SPPR!$E:$Z,MATCH($A45,SPPR!$A:$A,0),3),""),"")</f>
        <v/>
      </c>
      <c r="G45">
        <f>IFERROR(IF(ISNUMBER(INDEX(SPPR!$E:$Z,MATCH($A45,SPPR!$A:$A,0),4)),$C45*INDEX(SPPR!$E:$Z,MATCH($A45,SPPR!$A:$A,0),4),""),"")</f>
        <v/>
      </c>
      <c r="H45">
        <f>IFERROR(IF(ISNUMBER(INDEX(SPPR!$E:$Z,MATCH($A45,SPPR!$A:$A,0),5)),$C45*INDEX(SPPR!$E:$Z,MATCH($A45,SPPR!$A:$A,0),5),""),"")</f>
        <v/>
      </c>
      <c r="I45">
        <f>IFERROR(IF(ISNUMBER(INDEX(SPPR!$E:$Z,MATCH($A45,SPPR!$A:$A,0),6)),$C45*INDEX(SPPR!$E:$Z,MATCH($A45,SPPR!$A:$A,0),6),""),"")</f>
        <v/>
      </c>
      <c r="J45">
        <f>IFERROR(IF(ISNUMBER(INDEX(SPPR!$E:$Z,MATCH($A45,SPPR!$A:$A,0),7)),$C45*INDEX(SPPR!$E:$Z,MATCH($A45,SPPR!$A:$A,0),7),""),"")</f>
        <v/>
      </c>
      <c r="K45">
        <f>IFERROR(IF(ISNUMBER(INDEX(SPPR!$E:$Z,MATCH($A45,SPPR!$A:$A,0),8)),$C45*INDEX(SPPR!$E:$Z,MATCH($A45,SPPR!$A:$A,0),8),""),"")</f>
        <v/>
      </c>
      <c r="L45">
        <f>IFERROR(IF(ISNUMBER(INDEX(SPPR!$E:$Z,MATCH($A45,SPPR!$A:$A,0),9)),$C45*INDEX(SPPR!$E:$Z,MATCH($A45,SPPR!$A:$A,0),9),""),"")</f>
        <v/>
      </c>
      <c r="M45">
        <f>IFERROR(IF(ISNUMBER(INDEX(SPPR!$E:$Z,MATCH($A45,SPPR!$A:$A,0),10)),$C45*INDEX(SPPR!$E:$Z,MATCH($A45,SPPR!$A:$A,0),10),""),"")</f>
        <v/>
      </c>
      <c r="N45">
        <f>IFERROR(IF(ISNUMBER(INDEX(SPPR!$E:$Z,MATCH($A45,SPPR!$A:$A,0),11)),$C45*INDEX(SPPR!$E:$Z,MATCH($A45,SPPR!$A:$A,0),11),""),"")</f>
        <v/>
      </c>
      <c r="O45">
        <f>IFERROR(IF(ISNUMBER(INDEX(SPPR!$E:$Z,MATCH($A45,SPPR!$A:$A,0),12)),$C45*INDEX(SPPR!$E:$Z,MATCH($A45,SPPR!$A:$A,0),12),""),"")</f>
        <v/>
      </c>
      <c r="P45">
        <f>IFERROR(IF(ISNUMBER(INDEX(SPPR!$E:$Z,MATCH($A45,SPPR!$A:$A,0),13)),$C45*INDEX(SPPR!$E:$Z,MATCH($A45,SPPR!$A:$A,0),13),""),"")</f>
        <v/>
      </c>
      <c r="Q45">
        <f>IFERROR(IF(ISNUMBER(INDEX(SPPR!$E:$Z,MATCH($A45,SPPR!$A:$A,0),14)),$C45*INDEX(SPPR!$E:$Z,MATCH($A45,SPPR!$A:$A,0),14),""),"")</f>
        <v/>
      </c>
      <c r="R45">
        <f>IFERROR(IF(ISNUMBER(INDEX(SPPR!$E:$Z,MATCH($A45,SPPR!$A:$A,0),15)),$C45*INDEX(SPPR!$E:$Z,MATCH($A45,SPPR!$A:$A,0),15),""),"")</f>
        <v/>
      </c>
      <c r="S45">
        <f>IFERROR(IF(ISNUMBER(INDEX(SPPR!$E:$Z,MATCH($A45,SPPR!$A:$A,0),16)),$C45*INDEX(SPPR!$E:$Z,MATCH($A45,SPPR!$A:$A,0),16),""),"")</f>
        <v/>
      </c>
      <c r="T45">
        <f>IFERROR(IF(ISNUMBER(INDEX(SPPR!$E:$Z,MATCH($A45,SPPR!$A:$A,0),17)),$C45*INDEX(SPPR!$E:$Z,MATCH($A45,SPPR!$A:$A,0),17),""),"")</f>
        <v/>
      </c>
      <c r="U45">
        <f>IFERROR(IF(ISNUMBER(INDEX(SPPR!$E:$Z,MATCH($A45,SPPR!$A:$A,0),18)),$C45*INDEX(SPPR!$E:$Z,MATCH($A45,SPPR!$A:$A,0),18),""),"")</f>
        <v/>
      </c>
      <c r="V45">
        <f>IFERROR(IF(ISNUMBER(INDEX(SPPR!$E:$Z,MATCH($A45,SPPR!$A:$A,0),19)),$C45*INDEX(SPPR!$E:$Z,MATCH($A45,SPPR!$A:$A,0),19),""),"")</f>
        <v/>
      </c>
      <c r="W45">
        <f>IFERROR(IF(ISNUMBER(INDEX(SPPR!$E:$Z,MATCH($A45,SPPR!$A:$A,0),20)),$C45*INDEX(SPPR!$E:$Z,MATCH($A45,SPPR!$A:$A,0),20),""),"")</f>
        <v/>
      </c>
      <c r="X45">
        <f>IFERROR(IF(ISNUMBER(INDEX(SPPR!$E:$Z,MATCH($A45,SPPR!$A:$A,0),21)),$C45*INDEX(SPPR!$E:$Z,MATCH($A45,SPPR!$A:$A,0),21),""),"")</f>
        <v/>
      </c>
      <c r="Y45">
        <f>IFERROR(IF(ISNUMBER(INDEX(SPPR!$E:$Z,MATCH($A45,SPPR!$A:$A,0),22)),$C45*INDEX(SPPR!$E:$Z,MATCH($A45,SPPR!$A:$A,0),22),""),"")</f>
        <v/>
      </c>
    </row>
    <row r="46">
      <c r="A46" t="inlineStr">
        <is>
          <t>Sergestidae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IFERROR(IF(ISNUMBER(INDEX(SPPR!$E:$Z,MATCH($A46,SPPR!$A:$A,0),1)),$C46*INDEX(SPPR!$E:$Z,MATCH($A46,SPPR!$A:$A,0),1),""),"")</f>
        <v/>
      </c>
      <c r="E46">
        <f>IFERROR(IF(ISNUMBER(INDEX(SPPR!$E:$Z,MATCH($A46,SPPR!$A:$A,0),2)),$C46*INDEX(SPPR!$E:$Z,MATCH($A46,SPPR!$A:$A,0),2),""),"")</f>
        <v/>
      </c>
      <c r="F46">
        <f>IFERROR(IF(ISNUMBER(INDEX(SPPR!$E:$Z,MATCH($A46,SPPR!$A:$A,0),3)),$C46*INDEX(SPPR!$E:$Z,MATCH($A46,SPPR!$A:$A,0),3),""),"")</f>
        <v/>
      </c>
      <c r="G46">
        <f>IFERROR(IF(ISNUMBER(INDEX(SPPR!$E:$Z,MATCH($A46,SPPR!$A:$A,0),4)),$C46*INDEX(SPPR!$E:$Z,MATCH($A46,SPPR!$A:$A,0),4),""),"")</f>
        <v/>
      </c>
      <c r="H46">
        <f>IFERROR(IF(ISNUMBER(INDEX(SPPR!$E:$Z,MATCH($A46,SPPR!$A:$A,0),5)),$C46*INDEX(SPPR!$E:$Z,MATCH($A46,SPPR!$A:$A,0),5),""),"")</f>
        <v/>
      </c>
      <c r="I46">
        <f>IFERROR(IF(ISNUMBER(INDEX(SPPR!$E:$Z,MATCH($A46,SPPR!$A:$A,0),6)),$C46*INDEX(SPPR!$E:$Z,MATCH($A46,SPPR!$A:$A,0),6),""),"")</f>
        <v/>
      </c>
      <c r="J46">
        <f>IFERROR(IF(ISNUMBER(INDEX(SPPR!$E:$Z,MATCH($A46,SPPR!$A:$A,0),7)),$C46*INDEX(SPPR!$E:$Z,MATCH($A46,SPPR!$A:$A,0),7),""),"")</f>
        <v/>
      </c>
      <c r="K46">
        <f>IFERROR(IF(ISNUMBER(INDEX(SPPR!$E:$Z,MATCH($A46,SPPR!$A:$A,0),8)),$C46*INDEX(SPPR!$E:$Z,MATCH($A46,SPPR!$A:$A,0),8),""),"")</f>
        <v/>
      </c>
      <c r="L46">
        <f>IFERROR(IF(ISNUMBER(INDEX(SPPR!$E:$Z,MATCH($A46,SPPR!$A:$A,0),9)),$C46*INDEX(SPPR!$E:$Z,MATCH($A46,SPPR!$A:$A,0),9),""),"")</f>
        <v/>
      </c>
      <c r="M46">
        <f>IFERROR(IF(ISNUMBER(INDEX(SPPR!$E:$Z,MATCH($A46,SPPR!$A:$A,0),10)),$C46*INDEX(SPPR!$E:$Z,MATCH($A46,SPPR!$A:$A,0),10),""),"")</f>
        <v/>
      </c>
      <c r="N46">
        <f>IFERROR(IF(ISNUMBER(INDEX(SPPR!$E:$Z,MATCH($A46,SPPR!$A:$A,0),11)),$C46*INDEX(SPPR!$E:$Z,MATCH($A46,SPPR!$A:$A,0),11),""),"")</f>
        <v/>
      </c>
      <c r="O46">
        <f>IFERROR(IF(ISNUMBER(INDEX(SPPR!$E:$Z,MATCH($A46,SPPR!$A:$A,0),12)),$C46*INDEX(SPPR!$E:$Z,MATCH($A46,SPPR!$A:$A,0),12),""),"")</f>
        <v/>
      </c>
      <c r="P46">
        <f>IFERROR(IF(ISNUMBER(INDEX(SPPR!$E:$Z,MATCH($A46,SPPR!$A:$A,0),13)),$C46*INDEX(SPPR!$E:$Z,MATCH($A46,SPPR!$A:$A,0),13),""),"")</f>
        <v/>
      </c>
      <c r="Q46">
        <f>IFERROR(IF(ISNUMBER(INDEX(SPPR!$E:$Z,MATCH($A46,SPPR!$A:$A,0),14)),$C46*INDEX(SPPR!$E:$Z,MATCH($A46,SPPR!$A:$A,0),14),""),"")</f>
        <v/>
      </c>
      <c r="R46">
        <f>IFERROR(IF(ISNUMBER(INDEX(SPPR!$E:$Z,MATCH($A46,SPPR!$A:$A,0),15)),$C46*INDEX(SPPR!$E:$Z,MATCH($A46,SPPR!$A:$A,0),15),""),"")</f>
        <v/>
      </c>
      <c r="S46">
        <f>IFERROR(IF(ISNUMBER(INDEX(SPPR!$E:$Z,MATCH($A46,SPPR!$A:$A,0),16)),$C46*INDEX(SPPR!$E:$Z,MATCH($A46,SPPR!$A:$A,0),16),""),"")</f>
        <v/>
      </c>
      <c r="T46">
        <f>IFERROR(IF(ISNUMBER(INDEX(SPPR!$E:$Z,MATCH($A46,SPPR!$A:$A,0),17)),$C46*INDEX(SPPR!$E:$Z,MATCH($A46,SPPR!$A:$A,0),17),""),"")</f>
        <v/>
      </c>
      <c r="U46">
        <f>IFERROR(IF(ISNUMBER(INDEX(SPPR!$E:$Z,MATCH($A46,SPPR!$A:$A,0),18)),$C46*INDEX(SPPR!$E:$Z,MATCH($A46,SPPR!$A:$A,0),18),""),"")</f>
        <v/>
      </c>
      <c r="V46">
        <f>IFERROR(IF(ISNUMBER(INDEX(SPPR!$E:$Z,MATCH($A46,SPPR!$A:$A,0),19)),$C46*INDEX(SPPR!$E:$Z,MATCH($A46,SPPR!$A:$A,0),19),""),"")</f>
        <v/>
      </c>
      <c r="W46">
        <f>IFERROR(IF(ISNUMBER(INDEX(SPPR!$E:$Z,MATCH($A46,SPPR!$A:$A,0),20)),$C46*INDEX(SPPR!$E:$Z,MATCH($A46,SPPR!$A:$A,0),20),""),"")</f>
        <v/>
      </c>
      <c r="X46">
        <f>IFERROR(IF(ISNUMBER(INDEX(SPPR!$E:$Z,MATCH($A46,SPPR!$A:$A,0),21)),$C46*INDEX(SPPR!$E:$Z,MATCH($A46,SPPR!$A:$A,0),21),""),"")</f>
        <v/>
      </c>
      <c r="Y46">
        <f>IFERROR(IF(ISNUMBER(INDEX(SPPR!$E:$Z,MATCH($A46,SPPR!$A:$A,0),22)),$C46*INDEX(SPPR!$E:$Z,MATCH($A46,SPPR!$A:$A,0),22),""),"")</f>
        <v/>
      </c>
    </row>
    <row r="47">
      <c r="A47" t="inlineStr">
        <is>
          <t>Alepes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IFERROR(IF(ISNUMBER(INDEX(SPPR!$E:$Z,MATCH($A47,SPPR!$A:$A,0),1)),$C47*INDEX(SPPR!$E:$Z,MATCH($A47,SPPR!$A:$A,0),1),""),"")</f>
        <v/>
      </c>
      <c r="E47">
        <f>IFERROR(IF(ISNUMBER(INDEX(SPPR!$E:$Z,MATCH($A47,SPPR!$A:$A,0),2)),$C47*INDEX(SPPR!$E:$Z,MATCH($A47,SPPR!$A:$A,0),2),""),"")</f>
        <v/>
      </c>
      <c r="F47">
        <f>IFERROR(IF(ISNUMBER(INDEX(SPPR!$E:$Z,MATCH($A47,SPPR!$A:$A,0),3)),$C47*INDEX(SPPR!$E:$Z,MATCH($A47,SPPR!$A:$A,0),3),""),"")</f>
        <v/>
      </c>
      <c r="G47">
        <f>IFERROR(IF(ISNUMBER(INDEX(SPPR!$E:$Z,MATCH($A47,SPPR!$A:$A,0),4)),$C47*INDEX(SPPR!$E:$Z,MATCH($A47,SPPR!$A:$A,0),4),""),"")</f>
        <v/>
      </c>
      <c r="H47">
        <f>IFERROR(IF(ISNUMBER(INDEX(SPPR!$E:$Z,MATCH($A47,SPPR!$A:$A,0),5)),$C47*INDEX(SPPR!$E:$Z,MATCH($A47,SPPR!$A:$A,0),5),""),"")</f>
        <v/>
      </c>
      <c r="I47">
        <f>IFERROR(IF(ISNUMBER(INDEX(SPPR!$E:$Z,MATCH($A47,SPPR!$A:$A,0),6)),$C47*INDEX(SPPR!$E:$Z,MATCH($A47,SPPR!$A:$A,0),6),""),"")</f>
        <v/>
      </c>
      <c r="J47">
        <f>IFERROR(IF(ISNUMBER(INDEX(SPPR!$E:$Z,MATCH($A47,SPPR!$A:$A,0),7)),$C47*INDEX(SPPR!$E:$Z,MATCH($A47,SPPR!$A:$A,0),7),""),"")</f>
        <v/>
      </c>
      <c r="K47">
        <f>IFERROR(IF(ISNUMBER(INDEX(SPPR!$E:$Z,MATCH($A47,SPPR!$A:$A,0),8)),$C47*INDEX(SPPR!$E:$Z,MATCH($A47,SPPR!$A:$A,0),8),""),"")</f>
        <v/>
      </c>
      <c r="L47">
        <f>IFERROR(IF(ISNUMBER(INDEX(SPPR!$E:$Z,MATCH($A47,SPPR!$A:$A,0),9)),$C47*INDEX(SPPR!$E:$Z,MATCH($A47,SPPR!$A:$A,0),9),""),"")</f>
        <v/>
      </c>
      <c r="M47">
        <f>IFERROR(IF(ISNUMBER(INDEX(SPPR!$E:$Z,MATCH($A47,SPPR!$A:$A,0),10)),$C47*INDEX(SPPR!$E:$Z,MATCH($A47,SPPR!$A:$A,0),10),""),"")</f>
        <v/>
      </c>
      <c r="N47">
        <f>IFERROR(IF(ISNUMBER(INDEX(SPPR!$E:$Z,MATCH($A47,SPPR!$A:$A,0),11)),$C47*INDEX(SPPR!$E:$Z,MATCH($A47,SPPR!$A:$A,0),11),""),"")</f>
        <v/>
      </c>
      <c r="O47">
        <f>IFERROR(IF(ISNUMBER(INDEX(SPPR!$E:$Z,MATCH($A47,SPPR!$A:$A,0),12)),$C47*INDEX(SPPR!$E:$Z,MATCH($A47,SPPR!$A:$A,0),12),""),"")</f>
        <v/>
      </c>
      <c r="P47">
        <f>IFERROR(IF(ISNUMBER(INDEX(SPPR!$E:$Z,MATCH($A47,SPPR!$A:$A,0),13)),$C47*INDEX(SPPR!$E:$Z,MATCH($A47,SPPR!$A:$A,0),13),""),"")</f>
        <v/>
      </c>
      <c r="Q47">
        <f>IFERROR(IF(ISNUMBER(INDEX(SPPR!$E:$Z,MATCH($A47,SPPR!$A:$A,0),14)),$C47*INDEX(SPPR!$E:$Z,MATCH($A47,SPPR!$A:$A,0),14),""),"")</f>
        <v/>
      </c>
      <c r="R47">
        <f>IFERROR(IF(ISNUMBER(INDEX(SPPR!$E:$Z,MATCH($A47,SPPR!$A:$A,0),15)),$C47*INDEX(SPPR!$E:$Z,MATCH($A47,SPPR!$A:$A,0),15),""),"")</f>
        <v/>
      </c>
      <c r="S47">
        <f>IFERROR(IF(ISNUMBER(INDEX(SPPR!$E:$Z,MATCH($A47,SPPR!$A:$A,0),16)),$C47*INDEX(SPPR!$E:$Z,MATCH($A47,SPPR!$A:$A,0),16),""),"")</f>
        <v/>
      </c>
      <c r="T47">
        <f>IFERROR(IF(ISNUMBER(INDEX(SPPR!$E:$Z,MATCH($A47,SPPR!$A:$A,0),17)),$C47*INDEX(SPPR!$E:$Z,MATCH($A47,SPPR!$A:$A,0),17),""),"")</f>
        <v/>
      </c>
      <c r="U47">
        <f>IFERROR(IF(ISNUMBER(INDEX(SPPR!$E:$Z,MATCH($A47,SPPR!$A:$A,0),18)),$C47*INDEX(SPPR!$E:$Z,MATCH($A47,SPPR!$A:$A,0),18),""),"")</f>
        <v/>
      </c>
      <c r="V47">
        <f>IFERROR(IF(ISNUMBER(INDEX(SPPR!$E:$Z,MATCH($A47,SPPR!$A:$A,0),19)),$C47*INDEX(SPPR!$E:$Z,MATCH($A47,SPPR!$A:$A,0),19),""),"")</f>
        <v/>
      </c>
      <c r="W47">
        <f>IFERROR(IF(ISNUMBER(INDEX(SPPR!$E:$Z,MATCH($A47,SPPR!$A:$A,0),20)),$C47*INDEX(SPPR!$E:$Z,MATCH($A47,SPPR!$A:$A,0),20),""),"")</f>
        <v/>
      </c>
      <c r="X47">
        <f>IFERROR(IF(ISNUMBER(INDEX(SPPR!$E:$Z,MATCH($A47,SPPR!$A:$A,0),21)),$C47*INDEX(SPPR!$E:$Z,MATCH($A47,SPPR!$A:$A,0),21),""),"")</f>
        <v/>
      </c>
      <c r="Y47">
        <f>IFERROR(IF(ISNUMBER(INDEX(SPPR!$E:$Z,MATCH($A47,SPPR!$A:$A,0),22)),$C47*INDEX(SPPR!$E:$Z,MATCH($A47,SPPR!$A:$A,0),22),""),"")</f>
        <v/>
      </c>
    </row>
    <row r="48">
      <c r="A48" t="inlineStr">
        <is>
          <t>Selar crumenophthalmus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IFERROR(IF(ISNUMBER(INDEX(SPPR!$E:$Z,MATCH($A48,SPPR!$A:$A,0),1)),$C48*INDEX(SPPR!$E:$Z,MATCH($A48,SPPR!$A:$A,0),1),""),"")</f>
        <v/>
      </c>
      <c r="E48">
        <f>IFERROR(IF(ISNUMBER(INDEX(SPPR!$E:$Z,MATCH($A48,SPPR!$A:$A,0),2)),$C48*INDEX(SPPR!$E:$Z,MATCH($A48,SPPR!$A:$A,0),2),""),"")</f>
        <v/>
      </c>
      <c r="F48">
        <f>IFERROR(IF(ISNUMBER(INDEX(SPPR!$E:$Z,MATCH($A48,SPPR!$A:$A,0),3)),$C48*INDEX(SPPR!$E:$Z,MATCH($A48,SPPR!$A:$A,0),3),""),"")</f>
        <v/>
      </c>
      <c r="G48">
        <f>IFERROR(IF(ISNUMBER(INDEX(SPPR!$E:$Z,MATCH($A48,SPPR!$A:$A,0),4)),$C48*INDEX(SPPR!$E:$Z,MATCH($A48,SPPR!$A:$A,0),4),""),"")</f>
        <v/>
      </c>
      <c r="H48">
        <f>IFERROR(IF(ISNUMBER(INDEX(SPPR!$E:$Z,MATCH($A48,SPPR!$A:$A,0),5)),$C48*INDEX(SPPR!$E:$Z,MATCH($A48,SPPR!$A:$A,0),5),""),"")</f>
        <v/>
      </c>
      <c r="I48">
        <f>IFERROR(IF(ISNUMBER(INDEX(SPPR!$E:$Z,MATCH($A48,SPPR!$A:$A,0),6)),$C48*INDEX(SPPR!$E:$Z,MATCH($A48,SPPR!$A:$A,0),6),""),"")</f>
        <v/>
      </c>
      <c r="J48">
        <f>IFERROR(IF(ISNUMBER(INDEX(SPPR!$E:$Z,MATCH($A48,SPPR!$A:$A,0),7)),$C48*INDEX(SPPR!$E:$Z,MATCH($A48,SPPR!$A:$A,0),7),""),"")</f>
        <v/>
      </c>
      <c r="K48">
        <f>IFERROR(IF(ISNUMBER(INDEX(SPPR!$E:$Z,MATCH($A48,SPPR!$A:$A,0),8)),$C48*INDEX(SPPR!$E:$Z,MATCH($A48,SPPR!$A:$A,0),8),""),"")</f>
        <v/>
      </c>
      <c r="L48">
        <f>IFERROR(IF(ISNUMBER(INDEX(SPPR!$E:$Z,MATCH($A48,SPPR!$A:$A,0),9)),$C48*INDEX(SPPR!$E:$Z,MATCH($A48,SPPR!$A:$A,0),9),""),"")</f>
        <v/>
      </c>
      <c r="M48">
        <f>IFERROR(IF(ISNUMBER(INDEX(SPPR!$E:$Z,MATCH($A48,SPPR!$A:$A,0),10)),$C48*INDEX(SPPR!$E:$Z,MATCH($A48,SPPR!$A:$A,0),10),""),"")</f>
        <v/>
      </c>
      <c r="N48">
        <f>IFERROR(IF(ISNUMBER(INDEX(SPPR!$E:$Z,MATCH($A48,SPPR!$A:$A,0),11)),$C48*INDEX(SPPR!$E:$Z,MATCH($A48,SPPR!$A:$A,0),11),""),"")</f>
        <v/>
      </c>
      <c r="O48">
        <f>IFERROR(IF(ISNUMBER(INDEX(SPPR!$E:$Z,MATCH($A48,SPPR!$A:$A,0),12)),$C48*INDEX(SPPR!$E:$Z,MATCH($A48,SPPR!$A:$A,0),12),""),"")</f>
        <v/>
      </c>
      <c r="P48">
        <f>IFERROR(IF(ISNUMBER(INDEX(SPPR!$E:$Z,MATCH($A48,SPPR!$A:$A,0),13)),$C48*INDEX(SPPR!$E:$Z,MATCH($A48,SPPR!$A:$A,0),13),""),"")</f>
        <v/>
      </c>
      <c r="Q48">
        <f>IFERROR(IF(ISNUMBER(INDEX(SPPR!$E:$Z,MATCH($A48,SPPR!$A:$A,0),14)),$C48*INDEX(SPPR!$E:$Z,MATCH($A48,SPPR!$A:$A,0),14),""),"")</f>
        <v/>
      </c>
      <c r="R48">
        <f>IFERROR(IF(ISNUMBER(INDEX(SPPR!$E:$Z,MATCH($A48,SPPR!$A:$A,0),15)),$C48*INDEX(SPPR!$E:$Z,MATCH($A48,SPPR!$A:$A,0),15),""),"")</f>
        <v/>
      </c>
      <c r="S48">
        <f>IFERROR(IF(ISNUMBER(INDEX(SPPR!$E:$Z,MATCH($A48,SPPR!$A:$A,0),16)),$C48*INDEX(SPPR!$E:$Z,MATCH($A48,SPPR!$A:$A,0),16),""),"")</f>
        <v/>
      </c>
      <c r="T48">
        <f>IFERROR(IF(ISNUMBER(INDEX(SPPR!$E:$Z,MATCH($A48,SPPR!$A:$A,0),17)),$C48*INDEX(SPPR!$E:$Z,MATCH($A48,SPPR!$A:$A,0),17),""),"")</f>
        <v/>
      </c>
      <c r="U48">
        <f>IFERROR(IF(ISNUMBER(INDEX(SPPR!$E:$Z,MATCH($A48,SPPR!$A:$A,0),18)),$C48*INDEX(SPPR!$E:$Z,MATCH($A48,SPPR!$A:$A,0),18),""),"")</f>
        <v/>
      </c>
      <c r="V48">
        <f>IFERROR(IF(ISNUMBER(INDEX(SPPR!$E:$Z,MATCH($A48,SPPR!$A:$A,0),19)),$C48*INDEX(SPPR!$E:$Z,MATCH($A48,SPPR!$A:$A,0),19),""),"")</f>
        <v/>
      </c>
      <c r="W48">
        <f>IFERROR(IF(ISNUMBER(INDEX(SPPR!$E:$Z,MATCH($A48,SPPR!$A:$A,0),20)),$C48*INDEX(SPPR!$E:$Z,MATCH($A48,SPPR!$A:$A,0),20),""),"")</f>
        <v/>
      </c>
      <c r="X48">
        <f>IFERROR(IF(ISNUMBER(INDEX(SPPR!$E:$Z,MATCH($A48,SPPR!$A:$A,0),21)),$C48*INDEX(SPPR!$E:$Z,MATCH($A48,SPPR!$A:$A,0),21),""),"")</f>
        <v/>
      </c>
      <c r="Y48">
        <f>IFERROR(IF(ISNUMBER(INDEX(SPPR!$E:$Z,MATCH($A48,SPPR!$A:$A,0),22)),$C48*INDEX(SPPR!$E:$Z,MATCH($A48,SPPR!$A:$A,0),22),""),"")</f>
        <v/>
      </c>
    </row>
    <row r="49">
      <c r="A49" t="inlineStr">
        <is>
          <t>Penaeus merguiensis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IFERROR(IF(ISNUMBER(INDEX(SPPR!$E:$Z,MATCH($A49,SPPR!$A:$A,0),1)),$C49*INDEX(SPPR!$E:$Z,MATCH($A49,SPPR!$A:$A,0),1),""),"")</f>
        <v/>
      </c>
      <c r="E49">
        <f>IFERROR(IF(ISNUMBER(INDEX(SPPR!$E:$Z,MATCH($A49,SPPR!$A:$A,0),2)),$C49*INDEX(SPPR!$E:$Z,MATCH($A49,SPPR!$A:$A,0),2),""),"")</f>
        <v/>
      </c>
      <c r="F49">
        <f>IFERROR(IF(ISNUMBER(INDEX(SPPR!$E:$Z,MATCH($A49,SPPR!$A:$A,0),3)),$C49*INDEX(SPPR!$E:$Z,MATCH($A49,SPPR!$A:$A,0),3),""),"")</f>
        <v/>
      </c>
      <c r="G49">
        <f>IFERROR(IF(ISNUMBER(INDEX(SPPR!$E:$Z,MATCH($A49,SPPR!$A:$A,0),4)),$C49*INDEX(SPPR!$E:$Z,MATCH($A49,SPPR!$A:$A,0),4),""),"")</f>
        <v/>
      </c>
      <c r="H49">
        <f>IFERROR(IF(ISNUMBER(INDEX(SPPR!$E:$Z,MATCH($A49,SPPR!$A:$A,0),5)),$C49*INDEX(SPPR!$E:$Z,MATCH($A49,SPPR!$A:$A,0),5),""),"")</f>
        <v/>
      </c>
      <c r="I49">
        <f>IFERROR(IF(ISNUMBER(INDEX(SPPR!$E:$Z,MATCH($A49,SPPR!$A:$A,0),6)),$C49*INDEX(SPPR!$E:$Z,MATCH($A49,SPPR!$A:$A,0),6),""),"")</f>
        <v/>
      </c>
      <c r="J49">
        <f>IFERROR(IF(ISNUMBER(INDEX(SPPR!$E:$Z,MATCH($A49,SPPR!$A:$A,0),7)),$C49*INDEX(SPPR!$E:$Z,MATCH($A49,SPPR!$A:$A,0),7),""),"")</f>
        <v/>
      </c>
      <c r="K49">
        <f>IFERROR(IF(ISNUMBER(INDEX(SPPR!$E:$Z,MATCH($A49,SPPR!$A:$A,0),8)),$C49*INDEX(SPPR!$E:$Z,MATCH($A49,SPPR!$A:$A,0),8),""),"")</f>
        <v/>
      </c>
      <c r="L49">
        <f>IFERROR(IF(ISNUMBER(INDEX(SPPR!$E:$Z,MATCH($A49,SPPR!$A:$A,0),9)),$C49*INDEX(SPPR!$E:$Z,MATCH($A49,SPPR!$A:$A,0),9),""),"")</f>
        <v/>
      </c>
      <c r="M49">
        <f>IFERROR(IF(ISNUMBER(INDEX(SPPR!$E:$Z,MATCH($A49,SPPR!$A:$A,0),10)),$C49*INDEX(SPPR!$E:$Z,MATCH($A49,SPPR!$A:$A,0),10),""),"")</f>
        <v/>
      </c>
      <c r="N49">
        <f>IFERROR(IF(ISNUMBER(INDEX(SPPR!$E:$Z,MATCH($A49,SPPR!$A:$A,0),11)),$C49*INDEX(SPPR!$E:$Z,MATCH($A49,SPPR!$A:$A,0),11),""),"")</f>
        <v/>
      </c>
      <c r="O49">
        <f>IFERROR(IF(ISNUMBER(INDEX(SPPR!$E:$Z,MATCH($A49,SPPR!$A:$A,0),12)),$C49*INDEX(SPPR!$E:$Z,MATCH($A49,SPPR!$A:$A,0),12),""),"")</f>
        <v/>
      </c>
      <c r="P49">
        <f>IFERROR(IF(ISNUMBER(INDEX(SPPR!$E:$Z,MATCH($A49,SPPR!$A:$A,0),13)),$C49*INDEX(SPPR!$E:$Z,MATCH($A49,SPPR!$A:$A,0),13),""),"")</f>
        <v/>
      </c>
      <c r="Q49">
        <f>IFERROR(IF(ISNUMBER(INDEX(SPPR!$E:$Z,MATCH($A49,SPPR!$A:$A,0),14)),$C49*INDEX(SPPR!$E:$Z,MATCH($A49,SPPR!$A:$A,0),14),""),"")</f>
        <v/>
      </c>
      <c r="R49">
        <f>IFERROR(IF(ISNUMBER(INDEX(SPPR!$E:$Z,MATCH($A49,SPPR!$A:$A,0),15)),$C49*INDEX(SPPR!$E:$Z,MATCH($A49,SPPR!$A:$A,0),15),""),"")</f>
        <v/>
      </c>
      <c r="S49">
        <f>IFERROR(IF(ISNUMBER(INDEX(SPPR!$E:$Z,MATCH($A49,SPPR!$A:$A,0),16)),$C49*INDEX(SPPR!$E:$Z,MATCH($A49,SPPR!$A:$A,0),16),""),"")</f>
        <v/>
      </c>
      <c r="T49">
        <f>IFERROR(IF(ISNUMBER(INDEX(SPPR!$E:$Z,MATCH($A49,SPPR!$A:$A,0),17)),$C49*INDEX(SPPR!$E:$Z,MATCH($A49,SPPR!$A:$A,0),17),""),"")</f>
        <v/>
      </c>
      <c r="U49">
        <f>IFERROR(IF(ISNUMBER(INDEX(SPPR!$E:$Z,MATCH($A49,SPPR!$A:$A,0),18)),$C49*INDEX(SPPR!$E:$Z,MATCH($A49,SPPR!$A:$A,0),18),""),"")</f>
        <v/>
      </c>
      <c r="V49">
        <f>IFERROR(IF(ISNUMBER(INDEX(SPPR!$E:$Z,MATCH($A49,SPPR!$A:$A,0),19)),$C49*INDEX(SPPR!$E:$Z,MATCH($A49,SPPR!$A:$A,0),19),""),"")</f>
        <v/>
      </c>
      <c r="W49">
        <f>IFERROR(IF(ISNUMBER(INDEX(SPPR!$E:$Z,MATCH($A49,SPPR!$A:$A,0),20)),$C49*INDEX(SPPR!$E:$Z,MATCH($A49,SPPR!$A:$A,0),20),""),"")</f>
        <v/>
      </c>
      <c r="X49">
        <f>IFERROR(IF(ISNUMBER(INDEX(SPPR!$E:$Z,MATCH($A49,SPPR!$A:$A,0),21)),$C49*INDEX(SPPR!$E:$Z,MATCH($A49,SPPR!$A:$A,0),21),""),"")</f>
        <v/>
      </c>
      <c r="Y49">
        <f>IFERROR(IF(ISNUMBER(INDEX(SPPR!$E:$Z,MATCH($A49,SPPR!$A:$A,0),22)),$C49*INDEX(SPPR!$E:$Z,MATCH($A49,SPPR!$A:$A,0),22),""),"")</f>
        <v/>
      </c>
    </row>
    <row r="50">
      <c r="A50" t="inlineStr">
        <is>
          <t>Metapenaeus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IFERROR(IF(ISNUMBER(INDEX(SPPR!$E:$Z,MATCH($A50,SPPR!$A:$A,0),1)),$C50*INDEX(SPPR!$E:$Z,MATCH($A50,SPPR!$A:$A,0),1),""),"")</f>
        <v/>
      </c>
      <c r="E50">
        <f>IFERROR(IF(ISNUMBER(INDEX(SPPR!$E:$Z,MATCH($A50,SPPR!$A:$A,0),2)),$C50*INDEX(SPPR!$E:$Z,MATCH($A50,SPPR!$A:$A,0),2),""),"")</f>
        <v/>
      </c>
      <c r="F50">
        <f>IFERROR(IF(ISNUMBER(INDEX(SPPR!$E:$Z,MATCH($A50,SPPR!$A:$A,0),3)),$C50*INDEX(SPPR!$E:$Z,MATCH($A50,SPPR!$A:$A,0),3),""),"")</f>
        <v/>
      </c>
      <c r="G50">
        <f>IFERROR(IF(ISNUMBER(INDEX(SPPR!$E:$Z,MATCH($A50,SPPR!$A:$A,0),4)),$C50*INDEX(SPPR!$E:$Z,MATCH($A50,SPPR!$A:$A,0),4),""),"")</f>
        <v/>
      </c>
      <c r="H50">
        <f>IFERROR(IF(ISNUMBER(INDEX(SPPR!$E:$Z,MATCH($A50,SPPR!$A:$A,0),5)),$C50*INDEX(SPPR!$E:$Z,MATCH($A50,SPPR!$A:$A,0),5),""),"")</f>
        <v/>
      </c>
      <c r="I50">
        <f>IFERROR(IF(ISNUMBER(INDEX(SPPR!$E:$Z,MATCH($A50,SPPR!$A:$A,0),6)),$C50*INDEX(SPPR!$E:$Z,MATCH($A50,SPPR!$A:$A,0),6),""),"")</f>
        <v/>
      </c>
      <c r="J50">
        <f>IFERROR(IF(ISNUMBER(INDEX(SPPR!$E:$Z,MATCH($A50,SPPR!$A:$A,0),7)),$C50*INDEX(SPPR!$E:$Z,MATCH($A50,SPPR!$A:$A,0),7),""),"")</f>
        <v/>
      </c>
      <c r="K50">
        <f>IFERROR(IF(ISNUMBER(INDEX(SPPR!$E:$Z,MATCH($A50,SPPR!$A:$A,0),8)),$C50*INDEX(SPPR!$E:$Z,MATCH($A50,SPPR!$A:$A,0),8),""),"")</f>
        <v/>
      </c>
      <c r="L50">
        <f>IFERROR(IF(ISNUMBER(INDEX(SPPR!$E:$Z,MATCH($A50,SPPR!$A:$A,0),9)),$C50*INDEX(SPPR!$E:$Z,MATCH($A50,SPPR!$A:$A,0),9),""),"")</f>
        <v/>
      </c>
      <c r="M50">
        <f>IFERROR(IF(ISNUMBER(INDEX(SPPR!$E:$Z,MATCH($A50,SPPR!$A:$A,0),10)),$C50*INDEX(SPPR!$E:$Z,MATCH($A50,SPPR!$A:$A,0),10),""),"")</f>
        <v/>
      </c>
      <c r="N50">
        <f>IFERROR(IF(ISNUMBER(INDEX(SPPR!$E:$Z,MATCH($A50,SPPR!$A:$A,0),11)),$C50*INDEX(SPPR!$E:$Z,MATCH($A50,SPPR!$A:$A,0),11),""),"")</f>
        <v/>
      </c>
      <c r="O50">
        <f>IFERROR(IF(ISNUMBER(INDEX(SPPR!$E:$Z,MATCH($A50,SPPR!$A:$A,0),12)),$C50*INDEX(SPPR!$E:$Z,MATCH($A50,SPPR!$A:$A,0),12),""),"")</f>
        <v/>
      </c>
      <c r="P50">
        <f>IFERROR(IF(ISNUMBER(INDEX(SPPR!$E:$Z,MATCH($A50,SPPR!$A:$A,0),13)),$C50*INDEX(SPPR!$E:$Z,MATCH($A50,SPPR!$A:$A,0),13),""),"")</f>
        <v/>
      </c>
      <c r="Q50">
        <f>IFERROR(IF(ISNUMBER(INDEX(SPPR!$E:$Z,MATCH($A50,SPPR!$A:$A,0),14)),$C50*INDEX(SPPR!$E:$Z,MATCH($A50,SPPR!$A:$A,0),14),""),"")</f>
        <v/>
      </c>
      <c r="R50">
        <f>IFERROR(IF(ISNUMBER(INDEX(SPPR!$E:$Z,MATCH($A50,SPPR!$A:$A,0),15)),$C50*INDEX(SPPR!$E:$Z,MATCH($A50,SPPR!$A:$A,0),15),""),"")</f>
        <v/>
      </c>
      <c r="S50">
        <f>IFERROR(IF(ISNUMBER(INDEX(SPPR!$E:$Z,MATCH($A50,SPPR!$A:$A,0),16)),$C50*INDEX(SPPR!$E:$Z,MATCH($A50,SPPR!$A:$A,0),16),""),"")</f>
        <v/>
      </c>
      <c r="T50">
        <f>IFERROR(IF(ISNUMBER(INDEX(SPPR!$E:$Z,MATCH($A50,SPPR!$A:$A,0),17)),$C50*INDEX(SPPR!$E:$Z,MATCH($A50,SPPR!$A:$A,0),17),""),"")</f>
        <v/>
      </c>
      <c r="U50">
        <f>IFERROR(IF(ISNUMBER(INDEX(SPPR!$E:$Z,MATCH($A50,SPPR!$A:$A,0),18)),$C50*INDEX(SPPR!$E:$Z,MATCH($A50,SPPR!$A:$A,0),18),""),"")</f>
        <v/>
      </c>
      <c r="V50">
        <f>IFERROR(IF(ISNUMBER(INDEX(SPPR!$E:$Z,MATCH($A50,SPPR!$A:$A,0),19)),$C50*INDEX(SPPR!$E:$Z,MATCH($A50,SPPR!$A:$A,0),19),""),"")</f>
        <v/>
      </c>
      <c r="W50">
        <f>IFERROR(IF(ISNUMBER(INDEX(SPPR!$E:$Z,MATCH($A50,SPPR!$A:$A,0),20)),$C50*INDEX(SPPR!$E:$Z,MATCH($A50,SPPR!$A:$A,0),20),""),"")</f>
        <v/>
      </c>
      <c r="X50">
        <f>IFERROR(IF(ISNUMBER(INDEX(SPPR!$E:$Z,MATCH($A50,SPPR!$A:$A,0),21)),$C50*INDEX(SPPR!$E:$Z,MATCH($A50,SPPR!$A:$A,0),21),""),"")</f>
        <v/>
      </c>
      <c r="Y50">
        <f>IFERROR(IF(ISNUMBER(INDEX(SPPR!$E:$Z,MATCH($A50,SPPR!$A:$A,0),22)),$C50*INDEX(SPPR!$E:$Z,MATCH($A50,SPPR!$A:$A,0),22),""),"")</f>
        <v/>
      </c>
    </row>
    <row r="51">
      <c r="A51" t="inlineStr">
        <is>
          <t>Apogonidae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IFERROR(IF(ISNUMBER(INDEX(SPPR!$E:$Z,MATCH($A51,SPPR!$A:$A,0),1)),$C51*INDEX(SPPR!$E:$Z,MATCH($A51,SPPR!$A:$A,0),1),""),"")</f>
        <v/>
      </c>
      <c r="E51">
        <f>IFERROR(IF(ISNUMBER(INDEX(SPPR!$E:$Z,MATCH($A51,SPPR!$A:$A,0),2)),$C51*INDEX(SPPR!$E:$Z,MATCH($A51,SPPR!$A:$A,0),2),""),"")</f>
        <v/>
      </c>
      <c r="F51">
        <f>IFERROR(IF(ISNUMBER(INDEX(SPPR!$E:$Z,MATCH($A51,SPPR!$A:$A,0),3)),$C51*INDEX(SPPR!$E:$Z,MATCH($A51,SPPR!$A:$A,0),3),""),"")</f>
        <v/>
      </c>
      <c r="G51">
        <f>IFERROR(IF(ISNUMBER(INDEX(SPPR!$E:$Z,MATCH($A51,SPPR!$A:$A,0),4)),$C51*INDEX(SPPR!$E:$Z,MATCH($A51,SPPR!$A:$A,0),4),""),"")</f>
        <v/>
      </c>
      <c r="H51">
        <f>IFERROR(IF(ISNUMBER(INDEX(SPPR!$E:$Z,MATCH($A51,SPPR!$A:$A,0),5)),$C51*INDEX(SPPR!$E:$Z,MATCH($A51,SPPR!$A:$A,0),5),""),"")</f>
        <v/>
      </c>
      <c r="I51">
        <f>IFERROR(IF(ISNUMBER(INDEX(SPPR!$E:$Z,MATCH($A51,SPPR!$A:$A,0),6)),$C51*INDEX(SPPR!$E:$Z,MATCH($A51,SPPR!$A:$A,0),6),""),"")</f>
        <v/>
      </c>
      <c r="J51">
        <f>IFERROR(IF(ISNUMBER(INDEX(SPPR!$E:$Z,MATCH($A51,SPPR!$A:$A,0),7)),$C51*INDEX(SPPR!$E:$Z,MATCH($A51,SPPR!$A:$A,0),7),""),"")</f>
        <v/>
      </c>
      <c r="K51">
        <f>IFERROR(IF(ISNUMBER(INDEX(SPPR!$E:$Z,MATCH($A51,SPPR!$A:$A,0),8)),$C51*INDEX(SPPR!$E:$Z,MATCH($A51,SPPR!$A:$A,0),8),""),"")</f>
        <v/>
      </c>
      <c r="L51">
        <f>IFERROR(IF(ISNUMBER(INDEX(SPPR!$E:$Z,MATCH($A51,SPPR!$A:$A,0),9)),$C51*INDEX(SPPR!$E:$Z,MATCH($A51,SPPR!$A:$A,0),9),""),"")</f>
        <v/>
      </c>
      <c r="M51">
        <f>IFERROR(IF(ISNUMBER(INDEX(SPPR!$E:$Z,MATCH($A51,SPPR!$A:$A,0),10)),$C51*INDEX(SPPR!$E:$Z,MATCH($A51,SPPR!$A:$A,0),10),""),"")</f>
        <v/>
      </c>
      <c r="N51">
        <f>IFERROR(IF(ISNUMBER(INDEX(SPPR!$E:$Z,MATCH($A51,SPPR!$A:$A,0),11)),$C51*INDEX(SPPR!$E:$Z,MATCH($A51,SPPR!$A:$A,0),11),""),"")</f>
        <v/>
      </c>
      <c r="O51">
        <f>IFERROR(IF(ISNUMBER(INDEX(SPPR!$E:$Z,MATCH($A51,SPPR!$A:$A,0),12)),$C51*INDEX(SPPR!$E:$Z,MATCH($A51,SPPR!$A:$A,0),12),""),"")</f>
        <v/>
      </c>
      <c r="P51">
        <f>IFERROR(IF(ISNUMBER(INDEX(SPPR!$E:$Z,MATCH($A51,SPPR!$A:$A,0),13)),$C51*INDEX(SPPR!$E:$Z,MATCH($A51,SPPR!$A:$A,0),13),""),"")</f>
        <v/>
      </c>
      <c r="Q51">
        <f>IFERROR(IF(ISNUMBER(INDEX(SPPR!$E:$Z,MATCH($A51,SPPR!$A:$A,0),14)),$C51*INDEX(SPPR!$E:$Z,MATCH($A51,SPPR!$A:$A,0),14),""),"")</f>
        <v/>
      </c>
      <c r="R51">
        <f>IFERROR(IF(ISNUMBER(INDEX(SPPR!$E:$Z,MATCH($A51,SPPR!$A:$A,0),15)),$C51*INDEX(SPPR!$E:$Z,MATCH($A51,SPPR!$A:$A,0),15),""),"")</f>
        <v/>
      </c>
      <c r="S51">
        <f>IFERROR(IF(ISNUMBER(INDEX(SPPR!$E:$Z,MATCH($A51,SPPR!$A:$A,0),16)),$C51*INDEX(SPPR!$E:$Z,MATCH($A51,SPPR!$A:$A,0),16),""),"")</f>
        <v/>
      </c>
      <c r="T51">
        <f>IFERROR(IF(ISNUMBER(INDEX(SPPR!$E:$Z,MATCH($A51,SPPR!$A:$A,0),17)),$C51*INDEX(SPPR!$E:$Z,MATCH($A51,SPPR!$A:$A,0),17),""),"")</f>
        <v/>
      </c>
      <c r="U51">
        <f>IFERROR(IF(ISNUMBER(INDEX(SPPR!$E:$Z,MATCH($A51,SPPR!$A:$A,0),18)),$C51*INDEX(SPPR!$E:$Z,MATCH($A51,SPPR!$A:$A,0),18),""),"")</f>
        <v/>
      </c>
      <c r="V51">
        <f>IFERROR(IF(ISNUMBER(INDEX(SPPR!$E:$Z,MATCH($A51,SPPR!$A:$A,0),19)),$C51*INDEX(SPPR!$E:$Z,MATCH($A51,SPPR!$A:$A,0),19),""),"")</f>
        <v/>
      </c>
      <c r="W51">
        <f>IFERROR(IF(ISNUMBER(INDEX(SPPR!$E:$Z,MATCH($A51,SPPR!$A:$A,0),20)),$C51*INDEX(SPPR!$E:$Z,MATCH($A51,SPPR!$A:$A,0),20),""),"")</f>
        <v/>
      </c>
      <c r="X51">
        <f>IFERROR(IF(ISNUMBER(INDEX(SPPR!$E:$Z,MATCH($A51,SPPR!$A:$A,0),21)),$C51*INDEX(SPPR!$E:$Z,MATCH($A51,SPPR!$A:$A,0),21),""),"")</f>
        <v/>
      </c>
      <c r="Y51">
        <f>IFERROR(IF(ISNUMBER(INDEX(SPPR!$E:$Z,MATCH($A51,SPPR!$A:$A,0),22)),$C51*INDEX(SPPR!$E:$Z,MATCH($A51,SPPR!$A:$A,0),22),""),"")</f>
        <v/>
      </c>
    </row>
    <row r="52">
      <c r="A52" t="inlineStr">
        <is>
          <t>Mollusca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IFERROR(IF(ISNUMBER(INDEX(SPPR!$E:$Z,MATCH($A52,SPPR!$A:$A,0),1)),$C52*INDEX(SPPR!$E:$Z,MATCH($A52,SPPR!$A:$A,0),1),""),"")</f>
        <v/>
      </c>
      <c r="E52">
        <f>IFERROR(IF(ISNUMBER(INDEX(SPPR!$E:$Z,MATCH($A52,SPPR!$A:$A,0),2)),$C52*INDEX(SPPR!$E:$Z,MATCH($A52,SPPR!$A:$A,0),2),""),"")</f>
        <v/>
      </c>
      <c r="F52">
        <f>IFERROR(IF(ISNUMBER(INDEX(SPPR!$E:$Z,MATCH($A52,SPPR!$A:$A,0),3)),$C52*INDEX(SPPR!$E:$Z,MATCH($A52,SPPR!$A:$A,0),3),""),"")</f>
        <v/>
      </c>
      <c r="G52">
        <f>IFERROR(IF(ISNUMBER(INDEX(SPPR!$E:$Z,MATCH($A52,SPPR!$A:$A,0),4)),$C52*INDEX(SPPR!$E:$Z,MATCH($A52,SPPR!$A:$A,0),4),""),"")</f>
        <v/>
      </c>
      <c r="H52">
        <f>IFERROR(IF(ISNUMBER(INDEX(SPPR!$E:$Z,MATCH($A52,SPPR!$A:$A,0),5)),$C52*INDEX(SPPR!$E:$Z,MATCH($A52,SPPR!$A:$A,0),5),""),"")</f>
        <v/>
      </c>
      <c r="I52">
        <f>IFERROR(IF(ISNUMBER(INDEX(SPPR!$E:$Z,MATCH($A52,SPPR!$A:$A,0),6)),$C52*INDEX(SPPR!$E:$Z,MATCH($A52,SPPR!$A:$A,0),6),""),"")</f>
        <v/>
      </c>
      <c r="J52">
        <f>IFERROR(IF(ISNUMBER(INDEX(SPPR!$E:$Z,MATCH($A52,SPPR!$A:$A,0),7)),$C52*INDEX(SPPR!$E:$Z,MATCH($A52,SPPR!$A:$A,0),7),""),"")</f>
        <v/>
      </c>
      <c r="K52">
        <f>IFERROR(IF(ISNUMBER(INDEX(SPPR!$E:$Z,MATCH($A52,SPPR!$A:$A,0),8)),$C52*INDEX(SPPR!$E:$Z,MATCH($A52,SPPR!$A:$A,0),8),""),"")</f>
        <v/>
      </c>
      <c r="L52">
        <f>IFERROR(IF(ISNUMBER(INDEX(SPPR!$E:$Z,MATCH($A52,SPPR!$A:$A,0),9)),$C52*INDEX(SPPR!$E:$Z,MATCH($A52,SPPR!$A:$A,0),9),""),"")</f>
        <v/>
      </c>
      <c r="M52">
        <f>IFERROR(IF(ISNUMBER(INDEX(SPPR!$E:$Z,MATCH($A52,SPPR!$A:$A,0),10)),$C52*INDEX(SPPR!$E:$Z,MATCH($A52,SPPR!$A:$A,0),10),""),"")</f>
        <v/>
      </c>
      <c r="N52">
        <f>IFERROR(IF(ISNUMBER(INDEX(SPPR!$E:$Z,MATCH($A52,SPPR!$A:$A,0),11)),$C52*INDEX(SPPR!$E:$Z,MATCH($A52,SPPR!$A:$A,0),11),""),"")</f>
        <v/>
      </c>
      <c r="O52">
        <f>IFERROR(IF(ISNUMBER(INDEX(SPPR!$E:$Z,MATCH($A52,SPPR!$A:$A,0),12)),$C52*INDEX(SPPR!$E:$Z,MATCH($A52,SPPR!$A:$A,0),12),""),"")</f>
        <v/>
      </c>
      <c r="P52">
        <f>IFERROR(IF(ISNUMBER(INDEX(SPPR!$E:$Z,MATCH($A52,SPPR!$A:$A,0),13)),$C52*INDEX(SPPR!$E:$Z,MATCH($A52,SPPR!$A:$A,0),13),""),"")</f>
        <v/>
      </c>
      <c r="Q52">
        <f>IFERROR(IF(ISNUMBER(INDEX(SPPR!$E:$Z,MATCH($A52,SPPR!$A:$A,0),14)),$C52*INDEX(SPPR!$E:$Z,MATCH($A52,SPPR!$A:$A,0),14),""),"")</f>
        <v/>
      </c>
      <c r="R52">
        <f>IFERROR(IF(ISNUMBER(INDEX(SPPR!$E:$Z,MATCH($A52,SPPR!$A:$A,0),15)),$C52*INDEX(SPPR!$E:$Z,MATCH($A52,SPPR!$A:$A,0),15),""),"")</f>
        <v/>
      </c>
      <c r="S52">
        <f>IFERROR(IF(ISNUMBER(INDEX(SPPR!$E:$Z,MATCH($A52,SPPR!$A:$A,0),16)),$C52*INDEX(SPPR!$E:$Z,MATCH($A52,SPPR!$A:$A,0),16),""),"")</f>
        <v/>
      </c>
      <c r="T52">
        <f>IFERROR(IF(ISNUMBER(INDEX(SPPR!$E:$Z,MATCH($A52,SPPR!$A:$A,0),17)),$C52*INDEX(SPPR!$E:$Z,MATCH($A52,SPPR!$A:$A,0),17),""),"")</f>
        <v/>
      </c>
      <c r="U52">
        <f>IFERROR(IF(ISNUMBER(INDEX(SPPR!$E:$Z,MATCH($A52,SPPR!$A:$A,0),18)),$C52*INDEX(SPPR!$E:$Z,MATCH($A52,SPPR!$A:$A,0),18),""),"")</f>
        <v/>
      </c>
      <c r="V52">
        <f>IFERROR(IF(ISNUMBER(INDEX(SPPR!$E:$Z,MATCH($A52,SPPR!$A:$A,0),19)),$C52*INDEX(SPPR!$E:$Z,MATCH($A52,SPPR!$A:$A,0),19),""),"")</f>
        <v/>
      </c>
      <c r="W52">
        <f>IFERROR(IF(ISNUMBER(INDEX(SPPR!$E:$Z,MATCH($A52,SPPR!$A:$A,0),20)),$C52*INDEX(SPPR!$E:$Z,MATCH($A52,SPPR!$A:$A,0),20),""),"")</f>
        <v/>
      </c>
      <c r="X52">
        <f>IFERROR(IF(ISNUMBER(INDEX(SPPR!$E:$Z,MATCH($A52,SPPR!$A:$A,0),21)),$C52*INDEX(SPPR!$E:$Z,MATCH($A52,SPPR!$A:$A,0),21),""),"")</f>
        <v/>
      </c>
      <c r="Y52">
        <f>IFERROR(IF(ISNUMBER(INDEX(SPPR!$E:$Z,MATCH($A52,SPPR!$A:$A,0),22)),$C52*INDEX(SPPR!$E:$Z,MATCH($A52,SPPR!$A:$A,0),22),""),"")</f>
        <v/>
      </c>
    </row>
    <row r="53">
      <c r="A53" t="inlineStr">
        <is>
          <t>Trichiurus lepturus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IFERROR(IF(ISNUMBER(INDEX(SPPR!$E:$Z,MATCH($A53,SPPR!$A:$A,0),1)),$C53*INDEX(SPPR!$E:$Z,MATCH($A53,SPPR!$A:$A,0),1),""),"")</f>
        <v/>
      </c>
      <c r="E53">
        <f>IFERROR(IF(ISNUMBER(INDEX(SPPR!$E:$Z,MATCH($A53,SPPR!$A:$A,0),2)),$C53*INDEX(SPPR!$E:$Z,MATCH($A53,SPPR!$A:$A,0),2),""),"")</f>
        <v/>
      </c>
      <c r="F53">
        <f>IFERROR(IF(ISNUMBER(INDEX(SPPR!$E:$Z,MATCH($A53,SPPR!$A:$A,0),3)),$C53*INDEX(SPPR!$E:$Z,MATCH($A53,SPPR!$A:$A,0),3),""),"")</f>
        <v/>
      </c>
      <c r="G53">
        <f>IFERROR(IF(ISNUMBER(INDEX(SPPR!$E:$Z,MATCH($A53,SPPR!$A:$A,0),4)),$C53*INDEX(SPPR!$E:$Z,MATCH($A53,SPPR!$A:$A,0),4),""),"")</f>
        <v/>
      </c>
      <c r="H53">
        <f>IFERROR(IF(ISNUMBER(INDEX(SPPR!$E:$Z,MATCH($A53,SPPR!$A:$A,0),5)),$C53*INDEX(SPPR!$E:$Z,MATCH($A53,SPPR!$A:$A,0),5),""),"")</f>
        <v/>
      </c>
      <c r="I53">
        <f>IFERROR(IF(ISNUMBER(INDEX(SPPR!$E:$Z,MATCH($A53,SPPR!$A:$A,0),6)),$C53*INDEX(SPPR!$E:$Z,MATCH($A53,SPPR!$A:$A,0),6),""),"")</f>
        <v/>
      </c>
      <c r="J53">
        <f>IFERROR(IF(ISNUMBER(INDEX(SPPR!$E:$Z,MATCH($A53,SPPR!$A:$A,0),7)),$C53*INDEX(SPPR!$E:$Z,MATCH($A53,SPPR!$A:$A,0),7),""),"")</f>
        <v/>
      </c>
      <c r="K53">
        <f>IFERROR(IF(ISNUMBER(INDEX(SPPR!$E:$Z,MATCH($A53,SPPR!$A:$A,0),8)),$C53*INDEX(SPPR!$E:$Z,MATCH($A53,SPPR!$A:$A,0),8),""),"")</f>
        <v/>
      </c>
      <c r="L53">
        <f>IFERROR(IF(ISNUMBER(INDEX(SPPR!$E:$Z,MATCH($A53,SPPR!$A:$A,0),9)),$C53*INDEX(SPPR!$E:$Z,MATCH($A53,SPPR!$A:$A,0),9),""),"")</f>
        <v/>
      </c>
      <c r="M53">
        <f>IFERROR(IF(ISNUMBER(INDEX(SPPR!$E:$Z,MATCH($A53,SPPR!$A:$A,0),10)),$C53*INDEX(SPPR!$E:$Z,MATCH($A53,SPPR!$A:$A,0),10),""),"")</f>
        <v/>
      </c>
      <c r="N53">
        <f>IFERROR(IF(ISNUMBER(INDEX(SPPR!$E:$Z,MATCH($A53,SPPR!$A:$A,0),11)),$C53*INDEX(SPPR!$E:$Z,MATCH($A53,SPPR!$A:$A,0),11),""),"")</f>
        <v/>
      </c>
      <c r="O53">
        <f>IFERROR(IF(ISNUMBER(INDEX(SPPR!$E:$Z,MATCH($A53,SPPR!$A:$A,0),12)),$C53*INDEX(SPPR!$E:$Z,MATCH($A53,SPPR!$A:$A,0),12),""),"")</f>
        <v/>
      </c>
      <c r="P53">
        <f>IFERROR(IF(ISNUMBER(INDEX(SPPR!$E:$Z,MATCH($A53,SPPR!$A:$A,0),13)),$C53*INDEX(SPPR!$E:$Z,MATCH($A53,SPPR!$A:$A,0),13),""),"")</f>
        <v/>
      </c>
      <c r="Q53">
        <f>IFERROR(IF(ISNUMBER(INDEX(SPPR!$E:$Z,MATCH($A53,SPPR!$A:$A,0),14)),$C53*INDEX(SPPR!$E:$Z,MATCH($A53,SPPR!$A:$A,0),14),""),"")</f>
        <v/>
      </c>
      <c r="R53">
        <f>IFERROR(IF(ISNUMBER(INDEX(SPPR!$E:$Z,MATCH($A53,SPPR!$A:$A,0),15)),$C53*INDEX(SPPR!$E:$Z,MATCH($A53,SPPR!$A:$A,0),15),""),"")</f>
        <v/>
      </c>
      <c r="S53">
        <f>IFERROR(IF(ISNUMBER(INDEX(SPPR!$E:$Z,MATCH($A53,SPPR!$A:$A,0),16)),$C53*INDEX(SPPR!$E:$Z,MATCH($A53,SPPR!$A:$A,0),16),""),"")</f>
        <v/>
      </c>
      <c r="T53">
        <f>IFERROR(IF(ISNUMBER(INDEX(SPPR!$E:$Z,MATCH($A53,SPPR!$A:$A,0),17)),$C53*INDEX(SPPR!$E:$Z,MATCH($A53,SPPR!$A:$A,0),17),""),"")</f>
        <v/>
      </c>
      <c r="U53">
        <f>IFERROR(IF(ISNUMBER(INDEX(SPPR!$E:$Z,MATCH($A53,SPPR!$A:$A,0),18)),$C53*INDEX(SPPR!$E:$Z,MATCH($A53,SPPR!$A:$A,0),18),""),"")</f>
        <v/>
      </c>
      <c r="V53">
        <f>IFERROR(IF(ISNUMBER(INDEX(SPPR!$E:$Z,MATCH($A53,SPPR!$A:$A,0),19)),$C53*INDEX(SPPR!$E:$Z,MATCH($A53,SPPR!$A:$A,0),19),""),"")</f>
        <v/>
      </c>
      <c r="W53">
        <f>IFERROR(IF(ISNUMBER(INDEX(SPPR!$E:$Z,MATCH($A53,SPPR!$A:$A,0),20)),$C53*INDEX(SPPR!$E:$Z,MATCH($A53,SPPR!$A:$A,0),20),""),"")</f>
        <v/>
      </c>
      <c r="X53">
        <f>IFERROR(IF(ISNUMBER(INDEX(SPPR!$E:$Z,MATCH($A53,SPPR!$A:$A,0),21)),$C53*INDEX(SPPR!$E:$Z,MATCH($A53,SPPR!$A:$A,0),21),""),"")</f>
        <v/>
      </c>
      <c r="Y53">
        <f>IFERROR(IF(ISNUMBER(INDEX(SPPR!$E:$Z,MATCH($A53,SPPR!$A:$A,0),22)),$C53*INDEX(SPPR!$E:$Z,MATCH($A53,SPPR!$A:$A,0),22),""),"")</f>
        <v/>
      </c>
    </row>
    <row r="54">
      <c r="A54" t="inlineStr">
        <is>
          <t>Euthynnus affinis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IFERROR(IF(ISNUMBER(INDEX(SPPR!$E:$Z,MATCH($A54,SPPR!$A:$A,0),1)),$C54*INDEX(SPPR!$E:$Z,MATCH($A54,SPPR!$A:$A,0),1),""),"")</f>
        <v/>
      </c>
      <c r="E54">
        <f>IFERROR(IF(ISNUMBER(INDEX(SPPR!$E:$Z,MATCH($A54,SPPR!$A:$A,0),2)),$C54*INDEX(SPPR!$E:$Z,MATCH($A54,SPPR!$A:$A,0),2),""),"")</f>
        <v/>
      </c>
      <c r="F54">
        <f>IFERROR(IF(ISNUMBER(INDEX(SPPR!$E:$Z,MATCH($A54,SPPR!$A:$A,0),3)),$C54*INDEX(SPPR!$E:$Z,MATCH($A54,SPPR!$A:$A,0),3),""),"")</f>
        <v/>
      </c>
      <c r="G54">
        <f>IFERROR(IF(ISNUMBER(INDEX(SPPR!$E:$Z,MATCH($A54,SPPR!$A:$A,0),4)),$C54*INDEX(SPPR!$E:$Z,MATCH($A54,SPPR!$A:$A,0),4),""),"")</f>
        <v/>
      </c>
      <c r="H54">
        <f>IFERROR(IF(ISNUMBER(INDEX(SPPR!$E:$Z,MATCH($A54,SPPR!$A:$A,0),5)),$C54*INDEX(SPPR!$E:$Z,MATCH($A54,SPPR!$A:$A,0),5),""),"")</f>
        <v/>
      </c>
      <c r="I54">
        <f>IFERROR(IF(ISNUMBER(INDEX(SPPR!$E:$Z,MATCH($A54,SPPR!$A:$A,0),6)),$C54*INDEX(SPPR!$E:$Z,MATCH($A54,SPPR!$A:$A,0),6),""),"")</f>
        <v/>
      </c>
      <c r="J54">
        <f>IFERROR(IF(ISNUMBER(INDEX(SPPR!$E:$Z,MATCH($A54,SPPR!$A:$A,0),7)),$C54*INDEX(SPPR!$E:$Z,MATCH($A54,SPPR!$A:$A,0),7),""),"")</f>
        <v/>
      </c>
      <c r="K54">
        <f>IFERROR(IF(ISNUMBER(INDEX(SPPR!$E:$Z,MATCH($A54,SPPR!$A:$A,0),8)),$C54*INDEX(SPPR!$E:$Z,MATCH($A54,SPPR!$A:$A,0),8),""),"")</f>
        <v/>
      </c>
      <c r="L54">
        <f>IFERROR(IF(ISNUMBER(INDEX(SPPR!$E:$Z,MATCH($A54,SPPR!$A:$A,0),9)),$C54*INDEX(SPPR!$E:$Z,MATCH($A54,SPPR!$A:$A,0),9),""),"")</f>
        <v/>
      </c>
      <c r="M54">
        <f>IFERROR(IF(ISNUMBER(INDEX(SPPR!$E:$Z,MATCH($A54,SPPR!$A:$A,0),10)),$C54*INDEX(SPPR!$E:$Z,MATCH($A54,SPPR!$A:$A,0),10),""),"")</f>
        <v/>
      </c>
      <c r="N54">
        <f>IFERROR(IF(ISNUMBER(INDEX(SPPR!$E:$Z,MATCH($A54,SPPR!$A:$A,0),11)),$C54*INDEX(SPPR!$E:$Z,MATCH($A54,SPPR!$A:$A,0),11),""),"")</f>
        <v/>
      </c>
      <c r="O54">
        <f>IFERROR(IF(ISNUMBER(INDEX(SPPR!$E:$Z,MATCH($A54,SPPR!$A:$A,0),12)),$C54*INDEX(SPPR!$E:$Z,MATCH($A54,SPPR!$A:$A,0),12),""),"")</f>
        <v/>
      </c>
      <c r="P54">
        <f>IFERROR(IF(ISNUMBER(INDEX(SPPR!$E:$Z,MATCH($A54,SPPR!$A:$A,0),13)),$C54*INDEX(SPPR!$E:$Z,MATCH($A54,SPPR!$A:$A,0),13),""),"")</f>
        <v/>
      </c>
      <c r="Q54">
        <f>IFERROR(IF(ISNUMBER(INDEX(SPPR!$E:$Z,MATCH($A54,SPPR!$A:$A,0),14)),$C54*INDEX(SPPR!$E:$Z,MATCH($A54,SPPR!$A:$A,0),14),""),"")</f>
        <v/>
      </c>
      <c r="R54">
        <f>IFERROR(IF(ISNUMBER(INDEX(SPPR!$E:$Z,MATCH($A54,SPPR!$A:$A,0),15)),$C54*INDEX(SPPR!$E:$Z,MATCH($A54,SPPR!$A:$A,0),15),""),"")</f>
        <v/>
      </c>
      <c r="S54">
        <f>IFERROR(IF(ISNUMBER(INDEX(SPPR!$E:$Z,MATCH($A54,SPPR!$A:$A,0),16)),$C54*INDEX(SPPR!$E:$Z,MATCH($A54,SPPR!$A:$A,0),16),""),"")</f>
        <v/>
      </c>
      <c r="T54">
        <f>IFERROR(IF(ISNUMBER(INDEX(SPPR!$E:$Z,MATCH($A54,SPPR!$A:$A,0),17)),$C54*INDEX(SPPR!$E:$Z,MATCH($A54,SPPR!$A:$A,0),17),""),"")</f>
        <v/>
      </c>
      <c r="U54">
        <f>IFERROR(IF(ISNUMBER(INDEX(SPPR!$E:$Z,MATCH($A54,SPPR!$A:$A,0),18)),$C54*INDEX(SPPR!$E:$Z,MATCH($A54,SPPR!$A:$A,0),18),""),"")</f>
        <v/>
      </c>
      <c r="V54">
        <f>IFERROR(IF(ISNUMBER(INDEX(SPPR!$E:$Z,MATCH($A54,SPPR!$A:$A,0),19)),$C54*INDEX(SPPR!$E:$Z,MATCH($A54,SPPR!$A:$A,0),19),""),"")</f>
        <v/>
      </c>
      <c r="W54">
        <f>IFERROR(IF(ISNUMBER(INDEX(SPPR!$E:$Z,MATCH($A54,SPPR!$A:$A,0),20)),$C54*INDEX(SPPR!$E:$Z,MATCH($A54,SPPR!$A:$A,0),20),""),"")</f>
        <v/>
      </c>
      <c r="X54">
        <f>IFERROR(IF(ISNUMBER(INDEX(SPPR!$E:$Z,MATCH($A54,SPPR!$A:$A,0),21)),$C54*INDEX(SPPR!$E:$Z,MATCH($A54,SPPR!$A:$A,0),21),""),"")</f>
        <v/>
      </c>
      <c r="Y54">
        <f>IFERROR(IF(ISNUMBER(INDEX(SPPR!$E:$Z,MATCH($A54,SPPR!$A:$A,0),22)),$C54*INDEX(SPPR!$E:$Z,MATCH($A54,SPPR!$A:$A,0),22),""),"")</f>
        <v/>
      </c>
    </row>
    <row r="55">
      <c r="A55" t="inlineStr">
        <is>
          <t>Mullidae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IFERROR(IF(ISNUMBER(INDEX(SPPR!$E:$Z,MATCH($A55,SPPR!$A:$A,0),1)),$C55*INDEX(SPPR!$E:$Z,MATCH($A55,SPPR!$A:$A,0),1),""),"")</f>
        <v/>
      </c>
      <c r="E55">
        <f>IFERROR(IF(ISNUMBER(INDEX(SPPR!$E:$Z,MATCH($A55,SPPR!$A:$A,0),2)),$C55*INDEX(SPPR!$E:$Z,MATCH($A55,SPPR!$A:$A,0),2),""),"")</f>
        <v/>
      </c>
      <c r="F55">
        <f>IFERROR(IF(ISNUMBER(INDEX(SPPR!$E:$Z,MATCH($A55,SPPR!$A:$A,0),3)),$C55*INDEX(SPPR!$E:$Z,MATCH($A55,SPPR!$A:$A,0),3),""),"")</f>
        <v/>
      </c>
      <c r="G55">
        <f>IFERROR(IF(ISNUMBER(INDEX(SPPR!$E:$Z,MATCH($A55,SPPR!$A:$A,0),4)),$C55*INDEX(SPPR!$E:$Z,MATCH($A55,SPPR!$A:$A,0),4),""),"")</f>
        <v/>
      </c>
      <c r="H55">
        <f>IFERROR(IF(ISNUMBER(INDEX(SPPR!$E:$Z,MATCH($A55,SPPR!$A:$A,0),5)),$C55*INDEX(SPPR!$E:$Z,MATCH($A55,SPPR!$A:$A,0),5),""),"")</f>
        <v/>
      </c>
      <c r="I55">
        <f>IFERROR(IF(ISNUMBER(INDEX(SPPR!$E:$Z,MATCH($A55,SPPR!$A:$A,0),6)),$C55*INDEX(SPPR!$E:$Z,MATCH($A55,SPPR!$A:$A,0),6),""),"")</f>
        <v/>
      </c>
      <c r="J55">
        <f>IFERROR(IF(ISNUMBER(INDEX(SPPR!$E:$Z,MATCH($A55,SPPR!$A:$A,0),7)),$C55*INDEX(SPPR!$E:$Z,MATCH($A55,SPPR!$A:$A,0),7),""),"")</f>
        <v/>
      </c>
      <c r="K55">
        <f>IFERROR(IF(ISNUMBER(INDEX(SPPR!$E:$Z,MATCH($A55,SPPR!$A:$A,0),8)),$C55*INDEX(SPPR!$E:$Z,MATCH($A55,SPPR!$A:$A,0),8),""),"")</f>
        <v/>
      </c>
      <c r="L55">
        <f>IFERROR(IF(ISNUMBER(INDEX(SPPR!$E:$Z,MATCH($A55,SPPR!$A:$A,0),9)),$C55*INDEX(SPPR!$E:$Z,MATCH($A55,SPPR!$A:$A,0),9),""),"")</f>
        <v/>
      </c>
      <c r="M55">
        <f>IFERROR(IF(ISNUMBER(INDEX(SPPR!$E:$Z,MATCH($A55,SPPR!$A:$A,0),10)),$C55*INDEX(SPPR!$E:$Z,MATCH($A55,SPPR!$A:$A,0),10),""),"")</f>
        <v/>
      </c>
      <c r="N55">
        <f>IFERROR(IF(ISNUMBER(INDEX(SPPR!$E:$Z,MATCH($A55,SPPR!$A:$A,0),11)),$C55*INDEX(SPPR!$E:$Z,MATCH($A55,SPPR!$A:$A,0),11),""),"")</f>
        <v/>
      </c>
      <c r="O55">
        <f>IFERROR(IF(ISNUMBER(INDEX(SPPR!$E:$Z,MATCH($A55,SPPR!$A:$A,0),12)),$C55*INDEX(SPPR!$E:$Z,MATCH($A55,SPPR!$A:$A,0),12),""),"")</f>
        <v/>
      </c>
      <c r="P55">
        <f>IFERROR(IF(ISNUMBER(INDEX(SPPR!$E:$Z,MATCH($A55,SPPR!$A:$A,0),13)),$C55*INDEX(SPPR!$E:$Z,MATCH($A55,SPPR!$A:$A,0),13),""),"")</f>
        <v/>
      </c>
      <c r="Q55">
        <f>IFERROR(IF(ISNUMBER(INDEX(SPPR!$E:$Z,MATCH($A55,SPPR!$A:$A,0),14)),$C55*INDEX(SPPR!$E:$Z,MATCH($A55,SPPR!$A:$A,0),14),""),"")</f>
        <v/>
      </c>
      <c r="R55">
        <f>IFERROR(IF(ISNUMBER(INDEX(SPPR!$E:$Z,MATCH($A55,SPPR!$A:$A,0),15)),$C55*INDEX(SPPR!$E:$Z,MATCH($A55,SPPR!$A:$A,0),15),""),"")</f>
        <v/>
      </c>
      <c r="S55">
        <f>IFERROR(IF(ISNUMBER(INDEX(SPPR!$E:$Z,MATCH($A55,SPPR!$A:$A,0),16)),$C55*INDEX(SPPR!$E:$Z,MATCH($A55,SPPR!$A:$A,0),16),""),"")</f>
        <v/>
      </c>
      <c r="T55">
        <f>IFERROR(IF(ISNUMBER(INDEX(SPPR!$E:$Z,MATCH($A55,SPPR!$A:$A,0),17)),$C55*INDEX(SPPR!$E:$Z,MATCH($A55,SPPR!$A:$A,0),17),""),"")</f>
        <v/>
      </c>
      <c r="U55">
        <f>IFERROR(IF(ISNUMBER(INDEX(SPPR!$E:$Z,MATCH($A55,SPPR!$A:$A,0),18)),$C55*INDEX(SPPR!$E:$Z,MATCH($A55,SPPR!$A:$A,0),18),""),"")</f>
        <v/>
      </c>
      <c r="V55">
        <f>IFERROR(IF(ISNUMBER(INDEX(SPPR!$E:$Z,MATCH($A55,SPPR!$A:$A,0),19)),$C55*INDEX(SPPR!$E:$Z,MATCH($A55,SPPR!$A:$A,0),19),""),"")</f>
        <v/>
      </c>
      <c r="W55">
        <f>IFERROR(IF(ISNUMBER(INDEX(SPPR!$E:$Z,MATCH($A55,SPPR!$A:$A,0),20)),$C55*INDEX(SPPR!$E:$Z,MATCH($A55,SPPR!$A:$A,0),20),""),"")</f>
        <v/>
      </c>
      <c r="X55">
        <f>IFERROR(IF(ISNUMBER(INDEX(SPPR!$E:$Z,MATCH($A55,SPPR!$A:$A,0),21)),$C55*INDEX(SPPR!$E:$Z,MATCH($A55,SPPR!$A:$A,0),21),""),"")</f>
        <v/>
      </c>
      <c r="Y55">
        <f>IFERROR(IF(ISNUMBER(INDEX(SPPR!$E:$Z,MATCH($A55,SPPR!$A:$A,0),22)),$C55*INDEX(SPPR!$E:$Z,MATCH($A55,SPPR!$A:$A,0),22),""),"")</f>
        <v/>
      </c>
    </row>
    <row r="56">
      <c r="A56" t="inlineStr">
        <is>
          <t>Batoidea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IFERROR(IF(ISNUMBER(INDEX(SPPR!$E:$Z,MATCH($A56,SPPR!$A:$A,0),1)),$C56*INDEX(SPPR!$E:$Z,MATCH($A56,SPPR!$A:$A,0),1),""),"")</f>
        <v/>
      </c>
      <c r="E56">
        <f>IFERROR(IF(ISNUMBER(INDEX(SPPR!$E:$Z,MATCH($A56,SPPR!$A:$A,0),2)),$C56*INDEX(SPPR!$E:$Z,MATCH($A56,SPPR!$A:$A,0),2),""),"")</f>
        <v/>
      </c>
      <c r="F56">
        <f>IFERROR(IF(ISNUMBER(INDEX(SPPR!$E:$Z,MATCH($A56,SPPR!$A:$A,0),3)),$C56*INDEX(SPPR!$E:$Z,MATCH($A56,SPPR!$A:$A,0),3),""),"")</f>
        <v/>
      </c>
      <c r="G56">
        <f>IFERROR(IF(ISNUMBER(INDEX(SPPR!$E:$Z,MATCH($A56,SPPR!$A:$A,0),4)),$C56*INDEX(SPPR!$E:$Z,MATCH($A56,SPPR!$A:$A,0),4),""),"")</f>
        <v/>
      </c>
      <c r="H56">
        <f>IFERROR(IF(ISNUMBER(INDEX(SPPR!$E:$Z,MATCH($A56,SPPR!$A:$A,0),5)),$C56*INDEX(SPPR!$E:$Z,MATCH($A56,SPPR!$A:$A,0),5),""),"")</f>
        <v/>
      </c>
      <c r="I56">
        <f>IFERROR(IF(ISNUMBER(INDEX(SPPR!$E:$Z,MATCH($A56,SPPR!$A:$A,0),6)),$C56*INDEX(SPPR!$E:$Z,MATCH($A56,SPPR!$A:$A,0),6),""),"")</f>
        <v/>
      </c>
      <c r="J56">
        <f>IFERROR(IF(ISNUMBER(INDEX(SPPR!$E:$Z,MATCH($A56,SPPR!$A:$A,0),7)),$C56*INDEX(SPPR!$E:$Z,MATCH($A56,SPPR!$A:$A,0),7),""),"")</f>
        <v/>
      </c>
      <c r="K56">
        <f>IFERROR(IF(ISNUMBER(INDEX(SPPR!$E:$Z,MATCH($A56,SPPR!$A:$A,0),8)),$C56*INDEX(SPPR!$E:$Z,MATCH($A56,SPPR!$A:$A,0),8),""),"")</f>
        <v/>
      </c>
      <c r="L56">
        <f>IFERROR(IF(ISNUMBER(INDEX(SPPR!$E:$Z,MATCH($A56,SPPR!$A:$A,0),9)),$C56*INDEX(SPPR!$E:$Z,MATCH($A56,SPPR!$A:$A,0),9),""),"")</f>
        <v/>
      </c>
      <c r="M56">
        <f>IFERROR(IF(ISNUMBER(INDEX(SPPR!$E:$Z,MATCH($A56,SPPR!$A:$A,0),10)),$C56*INDEX(SPPR!$E:$Z,MATCH($A56,SPPR!$A:$A,0),10),""),"")</f>
        <v/>
      </c>
      <c r="N56">
        <f>IFERROR(IF(ISNUMBER(INDEX(SPPR!$E:$Z,MATCH($A56,SPPR!$A:$A,0),11)),$C56*INDEX(SPPR!$E:$Z,MATCH($A56,SPPR!$A:$A,0),11),""),"")</f>
        <v/>
      </c>
      <c r="O56">
        <f>IFERROR(IF(ISNUMBER(INDEX(SPPR!$E:$Z,MATCH($A56,SPPR!$A:$A,0),12)),$C56*INDEX(SPPR!$E:$Z,MATCH($A56,SPPR!$A:$A,0),12),""),"")</f>
        <v/>
      </c>
      <c r="P56">
        <f>IFERROR(IF(ISNUMBER(INDEX(SPPR!$E:$Z,MATCH($A56,SPPR!$A:$A,0),13)),$C56*INDEX(SPPR!$E:$Z,MATCH($A56,SPPR!$A:$A,0),13),""),"")</f>
        <v/>
      </c>
      <c r="Q56">
        <f>IFERROR(IF(ISNUMBER(INDEX(SPPR!$E:$Z,MATCH($A56,SPPR!$A:$A,0),14)),$C56*INDEX(SPPR!$E:$Z,MATCH($A56,SPPR!$A:$A,0),14),""),"")</f>
        <v/>
      </c>
      <c r="R56">
        <f>IFERROR(IF(ISNUMBER(INDEX(SPPR!$E:$Z,MATCH($A56,SPPR!$A:$A,0),15)),$C56*INDEX(SPPR!$E:$Z,MATCH($A56,SPPR!$A:$A,0),15),""),"")</f>
        <v/>
      </c>
      <c r="S56">
        <f>IFERROR(IF(ISNUMBER(INDEX(SPPR!$E:$Z,MATCH($A56,SPPR!$A:$A,0),16)),$C56*INDEX(SPPR!$E:$Z,MATCH($A56,SPPR!$A:$A,0),16),""),"")</f>
        <v/>
      </c>
      <c r="T56">
        <f>IFERROR(IF(ISNUMBER(INDEX(SPPR!$E:$Z,MATCH($A56,SPPR!$A:$A,0),17)),$C56*INDEX(SPPR!$E:$Z,MATCH($A56,SPPR!$A:$A,0),17),""),"")</f>
        <v/>
      </c>
      <c r="U56">
        <f>IFERROR(IF(ISNUMBER(INDEX(SPPR!$E:$Z,MATCH($A56,SPPR!$A:$A,0),18)),$C56*INDEX(SPPR!$E:$Z,MATCH($A56,SPPR!$A:$A,0),18),""),"")</f>
        <v/>
      </c>
      <c r="V56">
        <f>IFERROR(IF(ISNUMBER(INDEX(SPPR!$E:$Z,MATCH($A56,SPPR!$A:$A,0),19)),$C56*INDEX(SPPR!$E:$Z,MATCH($A56,SPPR!$A:$A,0),19),""),"")</f>
        <v/>
      </c>
      <c r="W56">
        <f>IFERROR(IF(ISNUMBER(INDEX(SPPR!$E:$Z,MATCH($A56,SPPR!$A:$A,0),20)),$C56*INDEX(SPPR!$E:$Z,MATCH($A56,SPPR!$A:$A,0),20),""),"")</f>
        <v/>
      </c>
      <c r="X56">
        <f>IFERROR(IF(ISNUMBER(INDEX(SPPR!$E:$Z,MATCH($A56,SPPR!$A:$A,0),21)),$C56*INDEX(SPPR!$E:$Z,MATCH($A56,SPPR!$A:$A,0),21),""),"")</f>
        <v/>
      </c>
      <c r="Y56">
        <f>IFERROR(IF(ISNUMBER(INDEX(SPPR!$E:$Z,MATCH($A56,SPPR!$A:$A,0),22)),$C56*INDEX(SPPR!$E:$Z,MATCH($A56,SPPR!$A:$A,0),22),""),"")</f>
        <v/>
      </c>
    </row>
    <row r="57">
      <c r="A57" t="inlineStr">
        <is>
          <t>Sphyraena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IFERROR(IF(ISNUMBER(INDEX(SPPR!$E:$Z,MATCH($A57,SPPR!$A:$A,0),1)),$C57*INDEX(SPPR!$E:$Z,MATCH($A57,SPPR!$A:$A,0),1),""),"")</f>
        <v/>
      </c>
      <c r="E57">
        <f>IFERROR(IF(ISNUMBER(INDEX(SPPR!$E:$Z,MATCH($A57,SPPR!$A:$A,0),2)),$C57*INDEX(SPPR!$E:$Z,MATCH($A57,SPPR!$A:$A,0),2),""),"")</f>
        <v/>
      </c>
      <c r="F57">
        <f>IFERROR(IF(ISNUMBER(INDEX(SPPR!$E:$Z,MATCH($A57,SPPR!$A:$A,0),3)),$C57*INDEX(SPPR!$E:$Z,MATCH($A57,SPPR!$A:$A,0),3),""),"")</f>
        <v/>
      </c>
      <c r="G57">
        <f>IFERROR(IF(ISNUMBER(INDEX(SPPR!$E:$Z,MATCH($A57,SPPR!$A:$A,0),4)),$C57*INDEX(SPPR!$E:$Z,MATCH($A57,SPPR!$A:$A,0),4),""),"")</f>
        <v/>
      </c>
      <c r="H57">
        <f>IFERROR(IF(ISNUMBER(INDEX(SPPR!$E:$Z,MATCH($A57,SPPR!$A:$A,0),5)),$C57*INDEX(SPPR!$E:$Z,MATCH($A57,SPPR!$A:$A,0),5),""),"")</f>
        <v/>
      </c>
      <c r="I57">
        <f>IFERROR(IF(ISNUMBER(INDEX(SPPR!$E:$Z,MATCH($A57,SPPR!$A:$A,0),6)),$C57*INDEX(SPPR!$E:$Z,MATCH($A57,SPPR!$A:$A,0),6),""),"")</f>
        <v/>
      </c>
      <c r="J57">
        <f>IFERROR(IF(ISNUMBER(INDEX(SPPR!$E:$Z,MATCH($A57,SPPR!$A:$A,0),7)),$C57*INDEX(SPPR!$E:$Z,MATCH($A57,SPPR!$A:$A,0),7),""),"")</f>
        <v/>
      </c>
      <c r="K57">
        <f>IFERROR(IF(ISNUMBER(INDEX(SPPR!$E:$Z,MATCH($A57,SPPR!$A:$A,0),8)),$C57*INDEX(SPPR!$E:$Z,MATCH($A57,SPPR!$A:$A,0),8),""),"")</f>
        <v/>
      </c>
      <c r="L57">
        <f>IFERROR(IF(ISNUMBER(INDEX(SPPR!$E:$Z,MATCH($A57,SPPR!$A:$A,0),9)),$C57*INDEX(SPPR!$E:$Z,MATCH($A57,SPPR!$A:$A,0),9),""),"")</f>
        <v/>
      </c>
      <c r="M57">
        <f>IFERROR(IF(ISNUMBER(INDEX(SPPR!$E:$Z,MATCH($A57,SPPR!$A:$A,0),10)),$C57*INDEX(SPPR!$E:$Z,MATCH($A57,SPPR!$A:$A,0),10),""),"")</f>
        <v/>
      </c>
      <c r="N57">
        <f>IFERROR(IF(ISNUMBER(INDEX(SPPR!$E:$Z,MATCH($A57,SPPR!$A:$A,0),11)),$C57*INDEX(SPPR!$E:$Z,MATCH($A57,SPPR!$A:$A,0),11),""),"")</f>
        <v/>
      </c>
      <c r="O57">
        <f>IFERROR(IF(ISNUMBER(INDEX(SPPR!$E:$Z,MATCH($A57,SPPR!$A:$A,0),12)),$C57*INDEX(SPPR!$E:$Z,MATCH($A57,SPPR!$A:$A,0),12),""),"")</f>
        <v/>
      </c>
      <c r="P57">
        <f>IFERROR(IF(ISNUMBER(INDEX(SPPR!$E:$Z,MATCH($A57,SPPR!$A:$A,0),13)),$C57*INDEX(SPPR!$E:$Z,MATCH($A57,SPPR!$A:$A,0),13),""),"")</f>
        <v/>
      </c>
      <c r="Q57">
        <f>IFERROR(IF(ISNUMBER(INDEX(SPPR!$E:$Z,MATCH($A57,SPPR!$A:$A,0),14)),$C57*INDEX(SPPR!$E:$Z,MATCH($A57,SPPR!$A:$A,0),14),""),"")</f>
        <v/>
      </c>
      <c r="R57">
        <f>IFERROR(IF(ISNUMBER(INDEX(SPPR!$E:$Z,MATCH($A57,SPPR!$A:$A,0),15)),$C57*INDEX(SPPR!$E:$Z,MATCH($A57,SPPR!$A:$A,0),15),""),"")</f>
        <v/>
      </c>
      <c r="S57">
        <f>IFERROR(IF(ISNUMBER(INDEX(SPPR!$E:$Z,MATCH($A57,SPPR!$A:$A,0),16)),$C57*INDEX(SPPR!$E:$Z,MATCH($A57,SPPR!$A:$A,0),16),""),"")</f>
        <v/>
      </c>
      <c r="T57">
        <f>IFERROR(IF(ISNUMBER(INDEX(SPPR!$E:$Z,MATCH($A57,SPPR!$A:$A,0),17)),$C57*INDEX(SPPR!$E:$Z,MATCH($A57,SPPR!$A:$A,0),17),""),"")</f>
        <v/>
      </c>
      <c r="U57">
        <f>IFERROR(IF(ISNUMBER(INDEX(SPPR!$E:$Z,MATCH($A57,SPPR!$A:$A,0),18)),$C57*INDEX(SPPR!$E:$Z,MATCH($A57,SPPR!$A:$A,0),18),""),"")</f>
        <v/>
      </c>
      <c r="V57">
        <f>IFERROR(IF(ISNUMBER(INDEX(SPPR!$E:$Z,MATCH($A57,SPPR!$A:$A,0),19)),$C57*INDEX(SPPR!$E:$Z,MATCH($A57,SPPR!$A:$A,0),19),""),"")</f>
        <v/>
      </c>
      <c r="W57">
        <f>IFERROR(IF(ISNUMBER(INDEX(SPPR!$E:$Z,MATCH($A57,SPPR!$A:$A,0),20)),$C57*INDEX(SPPR!$E:$Z,MATCH($A57,SPPR!$A:$A,0),20),""),"")</f>
        <v/>
      </c>
      <c r="X57">
        <f>IFERROR(IF(ISNUMBER(INDEX(SPPR!$E:$Z,MATCH($A57,SPPR!$A:$A,0),21)),$C57*INDEX(SPPR!$E:$Z,MATCH($A57,SPPR!$A:$A,0),21),""),"")</f>
        <v/>
      </c>
      <c r="Y57">
        <f>IFERROR(IF(ISNUMBER(INDEX(SPPR!$E:$Z,MATCH($A57,SPPR!$A:$A,0),22)),$C57*INDEX(SPPR!$E:$Z,MATCH($A57,SPPR!$A:$A,0),22),""),"")</f>
        <v/>
      </c>
    </row>
    <row r="58">
      <c r="A58" t="inlineStr">
        <is>
          <t>Modiolus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IFERROR(IF(ISNUMBER(INDEX(SPPR!$E:$Z,MATCH($A58,SPPR!$A:$A,0),1)),$C58*INDEX(SPPR!$E:$Z,MATCH($A58,SPPR!$A:$A,0),1),""),"")</f>
        <v/>
      </c>
      <c r="E58">
        <f>IFERROR(IF(ISNUMBER(INDEX(SPPR!$E:$Z,MATCH($A58,SPPR!$A:$A,0),2)),$C58*INDEX(SPPR!$E:$Z,MATCH($A58,SPPR!$A:$A,0),2),""),"")</f>
        <v/>
      </c>
      <c r="F58">
        <f>IFERROR(IF(ISNUMBER(INDEX(SPPR!$E:$Z,MATCH($A58,SPPR!$A:$A,0),3)),$C58*INDEX(SPPR!$E:$Z,MATCH($A58,SPPR!$A:$A,0),3),""),"")</f>
        <v/>
      </c>
      <c r="G58">
        <f>IFERROR(IF(ISNUMBER(INDEX(SPPR!$E:$Z,MATCH($A58,SPPR!$A:$A,0),4)),$C58*INDEX(SPPR!$E:$Z,MATCH($A58,SPPR!$A:$A,0),4),""),"")</f>
        <v/>
      </c>
      <c r="H58">
        <f>IFERROR(IF(ISNUMBER(INDEX(SPPR!$E:$Z,MATCH($A58,SPPR!$A:$A,0),5)),$C58*INDEX(SPPR!$E:$Z,MATCH($A58,SPPR!$A:$A,0),5),""),"")</f>
        <v/>
      </c>
      <c r="I58">
        <f>IFERROR(IF(ISNUMBER(INDEX(SPPR!$E:$Z,MATCH($A58,SPPR!$A:$A,0),6)),$C58*INDEX(SPPR!$E:$Z,MATCH($A58,SPPR!$A:$A,0),6),""),"")</f>
        <v/>
      </c>
      <c r="J58">
        <f>IFERROR(IF(ISNUMBER(INDEX(SPPR!$E:$Z,MATCH($A58,SPPR!$A:$A,0),7)),$C58*INDEX(SPPR!$E:$Z,MATCH($A58,SPPR!$A:$A,0),7),""),"")</f>
        <v/>
      </c>
      <c r="K58">
        <f>IFERROR(IF(ISNUMBER(INDEX(SPPR!$E:$Z,MATCH($A58,SPPR!$A:$A,0),8)),$C58*INDEX(SPPR!$E:$Z,MATCH($A58,SPPR!$A:$A,0),8),""),"")</f>
        <v/>
      </c>
      <c r="L58">
        <f>IFERROR(IF(ISNUMBER(INDEX(SPPR!$E:$Z,MATCH($A58,SPPR!$A:$A,0),9)),$C58*INDEX(SPPR!$E:$Z,MATCH($A58,SPPR!$A:$A,0),9),""),"")</f>
        <v/>
      </c>
      <c r="M58">
        <f>IFERROR(IF(ISNUMBER(INDEX(SPPR!$E:$Z,MATCH($A58,SPPR!$A:$A,0),10)),$C58*INDEX(SPPR!$E:$Z,MATCH($A58,SPPR!$A:$A,0),10),""),"")</f>
        <v/>
      </c>
      <c r="N58">
        <f>IFERROR(IF(ISNUMBER(INDEX(SPPR!$E:$Z,MATCH($A58,SPPR!$A:$A,0),11)),$C58*INDEX(SPPR!$E:$Z,MATCH($A58,SPPR!$A:$A,0),11),""),"")</f>
        <v/>
      </c>
      <c r="O58">
        <f>IFERROR(IF(ISNUMBER(INDEX(SPPR!$E:$Z,MATCH($A58,SPPR!$A:$A,0),12)),$C58*INDEX(SPPR!$E:$Z,MATCH($A58,SPPR!$A:$A,0),12),""),"")</f>
        <v/>
      </c>
      <c r="P58">
        <f>IFERROR(IF(ISNUMBER(INDEX(SPPR!$E:$Z,MATCH($A58,SPPR!$A:$A,0),13)),$C58*INDEX(SPPR!$E:$Z,MATCH($A58,SPPR!$A:$A,0),13),""),"")</f>
        <v/>
      </c>
      <c r="Q58">
        <f>IFERROR(IF(ISNUMBER(INDEX(SPPR!$E:$Z,MATCH($A58,SPPR!$A:$A,0),14)),$C58*INDEX(SPPR!$E:$Z,MATCH($A58,SPPR!$A:$A,0),14),""),"")</f>
        <v/>
      </c>
      <c r="R58">
        <f>IFERROR(IF(ISNUMBER(INDEX(SPPR!$E:$Z,MATCH($A58,SPPR!$A:$A,0),15)),$C58*INDEX(SPPR!$E:$Z,MATCH($A58,SPPR!$A:$A,0),15),""),"")</f>
        <v/>
      </c>
      <c r="S58">
        <f>IFERROR(IF(ISNUMBER(INDEX(SPPR!$E:$Z,MATCH($A58,SPPR!$A:$A,0),16)),$C58*INDEX(SPPR!$E:$Z,MATCH($A58,SPPR!$A:$A,0),16),""),"")</f>
        <v/>
      </c>
      <c r="T58">
        <f>IFERROR(IF(ISNUMBER(INDEX(SPPR!$E:$Z,MATCH($A58,SPPR!$A:$A,0),17)),$C58*INDEX(SPPR!$E:$Z,MATCH($A58,SPPR!$A:$A,0),17),""),"")</f>
        <v/>
      </c>
      <c r="U58">
        <f>IFERROR(IF(ISNUMBER(INDEX(SPPR!$E:$Z,MATCH($A58,SPPR!$A:$A,0),18)),$C58*INDEX(SPPR!$E:$Z,MATCH($A58,SPPR!$A:$A,0),18),""),"")</f>
        <v/>
      </c>
      <c r="V58">
        <f>IFERROR(IF(ISNUMBER(INDEX(SPPR!$E:$Z,MATCH($A58,SPPR!$A:$A,0),19)),$C58*INDEX(SPPR!$E:$Z,MATCH($A58,SPPR!$A:$A,0),19),""),"")</f>
        <v/>
      </c>
      <c r="W58">
        <f>IFERROR(IF(ISNUMBER(INDEX(SPPR!$E:$Z,MATCH($A58,SPPR!$A:$A,0),20)),$C58*INDEX(SPPR!$E:$Z,MATCH($A58,SPPR!$A:$A,0),20),""),"")</f>
        <v/>
      </c>
      <c r="X58">
        <f>IFERROR(IF(ISNUMBER(INDEX(SPPR!$E:$Z,MATCH($A58,SPPR!$A:$A,0),21)),$C58*INDEX(SPPR!$E:$Z,MATCH($A58,SPPR!$A:$A,0),21),""),"")</f>
        <v/>
      </c>
      <c r="Y58">
        <f>IFERROR(IF(ISNUMBER(INDEX(SPPR!$E:$Z,MATCH($A58,SPPR!$A:$A,0),22)),$C58*INDEX(SPPR!$E:$Z,MATCH($A58,SPPR!$A:$A,0),22),""),"")</f>
        <v/>
      </c>
    </row>
    <row r="59">
      <c r="A59" t="inlineStr">
        <is>
          <t>Scombroidei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IFERROR(IF(ISNUMBER(INDEX(SPPR!$E:$Z,MATCH($A59,SPPR!$A:$A,0),1)),$C59*INDEX(SPPR!$E:$Z,MATCH($A59,SPPR!$A:$A,0),1),""),"")</f>
        <v/>
      </c>
      <c r="E59">
        <f>IFERROR(IF(ISNUMBER(INDEX(SPPR!$E:$Z,MATCH($A59,SPPR!$A:$A,0),2)),$C59*INDEX(SPPR!$E:$Z,MATCH($A59,SPPR!$A:$A,0),2),""),"")</f>
        <v/>
      </c>
      <c r="F59">
        <f>IFERROR(IF(ISNUMBER(INDEX(SPPR!$E:$Z,MATCH($A59,SPPR!$A:$A,0),3)),$C59*INDEX(SPPR!$E:$Z,MATCH($A59,SPPR!$A:$A,0),3),""),"")</f>
        <v/>
      </c>
      <c r="G59">
        <f>IFERROR(IF(ISNUMBER(INDEX(SPPR!$E:$Z,MATCH($A59,SPPR!$A:$A,0),4)),$C59*INDEX(SPPR!$E:$Z,MATCH($A59,SPPR!$A:$A,0),4),""),"")</f>
        <v/>
      </c>
      <c r="H59">
        <f>IFERROR(IF(ISNUMBER(INDEX(SPPR!$E:$Z,MATCH($A59,SPPR!$A:$A,0),5)),$C59*INDEX(SPPR!$E:$Z,MATCH($A59,SPPR!$A:$A,0),5),""),"")</f>
        <v/>
      </c>
      <c r="I59">
        <f>IFERROR(IF(ISNUMBER(INDEX(SPPR!$E:$Z,MATCH($A59,SPPR!$A:$A,0),6)),$C59*INDEX(SPPR!$E:$Z,MATCH($A59,SPPR!$A:$A,0),6),""),"")</f>
        <v/>
      </c>
      <c r="J59">
        <f>IFERROR(IF(ISNUMBER(INDEX(SPPR!$E:$Z,MATCH($A59,SPPR!$A:$A,0),7)),$C59*INDEX(SPPR!$E:$Z,MATCH($A59,SPPR!$A:$A,0),7),""),"")</f>
        <v/>
      </c>
      <c r="K59">
        <f>IFERROR(IF(ISNUMBER(INDEX(SPPR!$E:$Z,MATCH($A59,SPPR!$A:$A,0),8)),$C59*INDEX(SPPR!$E:$Z,MATCH($A59,SPPR!$A:$A,0),8),""),"")</f>
        <v/>
      </c>
      <c r="L59">
        <f>IFERROR(IF(ISNUMBER(INDEX(SPPR!$E:$Z,MATCH($A59,SPPR!$A:$A,0),9)),$C59*INDEX(SPPR!$E:$Z,MATCH($A59,SPPR!$A:$A,0),9),""),"")</f>
        <v/>
      </c>
      <c r="M59">
        <f>IFERROR(IF(ISNUMBER(INDEX(SPPR!$E:$Z,MATCH($A59,SPPR!$A:$A,0),10)),$C59*INDEX(SPPR!$E:$Z,MATCH($A59,SPPR!$A:$A,0),10),""),"")</f>
        <v/>
      </c>
      <c r="N59">
        <f>IFERROR(IF(ISNUMBER(INDEX(SPPR!$E:$Z,MATCH($A59,SPPR!$A:$A,0),11)),$C59*INDEX(SPPR!$E:$Z,MATCH($A59,SPPR!$A:$A,0),11),""),"")</f>
        <v/>
      </c>
      <c r="O59">
        <f>IFERROR(IF(ISNUMBER(INDEX(SPPR!$E:$Z,MATCH($A59,SPPR!$A:$A,0),12)),$C59*INDEX(SPPR!$E:$Z,MATCH($A59,SPPR!$A:$A,0),12),""),"")</f>
        <v/>
      </c>
      <c r="P59">
        <f>IFERROR(IF(ISNUMBER(INDEX(SPPR!$E:$Z,MATCH($A59,SPPR!$A:$A,0),13)),$C59*INDEX(SPPR!$E:$Z,MATCH($A59,SPPR!$A:$A,0),13),""),"")</f>
        <v/>
      </c>
      <c r="Q59">
        <f>IFERROR(IF(ISNUMBER(INDEX(SPPR!$E:$Z,MATCH($A59,SPPR!$A:$A,0),14)),$C59*INDEX(SPPR!$E:$Z,MATCH($A59,SPPR!$A:$A,0),14),""),"")</f>
        <v/>
      </c>
      <c r="R59">
        <f>IFERROR(IF(ISNUMBER(INDEX(SPPR!$E:$Z,MATCH($A59,SPPR!$A:$A,0),15)),$C59*INDEX(SPPR!$E:$Z,MATCH($A59,SPPR!$A:$A,0),15),""),"")</f>
        <v/>
      </c>
      <c r="S59">
        <f>IFERROR(IF(ISNUMBER(INDEX(SPPR!$E:$Z,MATCH($A59,SPPR!$A:$A,0),16)),$C59*INDEX(SPPR!$E:$Z,MATCH($A59,SPPR!$A:$A,0),16),""),"")</f>
        <v/>
      </c>
      <c r="T59">
        <f>IFERROR(IF(ISNUMBER(INDEX(SPPR!$E:$Z,MATCH($A59,SPPR!$A:$A,0),17)),$C59*INDEX(SPPR!$E:$Z,MATCH($A59,SPPR!$A:$A,0),17),""),"")</f>
        <v/>
      </c>
      <c r="U59">
        <f>IFERROR(IF(ISNUMBER(INDEX(SPPR!$E:$Z,MATCH($A59,SPPR!$A:$A,0),18)),$C59*INDEX(SPPR!$E:$Z,MATCH($A59,SPPR!$A:$A,0),18),""),"")</f>
        <v/>
      </c>
      <c r="V59">
        <f>IFERROR(IF(ISNUMBER(INDEX(SPPR!$E:$Z,MATCH($A59,SPPR!$A:$A,0),19)),$C59*INDEX(SPPR!$E:$Z,MATCH($A59,SPPR!$A:$A,0),19),""),"")</f>
        <v/>
      </c>
      <c r="W59">
        <f>IFERROR(IF(ISNUMBER(INDEX(SPPR!$E:$Z,MATCH($A59,SPPR!$A:$A,0),20)),$C59*INDEX(SPPR!$E:$Z,MATCH($A59,SPPR!$A:$A,0),20),""),"")</f>
        <v/>
      </c>
      <c r="X59">
        <f>IFERROR(IF(ISNUMBER(INDEX(SPPR!$E:$Z,MATCH($A59,SPPR!$A:$A,0),21)),$C59*INDEX(SPPR!$E:$Z,MATCH($A59,SPPR!$A:$A,0),21),""),"")</f>
        <v/>
      </c>
      <c r="Y59">
        <f>IFERROR(IF(ISNUMBER(INDEX(SPPR!$E:$Z,MATCH($A59,SPPR!$A:$A,0),22)),$C59*INDEX(SPPR!$E:$Z,MATCH($A59,SPPR!$A:$A,0),22),""),"")</f>
        <v/>
      </c>
    </row>
    <row r="60">
      <c r="A60" t="inlineStr">
        <is>
          <t>Lutjanidae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IFERROR(IF(ISNUMBER(INDEX(SPPR!$E:$Z,MATCH($A60,SPPR!$A:$A,0),1)),$C60*INDEX(SPPR!$E:$Z,MATCH($A60,SPPR!$A:$A,0),1),""),"")</f>
        <v/>
      </c>
      <c r="E60">
        <f>IFERROR(IF(ISNUMBER(INDEX(SPPR!$E:$Z,MATCH($A60,SPPR!$A:$A,0),2)),$C60*INDEX(SPPR!$E:$Z,MATCH($A60,SPPR!$A:$A,0),2),""),"")</f>
        <v/>
      </c>
      <c r="F60">
        <f>IFERROR(IF(ISNUMBER(INDEX(SPPR!$E:$Z,MATCH($A60,SPPR!$A:$A,0),3)),$C60*INDEX(SPPR!$E:$Z,MATCH($A60,SPPR!$A:$A,0),3),""),"")</f>
        <v/>
      </c>
      <c r="G60">
        <f>IFERROR(IF(ISNUMBER(INDEX(SPPR!$E:$Z,MATCH($A60,SPPR!$A:$A,0),4)),$C60*INDEX(SPPR!$E:$Z,MATCH($A60,SPPR!$A:$A,0),4),""),"")</f>
        <v/>
      </c>
      <c r="H60">
        <f>IFERROR(IF(ISNUMBER(INDEX(SPPR!$E:$Z,MATCH($A60,SPPR!$A:$A,0),5)),$C60*INDEX(SPPR!$E:$Z,MATCH($A60,SPPR!$A:$A,0),5),""),"")</f>
        <v/>
      </c>
      <c r="I60">
        <f>IFERROR(IF(ISNUMBER(INDEX(SPPR!$E:$Z,MATCH($A60,SPPR!$A:$A,0),6)),$C60*INDEX(SPPR!$E:$Z,MATCH($A60,SPPR!$A:$A,0),6),""),"")</f>
        <v/>
      </c>
      <c r="J60">
        <f>IFERROR(IF(ISNUMBER(INDEX(SPPR!$E:$Z,MATCH($A60,SPPR!$A:$A,0),7)),$C60*INDEX(SPPR!$E:$Z,MATCH($A60,SPPR!$A:$A,0),7),""),"")</f>
        <v/>
      </c>
      <c r="K60">
        <f>IFERROR(IF(ISNUMBER(INDEX(SPPR!$E:$Z,MATCH($A60,SPPR!$A:$A,0),8)),$C60*INDEX(SPPR!$E:$Z,MATCH($A60,SPPR!$A:$A,0),8),""),"")</f>
        <v/>
      </c>
      <c r="L60">
        <f>IFERROR(IF(ISNUMBER(INDEX(SPPR!$E:$Z,MATCH($A60,SPPR!$A:$A,0),9)),$C60*INDEX(SPPR!$E:$Z,MATCH($A60,SPPR!$A:$A,0),9),""),"")</f>
        <v/>
      </c>
      <c r="M60">
        <f>IFERROR(IF(ISNUMBER(INDEX(SPPR!$E:$Z,MATCH($A60,SPPR!$A:$A,0),10)),$C60*INDEX(SPPR!$E:$Z,MATCH($A60,SPPR!$A:$A,0),10),""),"")</f>
        <v/>
      </c>
      <c r="N60">
        <f>IFERROR(IF(ISNUMBER(INDEX(SPPR!$E:$Z,MATCH($A60,SPPR!$A:$A,0),11)),$C60*INDEX(SPPR!$E:$Z,MATCH($A60,SPPR!$A:$A,0),11),""),"")</f>
        <v/>
      </c>
      <c r="O60">
        <f>IFERROR(IF(ISNUMBER(INDEX(SPPR!$E:$Z,MATCH($A60,SPPR!$A:$A,0),12)),$C60*INDEX(SPPR!$E:$Z,MATCH($A60,SPPR!$A:$A,0),12),""),"")</f>
        <v/>
      </c>
      <c r="P60">
        <f>IFERROR(IF(ISNUMBER(INDEX(SPPR!$E:$Z,MATCH($A60,SPPR!$A:$A,0),13)),$C60*INDEX(SPPR!$E:$Z,MATCH($A60,SPPR!$A:$A,0),13),""),"")</f>
        <v/>
      </c>
      <c r="Q60">
        <f>IFERROR(IF(ISNUMBER(INDEX(SPPR!$E:$Z,MATCH($A60,SPPR!$A:$A,0),14)),$C60*INDEX(SPPR!$E:$Z,MATCH($A60,SPPR!$A:$A,0),14),""),"")</f>
        <v/>
      </c>
      <c r="R60">
        <f>IFERROR(IF(ISNUMBER(INDEX(SPPR!$E:$Z,MATCH($A60,SPPR!$A:$A,0),15)),$C60*INDEX(SPPR!$E:$Z,MATCH($A60,SPPR!$A:$A,0),15),""),"")</f>
        <v/>
      </c>
      <c r="S60">
        <f>IFERROR(IF(ISNUMBER(INDEX(SPPR!$E:$Z,MATCH($A60,SPPR!$A:$A,0),16)),$C60*INDEX(SPPR!$E:$Z,MATCH($A60,SPPR!$A:$A,0),16),""),"")</f>
        <v/>
      </c>
      <c r="T60">
        <f>IFERROR(IF(ISNUMBER(INDEX(SPPR!$E:$Z,MATCH($A60,SPPR!$A:$A,0),17)),$C60*INDEX(SPPR!$E:$Z,MATCH($A60,SPPR!$A:$A,0),17),""),"")</f>
        <v/>
      </c>
      <c r="U60">
        <f>IFERROR(IF(ISNUMBER(INDEX(SPPR!$E:$Z,MATCH($A60,SPPR!$A:$A,0),18)),$C60*INDEX(SPPR!$E:$Z,MATCH($A60,SPPR!$A:$A,0),18),""),"")</f>
        <v/>
      </c>
      <c r="V60">
        <f>IFERROR(IF(ISNUMBER(INDEX(SPPR!$E:$Z,MATCH($A60,SPPR!$A:$A,0),19)),$C60*INDEX(SPPR!$E:$Z,MATCH($A60,SPPR!$A:$A,0),19),""),"")</f>
        <v/>
      </c>
      <c r="W60">
        <f>IFERROR(IF(ISNUMBER(INDEX(SPPR!$E:$Z,MATCH($A60,SPPR!$A:$A,0),20)),$C60*INDEX(SPPR!$E:$Z,MATCH($A60,SPPR!$A:$A,0),20),""),"")</f>
        <v/>
      </c>
      <c r="X60">
        <f>IFERROR(IF(ISNUMBER(INDEX(SPPR!$E:$Z,MATCH($A60,SPPR!$A:$A,0),21)),$C60*INDEX(SPPR!$E:$Z,MATCH($A60,SPPR!$A:$A,0),21),""),"")</f>
        <v/>
      </c>
      <c r="Y60">
        <f>IFERROR(IF(ISNUMBER(INDEX(SPPR!$E:$Z,MATCH($A60,SPPR!$A:$A,0),22)),$C60*INDEX(SPPR!$E:$Z,MATCH($A60,SPPR!$A:$A,0),22),""),"")</f>
        <v/>
      </c>
    </row>
    <row r="61">
      <c r="A61" t="inlineStr">
        <is>
          <t>Saurida tumbil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IFERROR(IF(ISNUMBER(INDEX(SPPR!$E:$Z,MATCH($A61,SPPR!$A:$A,0),1)),$C61*INDEX(SPPR!$E:$Z,MATCH($A61,SPPR!$A:$A,0),1),""),"")</f>
        <v/>
      </c>
      <c r="E61">
        <f>IFERROR(IF(ISNUMBER(INDEX(SPPR!$E:$Z,MATCH($A61,SPPR!$A:$A,0),2)),$C61*INDEX(SPPR!$E:$Z,MATCH($A61,SPPR!$A:$A,0),2),""),"")</f>
        <v/>
      </c>
      <c r="F61">
        <f>IFERROR(IF(ISNUMBER(INDEX(SPPR!$E:$Z,MATCH($A61,SPPR!$A:$A,0),3)),$C61*INDEX(SPPR!$E:$Z,MATCH($A61,SPPR!$A:$A,0),3),""),"")</f>
        <v/>
      </c>
      <c r="G61">
        <f>IFERROR(IF(ISNUMBER(INDEX(SPPR!$E:$Z,MATCH($A61,SPPR!$A:$A,0),4)),$C61*INDEX(SPPR!$E:$Z,MATCH($A61,SPPR!$A:$A,0),4),""),"")</f>
        <v/>
      </c>
      <c r="H61">
        <f>IFERROR(IF(ISNUMBER(INDEX(SPPR!$E:$Z,MATCH($A61,SPPR!$A:$A,0),5)),$C61*INDEX(SPPR!$E:$Z,MATCH($A61,SPPR!$A:$A,0),5),""),"")</f>
        <v/>
      </c>
      <c r="I61">
        <f>IFERROR(IF(ISNUMBER(INDEX(SPPR!$E:$Z,MATCH($A61,SPPR!$A:$A,0),6)),$C61*INDEX(SPPR!$E:$Z,MATCH($A61,SPPR!$A:$A,0),6),""),"")</f>
        <v/>
      </c>
      <c r="J61">
        <f>IFERROR(IF(ISNUMBER(INDEX(SPPR!$E:$Z,MATCH($A61,SPPR!$A:$A,0),7)),$C61*INDEX(SPPR!$E:$Z,MATCH($A61,SPPR!$A:$A,0),7),""),"")</f>
        <v/>
      </c>
      <c r="K61">
        <f>IFERROR(IF(ISNUMBER(INDEX(SPPR!$E:$Z,MATCH($A61,SPPR!$A:$A,0),8)),$C61*INDEX(SPPR!$E:$Z,MATCH($A61,SPPR!$A:$A,0),8),""),"")</f>
        <v/>
      </c>
      <c r="L61">
        <f>IFERROR(IF(ISNUMBER(INDEX(SPPR!$E:$Z,MATCH($A61,SPPR!$A:$A,0),9)),$C61*INDEX(SPPR!$E:$Z,MATCH($A61,SPPR!$A:$A,0),9),""),"")</f>
        <v/>
      </c>
      <c r="M61">
        <f>IFERROR(IF(ISNUMBER(INDEX(SPPR!$E:$Z,MATCH($A61,SPPR!$A:$A,0),10)),$C61*INDEX(SPPR!$E:$Z,MATCH($A61,SPPR!$A:$A,0),10),""),"")</f>
        <v/>
      </c>
      <c r="N61">
        <f>IFERROR(IF(ISNUMBER(INDEX(SPPR!$E:$Z,MATCH($A61,SPPR!$A:$A,0),11)),$C61*INDEX(SPPR!$E:$Z,MATCH($A61,SPPR!$A:$A,0),11),""),"")</f>
        <v/>
      </c>
      <c r="O61">
        <f>IFERROR(IF(ISNUMBER(INDEX(SPPR!$E:$Z,MATCH($A61,SPPR!$A:$A,0),12)),$C61*INDEX(SPPR!$E:$Z,MATCH($A61,SPPR!$A:$A,0),12),""),"")</f>
        <v/>
      </c>
      <c r="P61">
        <f>IFERROR(IF(ISNUMBER(INDEX(SPPR!$E:$Z,MATCH($A61,SPPR!$A:$A,0),13)),$C61*INDEX(SPPR!$E:$Z,MATCH($A61,SPPR!$A:$A,0),13),""),"")</f>
        <v/>
      </c>
      <c r="Q61">
        <f>IFERROR(IF(ISNUMBER(INDEX(SPPR!$E:$Z,MATCH($A61,SPPR!$A:$A,0),14)),$C61*INDEX(SPPR!$E:$Z,MATCH($A61,SPPR!$A:$A,0),14),""),"")</f>
        <v/>
      </c>
      <c r="R61">
        <f>IFERROR(IF(ISNUMBER(INDEX(SPPR!$E:$Z,MATCH($A61,SPPR!$A:$A,0),15)),$C61*INDEX(SPPR!$E:$Z,MATCH($A61,SPPR!$A:$A,0),15),""),"")</f>
        <v/>
      </c>
      <c r="S61">
        <f>IFERROR(IF(ISNUMBER(INDEX(SPPR!$E:$Z,MATCH($A61,SPPR!$A:$A,0),16)),$C61*INDEX(SPPR!$E:$Z,MATCH($A61,SPPR!$A:$A,0),16),""),"")</f>
        <v/>
      </c>
      <c r="T61">
        <f>IFERROR(IF(ISNUMBER(INDEX(SPPR!$E:$Z,MATCH($A61,SPPR!$A:$A,0),17)),$C61*INDEX(SPPR!$E:$Z,MATCH($A61,SPPR!$A:$A,0),17),""),"")</f>
        <v/>
      </c>
      <c r="U61">
        <f>IFERROR(IF(ISNUMBER(INDEX(SPPR!$E:$Z,MATCH($A61,SPPR!$A:$A,0),18)),$C61*INDEX(SPPR!$E:$Z,MATCH($A61,SPPR!$A:$A,0),18),""),"")</f>
        <v/>
      </c>
      <c r="V61">
        <f>IFERROR(IF(ISNUMBER(INDEX(SPPR!$E:$Z,MATCH($A61,SPPR!$A:$A,0),19)),$C61*INDEX(SPPR!$E:$Z,MATCH($A61,SPPR!$A:$A,0),19),""),"")</f>
        <v/>
      </c>
      <c r="W61">
        <f>IFERROR(IF(ISNUMBER(INDEX(SPPR!$E:$Z,MATCH($A61,SPPR!$A:$A,0),20)),$C61*INDEX(SPPR!$E:$Z,MATCH($A61,SPPR!$A:$A,0),20),""),"")</f>
        <v/>
      </c>
      <c r="X61">
        <f>IFERROR(IF(ISNUMBER(INDEX(SPPR!$E:$Z,MATCH($A61,SPPR!$A:$A,0),21)),$C61*INDEX(SPPR!$E:$Z,MATCH($A61,SPPR!$A:$A,0),21),""),"")</f>
        <v/>
      </c>
      <c r="Y61">
        <f>IFERROR(IF(ISNUMBER(INDEX(SPPR!$E:$Z,MATCH($A61,SPPR!$A:$A,0),22)),$C61*INDEX(SPPR!$E:$Z,MATCH($A61,SPPR!$A:$A,0),22),""),"")</f>
        <v/>
      </c>
    </row>
    <row r="62">
      <c r="A62" t="inlineStr">
        <is>
          <t>Scolopsis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IFERROR(IF(ISNUMBER(INDEX(SPPR!$E:$Z,MATCH($A62,SPPR!$A:$A,0),1)),$C62*INDEX(SPPR!$E:$Z,MATCH($A62,SPPR!$A:$A,0),1),""),"")</f>
        <v/>
      </c>
      <c r="E62">
        <f>IFERROR(IF(ISNUMBER(INDEX(SPPR!$E:$Z,MATCH($A62,SPPR!$A:$A,0),2)),$C62*INDEX(SPPR!$E:$Z,MATCH($A62,SPPR!$A:$A,0),2),""),"")</f>
        <v/>
      </c>
      <c r="F62">
        <f>IFERROR(IF(ISNUMBER(INDEX(SPPR!$E:$Z,MATCH($A62,SPPR!$A:$A,0),3)),$C62*INDEX(SPPR!$E:$Z,MATCH($A62,SPPR!$A:$A,0),3),""),"")</f>
        <v/>
      </c>
      <c r="G62">
        <f>IFERROR(IF(ISNUMBER(INDEX(SPPR!$E:$Z,MATCH($A62,SPPR!$A:$A,0),4)),$C62*INDEX(SPPR!$E:$Z,MATCH($A62,SPPR!$A:$A,0),4),""),"")</f>
        <v/>
      </c>
      <c r="H62">
        <f>IFERROR(IF(ISNUMBER(INDEX(SPPR!$E:$Z,MATCH($A62,SPPR!$A:$A,0),5)),$C62*INDEX(SPPR!$E:$Z,MATCH($A62,SPPR!$A:$A,0),5),""),"")</f>
        <v/>
      </c>
      <c r="I62">
        <f>IFERROR(IF(ISNUMBER(INDEX(SPPR!$E:$Z,MATCH($A62,SPPR!$A:$A,0),6)),$C62*INDEX(SPPR!$E:$Z,MATCH($A62,SPPR!$A:$A,0),6),""),"")</f>
        <v/>
      </c>
      <c r="J62">
        <f>IFERROR(IF(ISNUMBER(INDEX(SPPR!$E:$Z,MATCH($A62,SPPR!$A:$A,0),7)),$C62*INDEX(SPPR!$E:$Z,MATCH($A62,SPPR!$A:$A,0),7),""),"")</f>
        <v/>
      </c>
      <c r="K62">
        <f>IFERROR(IF(ISNUMBER(INDEX(SPPR!$E:$Z,MATCH($A62,SPPR!$A:$A,0),8)),$C62*INDEX(SPPR!$E:$Z,MATCH($A62,SPPR!$A:$A,0),8),""),"")</f>
        <v/>
      </c>
      <c r="L62">
        <f>IFERROR(IF(ISNUMBER(INDEX(SPPR!$E:$Z,MATCH($A62,SPPR!$A:$A,0),9)),$C62*INDEX(SPPR!$E:$Z,MATCH($A62,SPPR!$A:$A,0),9),""),"")</f>
        <v/>
      </c>
      <c r="M62">
        <f>IFERROR(IF(ISNUMBER(INDEX(SPPR!$E:$Z,MATCH($A62,SPPR!$A:$A,0),10)),$C62*INDEX(SPPR!$E:$Z,MATCH($A62,SPPR!$A:$A,0),10),""),"")</f>
        <v/>
      </c>
      <c r="N62">
        <f>IFERROR(IF(ISNUMBER(INDEX(SPPR!$E:$Z,MATCH($A62,SPPR!$A:$A,0),11)),$C62*INDEX(SPPR!$E:$Z,MATCH($A62,SPPR!$A:$A,0),11),""),"")</f>
        <v/>
      </c>
      <c r="O62">
        <f>IFERROR(IF(ISNUMBER(INDEX(SPPR!$E:$Z,MATCH($A62,SPPR!$A:$A,0),12)),$C62*INDEX(SPPR!$E:$Z,MATCH($A62,SPPR!$A:$A,0),12),""),"")</f>
        <v/>
      </c>
      <c r="P62">
        <f>IFERROR(IF(ISNUMBER(INDEX(SPPR!$E:$Z,MATCH($A62,SPPR!$A:$A,0),13)),$C62*INDEX(SPPR!$E:$Z,MATCH($A62,SPPR!$A:$A,0),13),""),"")</f>
        <v/>
      </c>
      <c r="Q62">
        <f>IFERROR(IF(ISNUMBER(INDEX(SPPR!$E:$Z,MATCH($A62,SPPR!$A:$A,0),14)),$C62*INDEX(SPPR!$E:$Z,MATCH($A62,SPPR!$A:$A,0),14),""),"")</f>
        <v/>
      </c>
      <c r="R62">
        <f>IFERROR(IF(ISNUMBER(INDEX(SPPR!$E:$Z,MATCH($A62,SPPR!$A:$A,0),15)),$C62*INDEX(SPPR!$E:$Z,MATCH($A62,SPPR!$A:$A,0),15),""),"")</f>
        <v/>
      </c>
      <c r="S62">
        <f>IFERROR(IF(ISNUMBER(INDEX(SPPR!$E:$Z,MATCH($A62,SPPR!$A:$A,0),16)),$C62*INDEX(SPPR!$E:$Z,MATCH($A62,SPPR!$A:$A,0),16),""),"")</f>
        <v/>
      </c>
      <c r="T62">
        <f>IFERROR(IF(ISNUMBER(INDEX(SPPR!$E:$Z,MATCH($A62,SPPR!$A:$A,0),17)),$C62*INDEX(SPPR!$E:$Z,MATCH($A62,SPPR!$A:$A,0),17),""),"")</f>
        <v/>
      </c>
      <c r="U62">
        <f>IFERROR(IF(ISNUMBER(INDEX(SPPR!$E:$Z,MATCH($A62,SPPR!$A:$A,0),18)),$C62*INDEX(SPPR!$E:$Z,MATCH($A62,SPPR!$A:$A,0),18),""),"")</f>
        <v/>
      </c>
      <c r="V62">
        <f>IFERROR(IF(ISNUMBER(INDEX(SPPR!$E:$Z,MATCH($A62,SPPR!$A:$A,0),19)),$C62*INDEX(SPPR!$E:$Z,MATCH($A62,SPPR!$A:$A,0),19),""),"")</f>
        <v/>
      </c>
      <c r="W62">
        <f>IFERROR(IF(ISNUMBER(INDEX(SPPR!$E:$Z,MATCH($A62,SPPR!$A:$A,0),20)),$C62*INDEX(SPPR!$E:$Z,MATCH($A62,SPPR!$A:$A,0),20),""),"")</f>
        <v/>
      </c>
      <c r="X62">
        <f>IFERROR(IF(ISNUMBER(INDEX(SPPR!$E:$Z,MATCH($A62,SPPR!$A:$A,0),21)),$C62*INDEX(SPPR!$E:$Z,MATCH($A62,SPPR!$A:$A,0),21),""),"")</f>
        <v/>
      </c>
      <c r="Y62">
        <f>IFERROR(IF(ISNUMBER(INDEX(SPPR!$E:$Z,MATCH($A62,SPPR!$A:$A,0),22)),$C62*INDEX(SPPR!$E:$Z,MATCH($A62,SPPR!$A:$A,0),22),""),"")</f>
        <v/>
      </c>
    </row>
    <row r="63">
      <c r="A63" t="inlineStr">
        <is>
          <t>Sepia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IFERROR(IF(ISNUMBER(INDEX(SPPR!$E:$Z,MATCH($A63,SPPR!$A:$A,0),1)),$C63*INDEX(SPPR!$E:$Z,MATCH($A63,SPPR!$A:$A,0),1),""),"")</f>
        <v/>
      </c>
      <c r="E63">
        <f>IFERROR(IF(ISNUMBER(INDEX(SPPR!$E:$Z,MATCH($A63,SPPR!$A:$A,0),2)),$C63*INDEX(SPPR!$E:$Z,MATCH($A63,SPPR!$A:$A,0),2),""),"")</f>
        <v/>
      </c>
      <c r="F63">
        <f>IFERROR(IF(ISNUMBER(INDEX(SPPR!$E:$Z,MATCH($A63,SPPR!$A:$A,0),3)),$C63*INDEX(SPPR!$E:$Z,MATCH($A63,SPPR!$A:$A,0),3),""),"")</f>
        <v/>
      </c>
      <c r="G63">
        <f>IFERROR(IF(ISNUMBER(INDEX(SPPR!$E:$Z,MATCH($A63,SPPR!$A:$A,0),4)),$C63*INDEX(SPPR!$E:$Z,MATCH($A63,SPPR!$A:$A,0),4),""),"")</f>
        <v/>
      </c>
      <c r="H63">
        <f>IFERROR(IF(ISNUMBER(INDEX(SPPR!$E:$Z,MATCH($A63,SPPR!$A:$A,0),5)),$C63*INDEX(SPPR!$E:$Z,MATCH($A63,SPPR!$A:$A,0),5),""),"")</f>
        <v/>
      </c>
      <c r="I63">
        <f>IFERROR(IF(ISNUMBER(INDEX(SPPR!$E:$Z,MATCH($A63,SPPR!$A:$A,0),6)),$C63*INDEX(SPPR!$E:$Z,MATCH($A63,SPPR!$A:$A,0),6),""),"")</f>
        <v/>
      </c>
      <c r="J63">
        <f>IFERROR(IF(ISNUMBER(INDEX(SPPR!$E:$Z,MATCH($A63,SPPR!$A:$A,0),7)),$C63*INDEX(SPPR!$E:$Z,MATCH($A63,SPPR!$A:$A,0),7),""),"")</f>
        <v/>
      </c>
      <c r="K63">
        <f>IFERROR(IF(ISNUMBER(INDEX(SPPR!$E:$Z,MATCH($A63,SPPR!$A:$A,0),8)),$C63*INDEX(SPPR!$E:$Z,MATCH($A63,SPPR!$A:$A,0),8),""),"")</f>
        <v/>
      </c>
      <c r="L63">
        <f>IFERROR(IF(ISNUMBER(INDEX(SPPR!$E:$Z,MATCH($A63,SPPR!$A:$A,0),9)),$C63*INDEX(SPPR!$E:$Z,MATCH($A63,SPPR!$A:$A,0),9),""),"")</f>
        <v/>
      </c>
      <c r="M63">
        <f>IFERROR(IF(ISNUMBER(INDEX(SPPR!$E:$Z,MATCH($A63,SPPR!$A:$A,0),10)),$C63*INDEX(SPPR!$E:$Z,MATCH($A63,SPPR!$A:$A,0),10),""),"")</f>
        <v/>
      </c>
      <c r="N63">
        <f>IFERROR(IF(ISNUMBER(INDEX(SPPR!$E:$Z,MATCH($A63,SPPR!$A:$A,0),11)),$C63*INDEX(SPPR!$E:$Z,MATCH($A63,SPPR!$A:$A,0),11),""),"")</f>
        <v/>
      </c>
      <c r="O63">
        <f>IFERROR(IF(ISNUMBER(INDEX(SPPR!$E:$Z,MATCH($A63,SPPR!$A:$A,0),12)),$C63*INDEX(SPPR!$E:$Z,MATCH($A63,SPPR!$A:$A,0),12),""),"")</f>
        <v/>
      </c>
      <c r="P63">
        <f>IFERROR(IF(ISNUMBER(INDEX(SPPR!$E:$Z,MATCH($A63,SPPR!$A:$A,0),13)),$C63*INDEX(SPPR!$E:$Z,MATCH($A63,SPPR!$A:$A,0),13),""),"")</f>
        <v/>
      </c>
      <c r="Q63">
        <f>IFERROR(IF(ISNUMBER(INDEX(SPPR!$E:$Z,MATCH($A63,SPPR!$A:$A,0),14)),$C63*INDEX(SPPR!$E:$Z,MATCH($A63,SPPR!$A:$A,0),14),""),"")</f>
        <v/>
      </c>
      <c r="R63">
        <f>IFERROR(IF(ISNUMBER(INDEX(SPPR!$E:$Z,MATCH($A63,SPPR!$A:$A,0),15)),$C63*INDEX(SPPR!$E:$Z,MATCH($A63,SPPR!$A:$A,0),15),""),"")</f>
        <v/>
      </c>
      <c r="S63">
        <f>IFERROR(IF(ISNUMBER(INDEX(SPPR!$E:$Z,MATCH($A63,SPPR!$A:$A,0),16)),$C63*INDEX(SPPR!$E:$Z,MATCH($A63,SPPR!$A:$A,0),16),""),"")</f>
        <v/>
      </c>
      <c r="T63">
        <f>IFERROR(IF(ISNUMBER(INDEX(SPPR!$E:$Z,MATCH($A63,SPPR!$A:$A,0),17)),$C63*INDEX(SPPR!$E:$Z,MATCH($A63,SPPR!$A:$A,0),17),""),"")</f>
        <v/>
      </c>
      <c r="U63">
        <f>IFERROR(IF(ISNUMBER(INDEX(SPPR!$E:$Z,MATCH($A63,SPPR!$A:$A,0),18)),$C63*INDEX(SPPR!$E:$Z,MATCH($A63,SPPR!$A:$A,0),18),""),"")</f>
        <v/>
      </c>
      <c r="V63">
        <f>IFERROR(IF(ISNUMBER(INDEX(SPPR!$E:$Z,MATCH($A63,SPPR!$A:$A,0),19)),$C63*INDEX(SPPR!$E:$Z,MATCH($A63,SPPR!$A:$A,0),19),""),"")</f>
        <v/>
      </c>
      <c r="W63">
        <f>IFERROR(IF(ISNUMBER(INDEX(SPPR!$E:$Z,MATCH($A63,SPPR!$A:$A,0),20)),$C63*INDEX(SPPR!$E:$Z,MATCH($A63,SPPR!$A:$A,0),20),""),"")</f>
        <v/>
      </c>
      <c r="X63">
        <f>IFERROR(IF(ISNUMBER(INDEX(SPPR!$E:$Z,MATCH($A63,SPPR!$A:$A,0),21)),$C63*INDEX(SPPR!$E:$Z,MATCH($A63,SPPR!$A:$A,0),21),""),"")</f>
        <v/>
      </c>
      <c r="Y63">
        <f>IFERROR(IF(ISNUMBER(INDEX(SPPR!$E:$Z,MATCH($A63,SPPR!$A:$A,0),22)),$C63*INDEX(SPPR!$E:$Z,MATCH($A63,SPPR!$A:$A,0),22),""),"")</f>
        <v/>
      </c>
    </row>
    <row r="64">
      <c r="A64" t="inlineStr">
        <is>
          <t>Portunus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IFERROR(IF(ISNUMBER(INDEX(SPPR!$E:$Z,MATCH($A64,SPPR!$A:$A,0),1)),$C64*INDEX(SPPR!$E:$Z,MATCH($A64,SPPR!$A:$A,0),1),""),"")</f>
        <v/>
      </c>
      <c r="E64">
        <f>IFERROR(IF(ISNUMBER(INDEX(SPPR!$E:$Z,MATCH($A64,SPPR!$A:$A,0),2)),$C64*INDEX(SPPR!$E:$Z,MATCH($A64,SPPR!$A:$A,0),2),""),"")</f>
        <v/>
      </c>
      <c r="F64">
        <f>IFERROR(IF(ISNUMBER(INDEX(SPPR!$E:$Z,MATCH($A64,SPPR!$A:$A,0),3)),$C64*INDEX(SPPR!$E:$Z,MATCH($A64,SPPR!$A:$A,0),3),""),"")</f>
        <v/>
      </c>
      <c r="G64">
        <f>IFERROR(IF(ISNUMBER(INDEX(SPPR!$E:$Z,MATCH($A64,SPPR!$A:$A,0),4)),$C64*INDEX(SPPR!$E:$Z,MATCH($A64,SPPR!$A:$A,0),4),""),"")</f>
        <v/>
      </c>
      <c r="H64">
        <f>IFERROR(IF(ISNUMBER(INDEX(SPPR!$E:$Z,MATCH($A64,SPPR!$A:$A,0),5)),$C64*INDEX(SPPR!$E:$Z,MATCH($A64,SPPR!$A:$A,0),5),""),"")</f>
        <v/>
      </c>
      <c r="I64">
        <f>IFERROR(IF(ISNUMBER(INDEX(SPPR!$E:$Z,MATCH($A64,SPPR!$A:$A,0),6)),$C64*INDEX(SPPR!$E:$Z,MATCH($A64,SPPR!$A:$A,0),6),""),"")</f>
        <v/>
      </c>
      <c r="J64">
        <f>IFERROR(IF(ISNUMBER(INDEX(SPPR!$E:$Z,MATCH($A64,SPPR!$A:$A,0),7)),$C64*INDEX(SPPR!$E:$Z,MATCH($A64,SPPR!$A:$A,0),7),""),"")</f>
        <v/>
      </c>
      <c r="K64">
        <f>IFERROR(IF(ISNUMBER(INDEX(SPPR!$E:$Z,MATCH($A64,SPPR!$A:$A,0),8)),$C64*INDEX(SPPR!$E:$Z,MATCH($A64,SPPR!$A:$A,0),8),""),"")</f>
        <v/>
      </c>
      <c r="L64">
        <f>IFERROR(IF(ISNUMBER(INDEX(SPPR!$E:$Z,MATCH($A64,SPPR!$A:$A,0),9)),$C64*INDEX(SPPR!$E:$Z,MATCH($A64,SPPR!$A:$A,0),9),""),"")</f>
        <v/>
      </c>
      <c r="M64">
        <f>IFERROR(IF(ISNUMBER(INDEX(SPPR!$E:$Z,MATCH($A64,SPPR!$A:$A,0),10)),$C64*INDEX(SPPR!$E:$Z,MATCH($A64,SPPR!$A:$A,0),10),""),"")</f>
        <v/>
      </c>
      <c r="N64">
        <f>IFERROR(IF(ISNUMBER(INDEX(SPPR!$E:$Z,MATCH($A64,SPPR!$A:$A,0),11)),$C64*INDEX(SPPR!$E:$Z,MATCH($A64,SPPR!$A:$A,0),11),""),"")</f>
        <v/>
      </c>
      <c r="O64">
        <f>IFERROR(IF(ISNUMBER(INDEX(SPPR!$E:$Z,MATCH($A64,SPPR!$A:$A,0),12)),$C64*INDEX(SPPR!$E:$Z,MATCH($A64,SPPR!$A:$A,0),12),""),"")</f>
        <v/>
      </c>
      <c r="P64">
        <f>IFERROR(IF(ISNUMBER(INDEX(SPPR!$E:$Z,MATCH($A64,SPPR!$A:$A,0),13)),$C64*INDEX(SPPR!$E:$Z,MATCH($A64,SPPR!$A:$A,0),13),""),"")</f>
        <v/>
      </c>
      <c r="Q64">
        <f>IFERROR(IF(ISNUMBER(INDEX(SPPR!$E:$Z,MATCH($A64,SPPR!$A:$A,0),14)),$C64*INDEX(SPPR!$E:$Z,MATCH($A64,SPPR!$A:$A,0),14),""),"")</f>
        <v/>
      </c>
      <c r="R64">
        <f>IFERROR(IF(ISNUMBER(INDEX(SPPR!$E:$Z,MATCH($A64,SPPR!$A:$A,0),15)),$C64*INDEX(SPPR!$E:$Z,MATCH($A64,SPPR!$A:$A,0),15),""),"")</f>
        <v/>
      </c>
      <c r="S64">
        <f>IFERROR(IF(ISNUMBER(INDEX(SPPR!$E:$Z,MATCH($A64,SPPR!$A:$A,0),16)),$C64*INDEX(SPPR!$E:$Z,MATCH($A64,SPPR!$A:$A,0),16),""),"")</f>
        <v/>
      </c>
      <c r="T64">
        <f>IFERROR(IF(ISNUMBER(INDEX(SPPR!$E:$Z,MATCH($A64,SPPR!$A:$A,0),17)),$C64*INDEX(SPPR!$E:$Z,MATCH($A64,SPPR!$A:$A,0),17),""),"")</f>
        <v/>
      </c>
      <c r="U64">
        <f>IFERROR(IF(ISNUMBER(INDEX(SPPR!$E:$Z,MATCH($A64,SPPR!$A:$A,0),18)),$C64*INDEX(SPPR!$E:$Z,MATCH($A64,SPPR!$A:$A,0),18),""),"")</f>
        <v/>
      </c>
      <c r="V64">
        <f>IFERROR(IF(ISNUMBER(INDEX(SPPR!$E:$Z,MATCH($A64,SPPR!$A:$A,0),19)),$C64*INDEX(SPPR!$E:$Z,MATCH($A64,SPPR!$A:$A,0),19),""),"")</f>
        <v/>
      </c>
      <c r="W64">
        <f>IFERROR(IF(ISNUMBER(INDEX(SPPR!$E:$Z,MATCH($A64,SPPR!$A:$A,0),20)),$C64*INDEX(SPPR!$E:$Z,MATCH($A64,SPPR!$A:$A,0),20),""),"")</f>
        <v/>
      </c>
      <c r="X64">
        <f>IFERROR(IF(ISNUMBER(INDEX(SPPR!$E:$Z,MATCH($A64,SPPR!$A:$A,0),21)),$C64*INDEX(SPPR!$E:$Z,MATCH($A64,SPPR!$A:$A,0),21),""),"")</f>
        <v/>
      </c>
      <c r="Y64">
        <f>IFERROR(IF(ISNUMBER(INDEX(SPPR!$E:$Z,MATCH($A64,SPPR!$A:$A,0),22)),$C64*INDEX(SPPR!$E:$Z,MATCH($A64,SPPR!$A:$A,0),22),""),"")</f>
        <v/>
      </c>
    </row>
    <row r="65">
      <c r="A65" t="inlineStr">
        <is>
          <t>Parastromateus niger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IFERROR(IF(ISNUMBER(INDEX(SPPR!$E:$Z,MATCH($A65,SPPR!$A:$A,0),1)),$C65*INDEX(SPPR!$E:$Z,MATCH($A65,SPPR!$A:$A,0),1),""),"")</f>
        <v/>
      </c>
      <c r="E65">
        <f>IFERROR(IF(ISNUMBER(INDEX(SPPR!$E:$Z,MATCH($A65,SPPR!$A:$A,0),2)),$C65*INDEX(SPPR!$E:$Z,MATCH($A65,SPPR!$A:$A,0),2),""),"")</f>
        <v/>
      </c>
      <c r="F65">
        <f>IFERROR(IF(ISNUMBER(INDEX(SPPR!$E:$Z,MATCH($A65,SPPR!$A:$A,0),3)),$C65*INDEX(SPPR!$E:$Z,MATCH($A65,SPPR!$A:$A,0),3),""),"")</f>
        <v/>
      </c>
      <c r="G65">
        <f>IFERROR(IF(ISNUMBER(INDEX(SPPR!$E:$Z,MATCH($A65,SPPR!$A:$A,0),4)),$C65*INDEX(SPPR!$E:$Z,MATCH($A65,SPPR!$A:$A,0),4),""),"")</f>
        <v/>
      </c>
      <c r="H65">
        <f>IFERROR(IF(ISNUMBER(INDEX(SPPR!$E:$Z,MATCH($A65,SPPR!$A:$A,0),5)),$C65*INDEX(SPPR!$E:$Z,MATCH($A65,SPPR!$A:$A,0),5),""),"")</f>
        <v/>
      </c>
      <c r="I65">
        <f>IFERROR(IF(ISNUMBER(INDEX(SPPR!$E:$Z,MATCH($A65,SPPR!$A:$A,0),6)),$C65*INDEX(SPPR!$E:$Z,MATCH($A65,SPPR!$A:$A,0),6),""),"")</f>
        <v/>
      </c>
      <c r="J65">
        <f>IFERROR(IF(ISNUMBER(INDEX(SPPR!$E:$Z,MATCH($A65,SPPR!$A:$A,0),7)),$C65*INDEX(SPPR!$E:$Z,MATCH($A65,SPPR!$A:$A,0),7),""),"")</f>
        <v/>
      </c>
      <c r="K65">
        <f>IFERROR(IF(ISNUMBER(INDEX(SPPR!$E:$Z,MATCH($A65,SPPR!$A:$A,0),8)),$C65*INDEX(SPPR!$E:$Z,MATCH($A65,SPPR!$A:$A,0),8),""),"")</f>
        <v/>
      </c>
      <c r="L65">
        <f>IFERROR(IF(ISNUMBER(INDEX(SPPR!$E:$Z,MATCH($A65,SPPR!$A:$A,0),9)),$C65*INDEX(SPPR!$E:$Z,MATCH($A65,SPPR!$A:$A,0),9),""),"")</f>
        <v/>
      </c>
      <c r="M65">
        <f>IFERROR(IF(ISNUMBER(INDEX(SPPR!$E:$Z,MATCH($A65,SPPR!$A:$A,0),10)),$C65*INDEX(SPPR!$E:$Z,MATCH($A65,SPPR!$A:$A,0),10),""),"")</f>
        <v/>
      </c>
      <c r="N65">
        <f>IFERROR(IF(ISNUMBER(INDEX(SPPR!$E:$Z,MATCH($A65,SPPR!$A:$A,0),11)),$C65*INDEX(SPPR!$E:$Z,MATCH($A65,SPPR!$A:$A,0),11),""),"")</f>
        <v/>
      </c>
      <c r="O65">
        <f>IFERROR(IF(ISNUMBER(INDEX(SPPR!$E:$Z,MATCH($A65,SPPR!$A:$A,0),12)),$C65*INDEX(SPPR!$E:$Z,MATCH($A65,SPPR!$A:$A,0),12),""),"")</f>
        <v/>
      </c>
      <c r="P65">
        <f>IFERROR(IF(ISNUMBER(INDEX(SPPR!$E:$Z,MATCH($A65,SPPR!$A:$A,0),13)),$C65*INDEX(SPPR!$E:$Z,MATCH($A65,SPPR!$A:$A,0),13),""),"")</f>
        <v/>
      </c>
      <c r="Q65">
        <f>IFERROR(IF(ISNUMBER(INDEX(SPPR!$E:$Z,MATCH($A65,SPPR!$A:$A,0),14)),$C65*INDEX(SPPR!$E:$Z,MATCH($A65,SPPR!$A:$A,0),14),""),"")</f>
        <v/>
      </c>
      <c r="R65">
        <f>IFERROR(IF(ISNUMBER(INDEX(SPPR!$E:$Z,MATCH($A65,SPPR!$A:$A,0),15)),$C65*INDEX(SPPR!$E:$Z,MATCH($A65,SPPR!$A:$A,0),15),""),"")</f>
        <v/>
      </c>
      <c r="S65">
        <f>IFERROR(IF(ISNUMBER(INDEX(SPPR!$E:$Z,MATCH($A65,SPPR!$A:$A,0),16)),$C65*INDEX(SPPR!$E:$Z,MATCH($A65,SPPR!$A:$A,0),16),""),"")</f>
        <v/>
      </c>
      <c r="T65">
        <f>IFERROR(IF(ISNUMBER(INDEX(SPPR!$E:$Z,MATCH($A65,SPPR!$A:$A,0),17)),$C65*INDEX(SPPR!$E:$Z,MATCH($A65,SPPR!$A:$A,0),17),""),"")</f>
        <v/>
      </c>
      <c r="U65">
        <f>IFERROR(IF(ISNUMBER(INDEX(SPPR!$E:$Z,MATCH($A65,SPPR!$A:$A,0),18)),$C65*INDEX(SPPR!$E:$Z,MATCH($A65,SPPR!$A:$A,0),18),""),"")</f>
        <v/>
      </c>
      <c r="V65">
        <f>IFERROR(IF(ISNUMBER(INDEX(SPPR!$E:$Z,MATCH($A65,SPPR!$A:$A,0),19)),$C65*INDEX(SPPR!$E:$Z,MATCH($A65,SPPR!$A:$A,0),19),""),"")</f>
        <v/>
      </c>
      <c r="W65">
        <f>IFERROR(IF(ISNUMBER(INDEX(SPPR!$E:$Z,MATCH($A65,SPPR!$A:$A,0),20)),$C65*INDEX(SPPR!$E:$Z,MATCH($A65,SPPR!$A:$A,0),20),""),"")</f>
        <v/>
      </c>
      <c r="X65">
        <f>IFERROR(IF(ISNUMBER(INDEX(SPPR!$E:$Z,MATCH($A65,SPPR!$A:$A,0),21)),$C65*INDEX(SPPR!$E:$Z,MATCH($A65,SPPR!$A:$A,0),21),""),"")</f>
        <v/>
      </c>
      <c r="Y65">
        <f>IFERROR(IF(ISNUMBER(INDEX(SPPR!$E:$Z,MATCH($A65,SPPR!$A:$A,0),22)),$C65*INDEX(SPPR!$E:$Z,MATCH($A65,SPPR!$A:$A,0),22),""),"")</f>
        <v/>
      </c>
    </row>
    <row r="66">
      <c r="A66" t="inlineStr">
        <is>
          <t>Himantura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IFERROR(IF(ISNUMBER(INDEX(SPPR!$E:$Z,MATCH($A66,SPPR!$A:$A,0),1)),$C66*INDEX(SPPR!$E:$Z,MATCH($A66,SPPR!$A:$A,0),1),""),"")</f>
        <v/>
      </c>
      <c r="E66">
        <f>IFERROR(IF(ISNUMBER(INDEX(SPPR!$E:$Z,MATCH($A66,SPPR!$A:$A,0),2)),$C66*INDEX(SPPR!$E:$Z,MATCH($A66,SPPR!$A:$A,0),2),""),"")</f>
        <v/>
      </c>
      <c r="F66">
        <f>IFERROR(IF(ISNUMBER(INDEX(SPPR!$E:$Z,MATCH($A66,SPPR!$A:$A,0),3)),$C66*INDEX(SPPR!$E:$Z,MATCH($A66,SPPR!$A:$A,0),3),""),"")</f>
        <v/>
      </c>
      <c r="G66">
        <f>IFERROR(IF(ISNUMBER(INDEX(SPPR!$E:$Z,MATCH($A66,SPPR!$A:$A,0),4)),$C66*INDEX(SPPR!$E:$Z,MATCH($A66,SPPR!$A:$A,0),4),""),"")</f>
        <v/>
      </c>
      <c r="H66">
        <f>IFERROR(IF(ISNUMBER(INDEX(SPPR!$E:$Z,MATCH($A66,SPPR!$A:$A,0),5)),$C66*INDEX(SPPR!$E:$Z,MATCH($A66,SPPR!$A:$A,0),5),""),"")</f>
        <v/>
      </c>
      <c r="I66">
        <f>IFERROR(IF(ISNUMBER(INDEX(SPPR!$E:$Z,MATCH($A66,SPPR!$A:$A,0),6)),$C66*INDEX(SPPR!$E:$Z,MATCH($A66,SPPR!$A:$A,0),6),""),"")</f>
        <v/>
      </c>
      <c r="J66">
        <f>IFERROR(IF(ISNUMBER(INDEX(SPPR!$E:$Z,MATCH($A66,SPPR!$A:$A,0),7)),$C66*INDEX(SPPR!$E:$Z,MATCH($A66,SPPR!$A:$A,0),7),""),"")</f>
        <v/>
      </c>
      <c r="K66">
        <f>IFERROR(IF(ISNUMBER(INDEX(SPPR!$E:$Z,MATCH($A66,SPPR!$A:$A,0),8)),$C66*INDEX(SPPR!$E:$Z,MATCH($A66,SPPR!$A:$A,0),8),""),"")</f>
        <v/>
      </c>
      <c r="L66">
        <f>IFERROR(IF(ISNUMBER(INDEX(SPPR!$E:$Z,MATCH($A66,SPPR!$A:$A,0),9)),$C66*INDEX(SPPR!$E:$Z,MATCH($A66,SPPR!$A:$A,0),9),""),"")</f>
        <v/>
      </c>
      <c r="M66">
        <f>IFERROR(IF(ISNUMBER(INDEX(SPPR!$E:$Z,MATCH($A66,SPPR!$A:$A,0),10)),$C66*INDEX(SPPR!$E:$Z,MATCH($A66,SPPR!$A:$A,0),10),""),"")</f>
        <v/>
      </c>
      <c r="N66">
        <f>IFERROR(IF(ISNUMBER(INDEX(SPPR!$E:$Z,MATCH($A66,SPPR!$A:$A,0),11)),$C66*INDEX(SPPR!$E:$Z,MATCH($A66,SPPR!$A:$A,0),11),""),"")</f>
        <v/>
      </c>
      <c r="O66">
        <f>IFERROR(IF(ISNUMBER(INDEX(SPPR!$E:$Z,MATCH($A66,SPPR!$A:$A,0),12)),$C66*INDEX(SPPR!$E:$Z,MATCH($A66,SPPR!$A:$A,0),12),""),"")</f>
        <v/>
      </c>
      <c r="P66">
        <f>IFERROR(IF(ISNUMBER(INDEX(SPPR!$E:$Z,MATCH($A66,SPPR!$A:$A,0),13)),$C66*INDEX(SPPR!$E:$Z,MATCH($A66,SPPR!$A:$A,0),13),""),"")</f>
        <v/>
      </c>
      <c r="Q66">
        <f>IFERROR(IF(ISNUMBER(INDEX(SPPR!$E:$Z,MATCH($A66,SPPR!$A:$A,0),14)),$C66*INDEX(SPPR!$E:$Z,MATCH($A66,SPPR!$A:$A,0),14),""),"")</f>
        <v/>
      </c>
      <c r="R66">
        <f>IFERROR(IF(ISNUMBER(INDEX(SPPR!$E:$Z,MATCH($A66,SPPR!$A:$A,0),15)),$C66*INDEX(SPPR!$E:$Z,MATCH($A66,SPPR!$A:$A,0),15),""),"")</f>
        <v/>
      </c>
      <c r="S66">
        <f>IFERROR(IF(ISNUMBER(INDEX(SPPR!$E:$Z,MATCH($A66,SPPR!$A:$A,0),16)),$C66*INDEX(SPPR!$E:$Z,MATCH($A66,SPPR!$A:$A,0),16),""),"")</f>
        <v/>
      </c>
      <c r="T66">
        <f>IFERROR(IF(ISNUMBER(INDEX(SPPR!$E:$Z,MATCH($A66,SPPR!$A:$A,0),17)),$C66*INDEX(SPPR!$E:$Z,MATCH($A66,SPPR!$A:$A,0),17),""),"")</f>
        <v/>
      </c>
      <c r="U66">
        <f>IFERROR(IF(ISNUMBER(INDEX(SPPR!$E:$Z,MATCH($A66,SPPR!$A:$A,0),18)),$C66*INDEX(SPPR!$E:$Z,MATCH($A66,SPPR!$A:$A,0),18),""),"")</f>
        <v/>
      </c>
      <c r="V66">
        <f>IFERROR(IF(ISNUMBER(INDEX(SPPR!$E:$Z,MATCH($A66,SPPR!$A:$A,0),19)),$C66*INDEX(SPPR!$E:$Z,MATCH($A66,SPPR!$A:$A,0),19),""),"")</f>
        <v/>
      </c>
      <c r="W66">
        <f>IFERROR(IF(ISNUMBER(INDEX(SPPR!$E:$Z,MATCH($A66,SPPR!$A:$A,0),20)),$C66*INDEX(SPPR!$E:$Z,MATCH($A66,SPPR!$A:$A,0),20),""),"")</f>
        <v/>
      </c>
      <c r="X66">
        <f>IFERROR(IF(ISNUMBER(INDEX(SPPR!$E:$Z,MATCH($A66,SPPR!$A:$A,0),21)),$C66*INDEX(SPPR!$E:$Z,MATCH($A66,SPPR!$A:$A,0),21),""),"")</f>
        <v/>
      </c>
      <c r="Y66">
        <f>IFERROR(IF(ISNUMBER(INDEX(SPPR!$E:$Z,MATCH($A66,SPPR!$A:$A,0),22)),$C66*INDEX(SPPR!$E:$Z,MATCH($A66,SPPR!$A:$A,0),22),""),"")</f>
        <v/>
      </c>
    </row>
    <row r="67">
      <c r="A67" t="inlineStr">
        <is>
          <t>Acetes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IFERROR(IF(ISNUMBER(INDEX(SPPR!$E:$Z,MATCH($A67,SPPR!$A:$A,0),1)),$C67*INDEX(SPPR!$E:$Z,MATCH($A67,SPPR!$A:$A,0),1),""),"")</f>
        <v/>
      </c>
      <c r="E67">
        <f>IFERROR(IF(ISNUMBER(INDEX(SPPR!$E:$Z,MATCH($A67,SPPR!$A:$A,0),2)),$C67*INDEX(SPPR!$E:$Z,MATCH($A67,SPPR!$A:$A,0),2),""),"")</f>
        <v/>
      </c>
      <c r="F67">
        <f>IFERROR(IF(ISNUMBER(INDEX(SPPR!$E:$Z,MATCH($A67,SPPR!$A:$A,0),3)),$C67*INDEX(SPPR!$E:$Z,MATCH($A67,SPPR!$A:$A,0),3),""),"")</f>
        <v/>
      </c>
      <c r="G67">
        <f>IFERROR(IF(ISNUMBER(INDEX(SPPR!$E:$Z,MATCH($A67,SPPR!$A:$A,0),4)),$C67*INDEX(SPPR!$E:$Z,MATCH($A67,SPPR!$A:$A,0),4),""),"")</f>
        <v/>
      </c>
      <c r="H67">
        <f>IFERROR(IF(ISNUMBER(INDEX(SPPR!$E:$Z,MATCH($A67,SPPR!$A:$A,0),5)),$C67*INDEX(SPPR!$E:$Z,MATCH($A67,SPPR!$A:$A,0),5),""),"")</f>
        <v/>
      </c>
      <c r="I67">
        <f>IFERROR(IF(ISNUMBER(INDEX(SPPR!$E:$Z,MATCH($A67,SPPR!$A:$A,0),6)),$C67*INDEX(SPPR!$E:$Z,MATCH($A67,SPPR!$A:$A,0),6),""),"")</f>
        <v/>
      </c>
      <c r="J67">
        <f>IFERROR(IF(ISNUMBER(INDEX(SPPR!$E:$Z,MATCH($A67,SPPR!$A:$A,0),7)),$C67*INDEX(SPPR!$E:$Z,MATCH($A67,SPPR!$A:$A,0),7),""),"")</f>
        <v/>
      </c>
      <c r="K67">
        <f>IFERROR(IF(ISNUMBER(INDEX(SPPR!$E:$Z,MATCH($A67,SPPR!$A:$A,0),8)),$C67*INDEX(SPPR!$E:$Z,MATCH($A67,SPPR!$A:$A,0),8),""),"")</f>
        <v/>
      </c>
      <c r="L67">
        <f>IFERROR(IF(ISNUMBER(INDEX(SPPR!$E:$Z,MATCH($A67,SPPR!$A:$A,0),9)),$C67*INDEX(SPPR!$E:$Z,MATCH($A67,SPPR!$A:$A,0),9),""),"")</f>
        <v/>
      </c>
      <c r="M67">
        <f>IFERROR(IF(ISNUMBER(INDEX(SPPR!$E:$Z,MATCH($A67,SPPR!$A:$A,0),10)),$C67*INDEX(SPPR!$E:$Z,MATCH($A67,SPPR!$A:$A,0),10),""),"")</f>
        <v/>
      </c>
      <c r="N67">
        <f>IFERROR(IF(ISNUMBER(INDEX(SPPR!$E:$Z,MATCH($A67,SPPR!$A:$A,0),11)),$C67*INDEX(SPPR!$E:$Z,MATCH($A67,SPPR!$A:$A,0),11),""),"")</f>
        <v/>
      </c>
      <c r="O67">
        <f>IFERROR(IF(ISNUMBER(INDEX(SPPR!$E:$Z,MATCH($A67,SPPR!$A:$A,0),12)),$C67*INDEX(SPPR!$E:$Z,MATCH($A67,SPPR!$A:$A,0),12),""),"")</f>
        <v/>
      </c>
      <c r="P67">
        <f>IFERROR(IF(ISNUMBER(INDEX(SPPR!$E:$Z,MATCH($A67,SPPR!$A:$A,0),13)),$C67*INDEX(SPPR!$E:$Z,MATCH($A67,SPPR!$A:$A,0),13),""),"")</f>
        <v/>
      </c>
      <c r="Q67">
        <f>IFERROR(IF(ISNUMBER(INDEX(SPPR!$E:$Z,MATCH($A67,SPPR!$A:$A,0),14)),$C67*INDEX(SPPR!$E:$Z,MATCH($A67,SPPR!$A:$A,0),14),""),"")</f>
        <v/>
      </c>
      <c r="R67">
        <f>IFERROR(IF(ISNUMBER(INDEX(SPPR!$E:$Z,MATCH($A67,SPPR!$A:$A,0),15)),$C67*INDEX(SPPR!$E:$Z,MATCH($A67,SPPR!$A:$A,0),15),""),"")</f>
        <v/>
      </c>
      <c r="S67">
        <f>IFERROR(IF(ISNUMBER(INDEX(SPPR!$E:$Z,MATCH($A67,SPPR!$A:$A,0),16)),$C67*INDEX(SPPR!$E:$Z,MATCH($A67,SPPR!$A:$A,0),16),""),"")</f>
        <v/>
      </c>
      <c r="T67">
        <f>IFERROR(IF(ISNUMBER(INDEX(SPPR!$E:$Z,MATCH($A67,SPPR!$A:$A,0),17)),$C67*INDEX(SPPR!$E:$Z,MATCH($A67,SPPR!$A:$A,0),17),""),"")</f>
        <v/>
      </c>
      <c r="U67">
        <f>IFERROR(IF(ISNUMBER(INDEX(SPPR!$E:$Z,MATCH($A67,SPPR!$A:$A,0),18)),$C67*INDEX(SPPR!$E:$Z,MATCH($A67,SPPR!$A:$A,0),18),""),"")</f>
        <v/>
      </c>
      <c r="V67">
        <f>IFERROR(IF(ISNUMBER(INDEX(SPPR!$E:$Z,MATCH($A67,SPPR!$A:$A,0),19)),$C67*INDEX(SPPR!$E:$Z,MATCH($A67,SPPR!$A:$A,0),19),""),"")</f>
        <v/>
      </c>
      <c r="W67">
        <f>IFERROR(IF(ISNUMBER(INDEX(SPPR!$E:$Z,MATCH($A67,SPPR!$A:$A,0),20)),$C67*INDEX(SPPR!$E:$Z,MATCH($A67,SPPR!$A:$A,0),20),""),"")</f>
        <v/>
      </c>
      <c r="X67">
        <f>IFERROR(IF(ISNUMBER(INDEX(SPPR!$E:$Z,MATCH($A67,SPPR!$A:$A,0),21)),$C67*INDEX(SPPR!$E:$Z,MATCH($A67,SPPR!$A:$A,0),21),""),"")</f>
        <v/>
      </c>
      <c r="Y67">
        <f>IFERROR(IF(ISNUMBER(INDEX(SPPR!$E:$Z,MATCH($A67,SPPR!$A:$A,0),22)),$C67*INDEX(SPPR!$E:$Z,MATCH($A67,SPPR!$A:$A,0),22),""),"")</f>
        <v/>
      </c>
    </row>
    <row r="68">
      <c r="A68" t="inlineStr">
        <is>
          <t>Pennahia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IFERROR(IF(ISNUMBER(INDEX(SPPR!$E:$Z,MATCH($A68,SPPR!$A:$A,0),1)),$C68*INDEX(SPPR!$E:$Z,MATCH($A68,SPPR!$A:$A,0),1),""),"")</f>
        <v/>
      </c>
      <c r="E68">
        <f>IFERROR(IF(ISNUMBER(INDEX(SPPR!$E:$Z,MATCH($A68,SPPR!$A:$A,0),2)),$C68*INDEX(SPPR!$E:$Z,MATCH($A68,SPPR!$A:$A,0),2),""),"")</f>
        <v/>
      </c>
      <c r="F68">
        <f>IFERROR(IF(ISNUMBER(INDEX(SPPR!$E:$Z,MATCH($A68,SPPR!$A:$A,0),3)),$C68*INDEX(SPPR!$E:$Z,MATCH($A68,SPPR!$A:$A,0),3),""),"")</f>
        <v/>
      </c>
      <c r="G68">
        <f>IFERROR(IF(ISNUMBER(INDEX(SPPR!$E:$Z,MATCH($A68,SPPR!$A:$A,0),4)),$C68*INDEX(SPPR!$E:$Z,MATCH($A68,SPPR!$A:$A,0),4),""),"")</f>
        <v/>
      </c>
      <c r="H68">
        <f>IFERROR(IF(ISNUMBER(INDEX(SPPR!$E:$Z,MATCH($A68,SPPR!$A:$A,0),5)),$C68*INDEX(SPPR!$E:$Z,MATCH($A68,SPPR!$A:$A,0),5),""),"")</f>
        <v/>
      </c>
      <c r="I68">
        <f>IFERROR(IF(ISNUMBER(INDEX(SPPR!$E:$Z,MATCH($A68,SPPR!$A:$A,0),6)),$C68*INDEX(SPPR!$E:$Z,MATCH($A68,SPPR!$A:$A,0),6),""),"")</f>
        <v/>
      </c>
      <c r="J68">
        <f>IFERROR(IF(ISNUMBER(INDEX(SPPR!$E:$Z,MATCH($A68,SPPR!$A:$A,0),7)),$C68*INDEX(SPPR!$E:$Z,MATCH($A68,SPPR!$A:$A,0),7),""),"")</f>
        <v/>
      </c>
      <c r="K68">
        <f>IFERROR(IF(ISNUMBER(INDEX(SPPR!$E:$Z,MATCH($A68,SPPR!$A:$A,0),8)),$C68*INDEX(SPPR!$E:$Z,MATCH($A68,SPPR!$A:$A,0),8),""),"")</f>
        <v/>
      </c>
      <c r="L68">
        <f>IFERROR(IF(ISNUMBER(INDEX(SPPR!$E:$Z,MATCH($A68,SPPR!$A:$A,0),9)),$C68*INDEX(SPPR!$E:$Z,MATCH($A68,SPPR!$A:$A,0),9),""),"")</f>
        <v/>
      </c>
      <c r="M68">
        <f>IFERROR(IF(ISNUMBER(INDEX(SPPR!$E:$Z,MATCH($A68,SPPR!$A:$A,0),10)),$C68*INDEX(SPPR!$E:$Z,MATCH($A68,SPPR!$A:$A,0),10),""),"")</f>
        <v/>
      </c>
      <c r="N68">
        <f>IFERROR(IF(ISNUMBER(INDEX(SPPR!$E:$Z,MATCH($A68,SPPR!$A:$A,0),11)),$C68*INDEX(SPPR!$E:$Z,MATCH($A68,SPPR!$A:$A,0),11),""),"")</f>
        <v/>
      </c>
      <c r="O68">
        <f>IFERROR(IF(ISNUMBER(INDEX(SPPR!$E:$Z,MATCH($A68,SPPR!$A:$A,0),12)),$C68*INDEX(SPPR!$E:$Z,MATCH($A68,SPPR!$A:$A,0),12),""),"")</f>
        <v/>
      </c>
      <c r="P68">
        <f>IFERROR(IF(ISNUMBER(INDEX(SPPR!$E:$Z,MATCH($A68,SPPR!$A:$A,0),13)),$C68*INDEX(SPPR!$E:$Z,MATCH($A68,SPPR!$A:$A,0),13),""),"")</f>
        <v/>
      </c>
      <c r="Q68">
        <f>IFERROR(IF(ISNUMBER(INDEX(SPPR!$E:$Z,MATCH($A68,SPPR!$A:$A,0),14)),$C68*INDEX(SPPR!$E:$Z,MATCH($A68,SPPR!$A:$A,0),14),""),"")</f>
        <v/>
      </c>
      <c r="R68">
        <f>IFERROR(IF(ISNUMBER(INDEX(SPPR!$E:$Z,MATCH($A68,SPPR!$A:$A,0),15)),$C68*INDEX(SPPR!$E:$Z,MATCH($A68,SPPR!$A:$A,0),15),""),"")</f>
        <v/>
      </c>
      <c r="S68">
        <f>IFERROR(IF(ISNUMBER(INDEX(SPPR!$E:$Z,MATCH($A68,SPPR!$A:$A,0),16)),$C68*INDEX(SPPR!$E:$Z,MATCH($A68,SPPR!$A:$A,0),16),""),"")</f>
        <v/>
      </c>
      <c r="T68">
        <f>IFERROR(IF(ISNUMBER(INDEX(SPPR!$E:$Z,MATCH($A68,SPPR!$A:$A,0),17)),$C68*INDEX(SPPR!$E:$Z,MATCH($A68,SPPR!$A:$A,0),17),""),"")</f>
        <v/>
      </c>
      <c r="U68">
        <f>IFERROR(IF(ISNUMBER(INDEX(SPPR!$E:$Z,MATCH($A68,SPPR!$A:$A,0),18)),$C68*INDEX(SPPR!$E:$Z,MATCH($A68,SPPR!$A:$A,0),18),""),"")</f>
        <v/>
      </c>
      <c r="V68">
        <f>IFERROR(IF(ISNUMBER(INDEX(SPPR!$E:$Z,MATCH($A68,SPPR!$A:$A,0),19)),$C68*INDEX(SPPR!$E:$Z,MATCH($A68,SPPR!$A:$A,0),19),""),"")</f>
        <v/>
      </c>
      <c r="W68">
        <f>IFERROR(IF(ISNUMBER(INDEX(SPPR!$E:$Z,MATCH($A68,SPPR!$A:$A,0),20)),$C68*INDEX(SPPR!$E:$Z,MATCH($A68,SPPR!$A:$A,0),20),""),"")</f>
        <v/>
      </c>
      <c r="X68">
        <f>IFERROR(IF(ISNUMBER(INDEX(SPPR!$E:$Z,MATCH($A68,SPPR!$A:$A,0),21)),$C68*INDEX(SPPR!$E:$Z,MATCH($A68,SPPR!$A:$A,0),21),""),"")</f>
        <v/>
      </c>
      <c r="Y68">
        <f>IFERROR(IF(ISNUMBER(INDEX(SPPR!$E:$Z,MATCH($A68,SPPR!$A:$A,0),22)),$C68*INDEX(SPPR!$E:$Z,MATCH($A68,SPPR!$A:$A,0),22),""),"")</f>
        <v/>
      </c>
    </row>
    <row r="69">
      <c r="A69" t="inlineStr">
        <is>
          <t>Metapenaeus tenuipes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IFERROR(IF(ISNUMBER(INDEX(SPPR!$E:$Z,MATCH($A69,SPPR!$A:$A,0),1)),$C69*INDEX(SPPR!$E:$Z,MATCH($A69,SPPR!$A:$A,0),1),""),"")</f>
        <v/>
      </c>
      <c r="E69">
        <f>IFERROR(IF(ISNUMBER(INDEX(SPPR!$E:$Z,MATCH($A69,SPPR!$A:$A,0),2)),$C69*INDEX(SPPR!$E:$Z,MATCH($A69,SPPR!$A:$A,0),2),""),"")</f>
        <v/>
      </c>
      <c r="F69">
        <f>IFERROR(IF(ISNUMBER(INDEX(SPPR!$E:$Z,MATCH($A69,SPPR!$A:$A,0),3)),$C69*INDEX(SPPR!$E:$Z,MATCH($A69,SPPR!$A:$A,0),3),""),"")</f>
        <v/>
      </c>
      <c r="G69">
        <f>IFERROR(IF(ISNUMBER(INDEX(SPPR!$E:$Z,MATCH($A69,SPPR!$A:$A,0),4)),$C69*INDEX(SPPR!$E:$Z,MATCH($A69,SPPR!$A:$A,0),4),""),"")</f>
        <v/>
      </c>
      <c r="H69">
        <f>IFERROR(IF(ISNUMBER(INDEX(SPPR!$E:$Z,MATCH($A69,SPPR!$A:$A,0),5)),$C69*INDEX(SPPR!$E:$Z,MATCH($A69,SPPR!$A:$A,0),5),""),"")</f>
        <v/>
      </c>
      <c r="I69">
        <f>IFERROR(IF(ISNUMBER(INDEX(SPPR!$E:$Z,MATCH($A69,SPPR!$A:$A,0),6)),$C69*INDEX(SPPR!$E:$Z,MATCH($A69,SPPR!$A:$A,0),6),""),"")</f>
        <v/>
      </c>
      <c r="J69">
        <f>IFERROR(IF(ISNUMBER(INDEX(SPPR!$E:$Z,MATCH($A69,SPPR!$A:$A,0),7)),$C69*INDEX(SPPR!$E:$Z,MATCH($A69,SPPR!$A:$A,0),7),""),"")</f>
        <v/>
      </c>
      <c r="K69">
        <f>IFERROR(IF(ISNUMBER(INDEX(SPPR!$E:$Z,MATCH($A69,SPPR!$A:$A,0),8)),$C69*INDEX(SPPR!$E:$Z,MATCH($A69,SPPR!$A:$A,0),8),""),"")</f>
        <v/>
      </c>
      <c r="L69">
        <f>IFERROR(IF(ISNUMBER(INDEX(SPPR!$E:$Z,MATCH($A69,SPPR!$A:$A,0),9)),$C69*INDEX(SPPR!$E:$Z,MATCH($A69,SPPR!$A:$A,0),9),""),"")</f>
        <v/>
      </c>
      <c r="M69">
        <f>IFERROR(IF(ISNUMBER(INDEX(SPPR!$E:$Z,MATCH($A69,SPPR!$A:$A,0),10)),$C69*INDEX(SPPR!$E:$Z,MATCH($A69,SPPR!$A:$A,0),10),""),"")</f>
        <v/>
      </c>
      <c r="N69">
        <f>IFERROR(IF(ISNUMBER(INDEX(SPPR!$E:$Z,MATCH($A69,SPPR!$A:$A,0),11)),$C69*INDEX(SPPR!$E:$Z,MATCH($A69,SPPR!$A:$A,0),11),""),"")</f>
        <v/>
      </c>
      <c r="O69">
        <f>IFERROR(IF(ISNUMBER(INDEX(SPPR!$E:$Z,MATCH($A69,SPPR!$A:$A,0),12)),$C69*INDEX(SPPR!$E:$Z,MATCH($A69,SPPR!$A:$A,0),12),""),"")</f>
        <v/>
      </c>
      <c r="P69">
        <f>IFERROR(IF(ISNUMBER(INDEX(SPPR!$E:$Z,MATCH($A69,SPPR!$A:$A,0),13)),$C69*INDEX(SPPR!$E:$Z,MATCH($A69,SPPR!$A:$A,0),13),""),"")</f>
        <v/>
      </c>
      <c r="Q69">
        <f>IFERROR(IF(ISNUMBER(INDEX(SPPR!$E:$Z,MATCH($A69,SPPR!$A:$A,0),14)),$C69*INDEX(SPPR!$E:$Z,MATCH($A69,SPPR!$A:$A,0),14),""),"")</f>
        <v/>
      </c>
      <c r="R69">
        <f>IFERROR(IF(ISNUMBER(INDEX(SPPR!$E:$Z,MATCH($A69,SPPR!$A:$A,0),15)),$C69*INDEX(SPPR!$E:$Z,MATCH($A69,SPPR!$A:$A,0),15),""),"")</f>
        <v/>
      </c>
      <c r="S69">
        <f>IFERROR(IF(ISNUMBER(INDEX(SPPR!$E:$Z,MATCH($A69,SPPR!$A:$A,0),16)),$C69*INDEX(SPPR!$E:$Z,MATCH($A69,SPPR!$A:$A,0),16),""),"")</f>
        <v/>
      </c>
      <c r="T69">
        <f>IFERROR(IF(ISNUMBER(INDEX(SPPR!$E:$Z,MATCH($A69,SPPR!$A:$A,0),17)),$C69*INDEX(SPPR!$E:$Z,MATCH($A69,SPPR!$A:$A,0),17),""),"")</f>
        <v/>
      </c>
      <c r="U69">
        <f>IFERROR(IF(ISNUMBER(INDEX(SPPR!$E:$Z,MATCH($A69,SPPR!$A:$A,0),18)),$C69*INDEX(SPPR!$E:$Z,MATCH($A69,SPPR!$A:$A,0),18),""),"")</f>
        <v/>
      </c>
      <c r="V69">
        <f>IFERROR(IF(ISNUMBER(INDEX(SPPR!$E:$Z,MATCH($A69,SPPR!$A:$A,0),19)),$C69*INDEX(SPPR!$E:$Z,MATCH($A69,SPPR!$A:$A,0),19),""),"")</f>
        <v/>
      </c>
      <c r="W69">
        <f>IFERROR(IF(ISNUMBER(INDEX(SPPR!$E:$Z,MATCH($A69,SPPR!$A:$A,0),20)),$C69*INDEX(SPPR!$E:$Z,MATCH($A69,SPPR!$A:$A,0),20),""),"")</f>
        <v/>
      </c>
      <c r="X69">
        <f>IFERROR(IF(ISNUMBER(INDEX(SPPR!$E:$Z,MATCH($A69,SPPR!$A:$A,0),21)),$C69*INDEX(SPPR!$E:$Z,MATCH($A69,SPPR!$A:$A,0),21),""),"")</f>
        <v/>
      </c>
      <c r="Y69">
        <f>IFERROR(IF(ISNUMBER(INDEX(SPPR!$E:$Z,MATCH($A69,SPPR!$A:$A,0),22)),$C69*INDEX(SPPR!$E:$Z,MATCH($A69,SPPR!$A:$A,0),22),""),"")</f>
        <v/>
      </c>
    </row>
    <row r="70">
      <c r="A70" t="inlineStr">
        <is>
          <t>Metapenaeus affinis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IFERROR(IF(ISNUMBER(INDEX(SPPR!$E:$Z,MATCH($A70,SPPR!$A:$A,0),1)),$C70*INDEX(SPPR!$E:$Z,MATCH($A70,SPPR!$A:$A,0),1),""),"")</f>
        <v/>
      </c>
      <c r="E70">
        <f>IFERROR(IF(ISNUMBER(INDEX(SPPR!$E:$Z,MATCH($A70,SPPR!$A:$A,0),2)),$C70*INDEX(SPPR!$E:$Z,MATCH($A70,SPPR!$A:$A,0),2),""),"")</f>
        <v/>
      </c>
      <c r="F70">
        <f>IFERROR(IF(ISNUMBER(INDEX(SPPR!$E:$Z,MATCH($A70,SPPR!$A:$A,0),3)),$C70*INDEX(SPPR!$E:$Z,MATCH($A70,SPPR!$A:$A,0),3),""),"")</f>
        <v/>
      </c>
      <c r="G70">
        <f>IFERROR(IF(ISNUMBER(INDEX(SPPR!$E:$Z,MATCH($A70,SPPR!$A:$A,0),4)),$C70*INDEX(SPPR!$E:$Z,MATCH($A70,SPPR!$A:$A,0),4),""),"")</f>
        <v/>
      </c>
      <c r="H70">
        <f>IFERROR(IF(ISNUMBER(INDEX(SPPR!$E:$Z,MATCH($A70,SPPR!$A:$A,0),5)),$C70*INDEX(SPPR!$E:$Z,MATCH($A70,SPPR!$A:$A,0),5),""),"")</f>
        <v/>
      </c>
      <c r="I70">
        <f>IFERROR(IF(ISNUMBER(INDEX(SPPR!$E:$Z,MATCH($A70,SPPR!$A:$A,0),6)),$C70*INDEX(SPPR!$E:$Z,MATCH($A70,SPPR!$A:$A,0),6),""),"")</f>
        <v/>
      </c>
      <c r="J70">
        <f>IFERROR(IF(ISNUMBER(INDEX(SPPR!$E:$Z,MATCH($A70,SPPR!$A:$A,0),7)),$C70*INDEX(SPPR!$E:$Z,MATCH($A70,SPPR!$A:$A,0),7),""),"")</f>
        <v/>
      </c>
      <c r="K70">
        <f>IFERROR(IF(ISNUMBER(INDEX(SPPR!$E:$Z,MATCH($A70,SPPR!$A:$A,0),8)),$C70*INDEX(SPPR!$E:$Z,MATCH($A70,SPPR!$A:$A,0),8),""),"")</f>
        <v/>
      </c>
      <c r="L70">
        <f>IFERROR(IF(ISNUMBER(INDEX(SPPR!$E:$Z,MATCH($A70,SPPR!$A:$A,0),9)),$C70*INDEX(SPPR!$E:$Z,MATCH($A70,SPPR!$A:$A,0),9),""),"")</f>
        <v/>
      </c>
      <c r="M70">
        <f>IFERROR(IF(ISNUMBER(INDEX(SPPR!$E:$Z,MATCH($A70,SPPR!$A:$A,0),10)),$C70*INDEX(SPPR!$E:$Z,MATCH($A70,SPPR!$A:$A,0),10),""),"")</f>
        <v/>
      </c>
      <c r="N70">
        <f>IFERROR(IF(ISNUMBER(INDEX(SPPR!$E:$Z,MATCH($A70,SPPR!$A:$A,0),11)),$C70*INDEX(SPPR!$E:$Z,MATCH($A70,SPPR!$A:$A,0),11),""),"")</f>
        <v/>
      </c>
      <c r="O70">
        <f>IFERROR(IF(ISNUMBER(INDEX(SPPR!$E:$Z,MATCH($A70,SPPR!$A:$A,0),12)),$C70*INDEX(SPPR!$E:$Z,MATCH($A70,SPPR!$A:$A,0),12),""),"")</f>
        <v/>
      </c>
      <c r="P70">
        <f>IFERROR(IF(ISNUMBER(INDEX(SPPR!$E:$Z,MATCH($A70,SPPR!$A:$A,0),13)),$C70*INDEX(SPPR!$E:$Z,MATCH($A70,SPPR!$A:$A,0),13),""),"")</f>
        <v/>
      </c>
      <c r="Q70">
        <f>IFERROR(IF(ISNUMBER(INDEX(SPPR!$E:$Z,MATCH($A70,SPPR!$A:$A,0),14)),$C70*INDEX(SPPR!$E:$Z,MATCH($A70,SPPR!$A:$A,0),14),""),"")</f>
        <v/>
      </c>
      <c r="R70">
        <f>IFERROR(IF(ISNUMBER(INDEX(SPPR!$E:$Z,MATCH($A70,SPPR!$A:$A,0),15)),$C70*INDEX(SPPR!$E:$Z,MATCH($A70,SPPR!$A:$A,0),15),""),"")</f>
        <v/>
      </c>
      <c r="S70">
        <f>IFERROR(IF(ISNUMBER(INDEX(SPPR!$E:$Z,MATCH($A70,SPPR!$A:$A,0),16)),$C70*INDEX(SPPR!$E:$Z,MATCH($A70,SPPR!$A:$A,0),16),""),"")</f>
        <v/>
      </c>
      <c r="T70">
        <f>IFERROR(IF(ISNUMBER(INDEX(SPPR!$E:$Z,MATCH($A70,SPPR!$A:$A,0),17)),$C70*INDEX(SPPR!$E:$Z,MATCH($A70,SPPR!$A:$A,0),17),""),"")</f>
        <v/>
      </c>
      <c r="U70">
        <f>IFERROR(IF(ISNUMBER(INDEX(SPPR!$E:$Z,MATCH($A70,SPPR!$A:$A,0),18)),$C70*INDEX(SPPR!$E:$Z,MATCH($A70,SPPR!$A:$A,0),18),""),"")</f>
        <v/>
      </c>
      <c r="V70">
        <f>IFERROR(IF(ISNUMBER(INDEX(SPPR!$E:$Z,MATCH($A70,SPPR!$A:$A,0),19)),$C70*INDEX(SPPR!$E:$Z,MATCH($A70,SPPR!$A:$A,0),19),""),"")</f>
        <v/>
      </c>
      <c r="W70">
        <f>IFERROR(IF(ISNUMBER(INDEX(SPPR!$E:$Z,MATCH($A70,SPPR!$A:$A,0),20)),$C70*INDEX(SPPR!$E:$Z,MATCH($A70,SPPR!$A:$A,0),20),""),"")</f>
        <v/>
      </c>
      <c r="X70">
        <f>IFERROR(IF(ISNUMBER(INDEX(SPPR!$E:$Z,MATCH($A70,SPPR!$A:$A,0),21)),$C70*INDEX(SPPR!$E:$Z,MATCH($A70,SPPR!$A:$A,0),21),""),"")</f>
        <v/>
      </c>
      <c r="Y70">
        <f>IFERROR(IF(ISNUMBER(INDEX(SPPR!$E:$Z,MATCH($A70,SPPR!$A:$A,0),22)),$C70*INDEX(SPPR!$E:$Z,MATCH($A70,SPPR!$A:$A,0),22),""),"")</f>
        <v/>
      </c>
    </row>
    <row r="71">
      <c r="A71" t="inlineStr">
        <is>
          <t>Atule mate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IFERROR(IF(ISNUMBER(INDEX(SPPR!$E:$Z,MATCH($A71,SPPR!$A:$A,0),1)),$C71*INDEX(SPPR!$E:$Z,MATCH($A71,SPPR!$A:$A,0),1),""),"")</f>
        <v/>
      </c>
      <c r="E71">
        <f>IFERROR(IF(ISNUMBER(INDEX(SPPR!$E:$Z,MATCH($A71,SPPR!$A:$A,0),2)),$C71*INDEX(SPPR!$E:$Z,MATCH($A71,SPPR!$A:$A,0),2),""),"")</f>
        <v/>
      </c>
      <c r="F71">
        <f>IFERROR(IF(ISNUMBER(INDEX(SPPR!$E:$Z,MATCH($A71,SPPR!$A:$A,0),3)),$C71*INDEX(SPPR!$E:$Z,MATCH($A71,SPPR!$A:$A,0),3),""),"")</f>
        <v/>
      </c>
      <c r="G71">
        <f>IFERROR(IF(ISNUMBER(INDEX(SPPR!$E:$Z,MATCH($A71,SPPR!$A:$A,0),4)),$C71*INDEX(SPPR!$E:$Z,MATCH($A71,SPPR!$A:$A,0),4),""),"")</f>
        <v/>
      </c>
      <c r="H71">
        <f>IFERROR(IF(ISNUMBER(INDEX(SPPR!$E:$Z,MATCH($A71,SPPR!$A:$A,0),5)),$C71*INDEX(SPPR!$E:$Z,MATCH($A71,SPPR!$A:$A,0),5),""),"")</f>
        <v/>
      </c>
      <c r="I71">
        <f>IFERROR(IF(ISNUMBER(INDEX(SPPR!$E:$Z,MATCH($A71,SPPR!$A:$A,0),6)),$C71*INDEX(SPPR!$E:$Z,MATCH($A71,SPPR!$A:$A,0),6),""),"")</f>
        <v/>
      </c>
      <c r="J71">
        <f>IFERROR(IF(ISNUMBER(INDEX(SPPR!$E:$Z,MATCH($A71,SPPR!$A:$A,0),7)),$C71*INDEX(SPPR!$E:$Z,MATCH($A71,SPPR!$A:$A,0),7),""),"")</f>
        <v/>
      </c>
      <c r="K71">
        <f>IFERROR(IF(ISNUMBER(INDEX(SPPR!$E:$Z,MATCH($A71,SPPR!$A:$A,0),8)),$C71*INDEX(SPPR!$E:$Z,MATCH($A71,SPPR!$A:$A,0),8),""),"")</f>
        <v/>
      </c>
      <c r="L71">
        <f>IFERROR(IF(ISNUMBER(INDEX(SPPR!$E:$Z,MATCH($A71,SPPR!$A:$A,0),9)),$C71*INDEX(SPPR!$E:$Z,MATCH($A71,SPPR!$A:$A,0),9),""),"")</f>
        <v/>
      </c>
      <c r="M71">
        <f>IFERROR(IF(ISNUMBER(INDEX(SPPR!$E:$Z,MATCH($A71,SPPR!$A:$A,0),10)),$C71*INDEX(SPPR!$E:$Z,MATCH($A71,SPPR!$A:$A,0),10),""),"")</f>
        <v/>
      </c>
      <c r="N71">
        <f>IFERROR(IF(ISNUMBER(INDEX(SPPR!$E:$Z,MATCH($A71,SPPR!$A:$A,0),11)),$C71*INDEX(SPPR!$E:$Z,MATCH($A71,SPPR!$A:$A,0),11),""),"")</f>
        <v/>
      </c>
      <c r="O71">
        <f>IFERROR(IF(ISNUMBER(INDEX(SPPR!$E:$Z,MATCH($A71,SPPR!$A:$A,0),12)),$C71*INDEX(SPPR!$E:$Z,MATCH($A71,SPPR!$A:$A,0),12),""),"")</f>
        <v/>
      </c>
      <c r="P71">
        <f>IFERROR(IF(ISNUMBER(INDEX(SPPR!$E:$Z,MATCH($A71,SPPR!$A:$A,0),13)),$C71*INDEX(SPPR!$E:$Z,MATCH($A71,SPPR!$A:$A,0),13),""),"")</f>
        <v/>
      </c>
      <c r="Q71">
        <f>IFERROR(IF(ISNUMBER(INDEX(SPPR!$E:$Z,MATCH($A71,SPPR!$A:$A,0),14)),$C71*INDEX(SPPR!$E:$Z,MATCH($A71,SPPR!$A:$A,0),14),""),"")</f>
        <v/>
      </c>
      <c r="R71">
        <f>IFERROR(IF(ISNUMBER(INDEX(SPPR!$E:$Z,MATCH($A71,SPPR!$A:$A,0),15)),$C71*INDEX(SPPR!$E:$Z,MATCH($A71,SPPR!$A:$A,0),15),""),"")</f>
        <v/>
      </c>
      <c r="S71">
        <f>IFERROR(IF(ISNUMBER(INDEX(SPPR!$E:$Z,MATCH($A71,SPPR!$A:$A,0),16)),$C71*INDEX(SPPR!$E:$Z,MATCH($A71,SPPR!$A:$A,0),16),""),"")</f>
        <v/>
      </c>
      <c r="T71">
        <f>IFERROR(IF(ISNUMBER(INDEX(SPPR!$E:$Z,MATCH($A71,SPPR!$A:$A,0),17)),$C71*INDEX(SPPR!$E:$Z,MATCH($A71,SPPR!$A:$A,0),17),""),"")</f>
        <v/>
      </c>
      <c r="U71">
        <f>IFERROR(IF(ISNUMBER(INDEX(SPPR!$E:$Z,MATCH($A71,SPPR!$A:$A,0),18)),$C71*INDEX(SPPR!$E:$Z,MATCH($A71,SPPR!$A:$A,0),18),""),"")</f>
        <v/>
      </c>
      <c r="V71">
        <f>IFERROR(IF(ISNUMBER(INDEX(SPPR!$E:$Z,MATCH($A71,SPPR!$A:$A,0),19)),$C71*INDEX(SPPR!$E:$Z,MATCH($A71,SPPR!$A:$A,0),19),""),"")</f>
        <v/>
      </c>
      <c r="W71">
        <f>IFERROR(IF(ISNUMBER(INDEX(SPPR!$E:$Z,MATCH($A71,SPPR!$A:$A,0),20)),$C71*INDEX(SPPR!$E:$Z,MATCH($A71,SPPR!$A:$A,0),20),""),"")</f>
        <v/>
      </c>
      <c r="X71">
        <f>IFERROR(IF(ISNUMBER(INDEX(SPPR!$E:$Z,MATCH($A71,SPPR!$A:$A,0),21)),$C71*INDEX(SPPR!$E:$Z,MATCH($A71,SPPR!$A:$A,0),21),""),"")</f>
        <v/>
      </c>
      <c r="Y71">
        <f>IFERROR(IF(ISNUMBER(INDEX(SPPR!$E:$Z,MATCH($A71,SPPR!$A:$A,0),22)),$C71*INDEX(SPPR!$E:$Z,MATCH($A71,SPPR!$A:$A,0),22),""),"")</f>
        <v/>
      </c>
    </row>
    <row r="72">
      <c r="A72" t="inlineStr">
        <is>
          <t>Chirocentrus dorab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IFERROR(IF(ISNUMBER(INDEX(SPPR!$E:$Z,MATCH($A72,SPPR!$A:$A,0),1)),$C72*INDEX(SPPR!$E:$Z,MATCH($A72,SPPR!$A:$A,0),1),""),"")</f>
        <v/>
      </c>
      <c r="E72">
        <f>IFERROR(IF(ISNUMBER(INDEX(SPPR!$E:$Z,MATCH($A72,SPPR!$A:$A,0),2)),$C72*INDEX(SPPR!$E:$Z,MATCH($A72,SPPR!$A:$A,0),2),""),"")</f>
        <v/>
      </c>
      <c r="F72">
        <f>IFERROR(IF(ISNUMBER(INDEX(SPPR!$E:$Z,MATCH($A72,SPPR!$A:$A,0),3)),$C72*INDEX(SPPR!$E:$Z,MATCH($A72,SPPR!$A:$A,0),3),""),"")</f>
        <v/>
      </c>
      <c r="G72">
        <f>IFERROR(IF(ISNUMBER(INDEX(SPPR!$E:$Z,MATCH($A72,SPPR!$A:$A,0),4)),$C72*INDEX(SPPR!$E:$Z,MATCH($A72,SPPR!$A:$A,0),4),""),"")</f>
        <v/>
      </c>
      <c r="H72">
        <f>IFERROR(IF(ISNUMBER(INDEX(SPPR!$E:$Z,MATCH($A72,SPPR!$A:$A,0),5)),$C72*INDEX(SPPR!$E:$Z,MATCH($A72,SPPR!$A:$A,0),5),""),"")</f>
        <v/>
      </c>
      <c r="I72">
        <f>IFERROR(IF(ISNUMBER(INDEX(SPPR!$E:$Z,MATCH($A72,SPPR!$A:$A,0),6)),$C72*INDEX(SPPR!$E:$Z,MATCH($A72,SPPR!$A:$A,0),6),""),"")</f>
        <v/>
      </c>
      <c r="J72">
        <f>IFERROR(IF(ISNUMBER(INDEX(SPPR!$E:$Z,MATCH($A72,SPPR!$A:$A,0),7)),$C72*INDEX(SPPR!$E:$Z,MATCH($A72,SPPR!$A:$A,0),7),""),"")</f>
        <v/>
      </c>
      <c r="K72">
        <f>IFERROR(IF(ISNUMBER(INDEX(SPPR!$E:$Z,MATCH($A72,SPPR!$A:$A,0),8)),$C72*INDEX(SPPR!$E:$Z,MATCH($A72,SPPR!$A:$A,0),8),""),"")</f>
        <v/>
      </c>
      <c r="L72">
        <f>IFERROR(IF(ISNUMBER(INDEX(SPPR!$E:$Z,MATCH($A72,SPPR!$A:$A,0),9)),$C72*INDEX(SPPR!$E:$Z,MATCH($A72,SPPR!$A:$A,0),9),""),"")</f>
        <v/>
      </c>
      <c r="M72">
        <f>IFERROR(IF(ISNUMBER(INDEX(SPPR!$E:$Z,MATCH($A72,SPPR!$A:$A,0),10)),$C72*INDEX(SPPR!$E:$Z,MATCH($A72,SPPR!$A:$A,0),10),""),"")</f>
        <v/>
      </c>
      <c r="N72">
        <f>IFERROR(IF(ISNUMBER(INDEX(SPPR!$E:$Z,MATCH($A72,SPPR!$A:$A,0),11)),$C72*INDEX(SPPR!$E:$Z,MATCH($A72,SPPR!$A:$A,0),11),""),"")</f>
        <v/>
      </c>
      <c r="O72">
        <f>IFERROR(IF(ISNUMBER(INDEX(SPPR!$E:$Z,MATCH($A72,SPPR!$A:$A,0),12)),$C72*INDEX(SPPR!$E:$Z,MATCH($A72,SPPR!$A:$A,0),12),""),"")</f>
        <v/>
      </c>
      <c r="P72">
        <f>IFERROR(IF(ISNUMBER(INDEX(SPPR!$E:$Z,MATCH($A72,SPPR!$A:$A,0),13)),$C72*INDEX(SPPR!$E:$Z,MATCH($A72,SPPR!$A:$A,0),13),""),"")</f>
        <v/>
      </c>
      <c r="Q72">
        <f>IFERROR(IF(ISNUMBER(INDEX(SPPR!$E:$Z,MATCH($A72,SPPR!$A:$A,0),14)),$C72*INDEX(SPPR!$E:$Z,MATCH($A72,SPPR!$A:$A,0),14),""),"")</f>
        <v/>
      </c>
      <c r="R72">
        <f>IFERROR(IF(ISNUMBER(INDEX(SPPR!$E:$Z,MATCH($A72,SPPR!$A:$A,0),15)),$C72*INDEX(SPPR!$E:$Z,MATCH($A72,SPPR!$A:$A,0),15),""),"")</f>
        <v/>
      </c>
      <c r="S72">
        <f>IFERROR(IF(ISNUMBER(INDEX(SPPR!$E:$Z,MATCH($A72,SPPR!$A:$A,0),16)),$C72*INDEX(SPPR!$E:$Z,MATCH($A72,SPPR!$A:$A,0),16),""),"")</f>
        <v/>
      </c>
      <c r="T72">
        <f>IFERROR(IF(ISNUMBER(INDEX(SPPR!$E:$Z,MATCH($A72,SPPR!$A:$A,0),17)),$C72*INDEX(SPPR!$E:$Z,MATCH($A72,SPPR!$A:$A,0),17),""),"")</f>
        <v/>
      </c>
      <c r="U72">
        <f>IFERROR(IF(ISNUMBER(INDEX(SPPR!$E:$Z,MATCH($A72,SPPR!$A:$A,0),18)),$C72*INDEX(SPPR!$E:$Z,MATCH($A72,SPPR!$A:$A,0),18),""),"")</f>
        <v/>
      </c>
      <c r="V72">
        <f>IFERROR(IF(ISNUMBER(INDEX(SPPR!$E:$Z,MATCH($A72,SPPR!$A:$A,0),19)),$C72*INDEX(SPPR!$E:$Z,MATCH($A72,SPPR!$A:$A,0),19),""),"")</f>
        <v/>
      </c>
      <c r="W72">
        <f>IFERROR(IF(ISNUMBER(INDEX(SPPR!$E:$Z,MATCH($A72,SPPR!$A:$A,0),20)),$C72*INDEX(SPPR!$E:$Z,MATCH($A72,SPPR!$A:$A,0),20),""),"")</f>
        <v/>
      </c>
      <c r="X72">
        <f>IFERROR(IF(ISNUMBER(INDEX(SPPR!$E:$Z,MATCH($A72,SPPR!$A:$A,0),21)),$C72*INDEX(SPPR!$E:$Z,MATCH($A72,SPPR!$A:$A,0),21),""),"")</f>
        <v/>
      </c>
      <c r="Y72">
        <f>IFERROR(IF(ISNUMBER(INDEX(SPPR!$E:$Z,MATCH($A72,SPPR!$A:$A,0),22)),$C72*INDEX(SPPR!$E:$Z,MATCH($A72,SPPR!$A:$A,0),22),""),"")</f>
        <v/>
      </c>
    </row>
    <row r="73">
      <c r="A73" t="inlineStr">
        <is>
          <t>Elasmobranchii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IFERROR(IF(ISNUMBER(INDEX(SPPR!$E:$Z,MATCH($A73,SPPR!$A:$A,0),1)),$C73*INDEX(SPPR!$E:$Z,MATCH($A73,SPPR!$A:$A,0),1),""),"")</f>
        <v/>
      </c>
      <c r="E73">
        <f>IFERROR(IF(ISNUMBER(INDEX(SPPR!$E:$Z,MATCH($A73,SPPR!$A:$A,0),2)),$C73*INDEX(SPPR!$E:$Z,MATCH($A73,SPPR!$A:$A,0),2),""),"")</f>
        <v/>
      </c>
      <c r="F73">
        <f>IFERROR(IF(ISNUMBER(INDEX(SPPR!$E:$Z,MATCH($A73,SPPR!$A:$A,0),3)),$C73*INDEX(SPPR!$E:$Z,MATCH($A73,SPPR!$A:$A,0),3),""),"")</f>
        <v/>
      </c>
      <c r="G73">
        <f>IFERROR(IF(ISNUMBER(INDEX(SPPR!$E:$Z,MATCH($A73,SPPR!$A:$A,0),4)),$C73*INDEX(SPPR!$E:$Z,MATCH($A73,SPPR!$A:$A,0),4),""),"")</f>
        <v/>
      </c>
      <c r="H73">
        <f>IFERROR(IF(ISNUMBER(INDEX(SPPR!$E:$Z,MATCH($A73,SPPR!$A:$A,0),5)),$C73*INDEX(SPPR!$E:$Z,MATCH($A73,SPPR!$A:$A,0),5),""),"")</f>
        <v/>
      </c>
      <c r="I73">
        <f>IFERROR(IF(ISNUMBER(INDEX(SPPR!$E:$Z,MATCH($A73,SPPR!$A:$A,0),6)),$C73*INDEX(SPPR!$E:$Z,MATCH($A73,SPPR!$A:$A,0),6),""),"")</f>
        <v/>
      </c>
      <c r="J73">
        <f>IFERROR(IF(ISNUMBER(INDEX(SPPR!$E:$Z,MATCH($A73,SPPR!$A:$A,0),7)),$C73*INDEX(SPPR!$E:$Z,MATCH($A73,SPPR!$A:$A,0),7),""),"")</f>
        <v/>
      </c>
      <c r="K73">
        <f>IFERROR(IF(ISNUMBER(INDEX(SPPR!$E:$Z,MATCH($A73,SPPR!$A:$A,0),8)),$C73*INDEX(SPPR!$E:$Z,MATCH($A73,SPPR!$A:$A,0),8),""),"")</f>
        <v/>
      </c>
      <c r="L73">
        <f>IFERROR(IF(ISNUMBER(INDEX(SPPR!$E:$Z,MATCH($A73,SPPR!$A:$A,0),9)),$C73*INDEX(SPPR!$E:$Z,MATCH($A73,SPPR!$A:$A,0),9),""),"")</f>
        <v/>
      </c>
      <c r="M73">
        <f>IFERROR(IF(ISNUMBER(INDEX(SPPR!$E:$Z,MATCH($A73,SPPR!$A:$A,0),10)),$C73*INDEX(SPPR!$E:$Z,MATCH($A73,SPPR!$A:$A,0),10),""),"")</f>
        <v/>
      </c>
      <c r="N73">
        <f>IFERROR(IF(ISNUMBER(INDEX(SPPR!$E:$Z,MATCH($A73,SPPR!$A:$A,0),11)),$C73*INDEX(SPPR!$E:$Z,MATCH($A73,SPPR!$A:$A,0),11),""),"")</f>
        <v/>
      </c>
      <c r="O73">
        <f>IFERROR(IF(ISNUMBER(INDEX(SPPR!$E:$Z,MATCH($A73,SPPR!$A:$A,0),12)),$C73*INDEX(SPPR!$E:$Z,MATCH($A73,SPPR!$A:$A,0),12),""),"")</f>
        <v/>
      </c>
      <c r="P73">
        <f>IFERROR(IF(ISNUMBER(INDEX(SPPR!$E:$Z,MATCH($A73,SPPR!$A:$A,0),13)),$C73*INDEX(SPPR!$E:$Z,MATCH($A73,SPPR!$A:$A,0),13),""),"")</f>
        <v/>
      </c>
      <c r="Q73">
        <f>IFERROR(IF(ISNUMBER(INDEX(SPPR!$E:$Z,MATCH($A73,SPPR!$A:$A,0),14)),$C73*INDEX(SPPR!$E:$Z,MATCH($A73,SPPR!$A:$A,0),14),""),"")</f>
        <v/>
      </c>
      <c r="R73">
        <f>IFERROR(IF(ISNUMBER(INDEX(SPPR!$E:$Z,MATCH($A73,SPPR!$A:$A,0),15)),$C73*INDEX(SPPR!$E:$Z,MATCH($A73,SPPR!$A:$A,0),15),""),"")</f>
        <v/>
      </c>
      <c r="S73">
        <f>IFERROR(IF(ISNUMBER(INDEX(SPPR!$E:$Z,MATCH($A73,SPPR!$A:$A,0),16)),$C73*INDEX(SPPR!$E:$Z,MATCH($A73,SPPR!$A:$A,0),16),""),"")</f>
        <v/>
      </c>
      <c r="T73">
        <f>IFERROR(IF(ISNUMBER(INDEX(SPPR!$E:$Z,MATCH($A73,SPPR!$A:$A,0),17)),$C73*INDEX(SPPR!$E:$Z,MATCH($A73,SPPR!$A:$A,0),17),""),"")</f>
        <v/>
      </c>
      <c r="U73">
        <f>IFERROR(IF(ISNUMBER(INDEX(SPPR!$E:$Z,MATCH($A73,SPPR!$A:$A,0),18)),$C73*INDEX(SPPR!$E:$Z,MATCH($A73,SPPR!$A:$A,0),18),""),"")</f>
        <v/>
      </c>
      <c r="V73">
        <f>IFERROR(IF(ISNUMBER(INDEX(SPPR!$E:$Z,MATCH($A73,SPPR!$A:$A,0),19)),$C73*INDEX(SPPR!$E:$Z,MATCH($A73,SPPR!$A:$A,0),19),""),"")</f>
        <v/>
      </c>
      <c r="W73">
        <f>IFERROR(IF(ISNUMBER(INDEX(SPPR!$E:$Z,MATCH($A73,SPPR!$A:$A,0),20)),$C73*INDEX(SPPR!$E:$Z,MATCH($A73,SPPR!$A:$A,0),20),""),"")</f>
        <v/>
      </c>
      <c r="X73">
        <f>IFERROR(IF(ISNUMBER(INDEX(SPPR!$E:$Z,MATCH($A73,SPPR!$A:$A,0),21)),$C73*INDEX(SPPR!$E:$Z,MATCH($A73,SPPR!$A:$A,0),21),""),"")</f>
        <v/>
      </c>
      <c r="Y73">
        <f>IFERROR(IF(ISNUMBER(INDEX(SPPR!$E:$Z,MATCH($A73,SPPR!$A:$A,0),22)),$C73*INDEX(SPPR!$E:$Z,MATCH($A73,SPPR!$A:$A,0),22),""),"")</f>
        <v/>
      </c>
    </row>
    <row r="74">
      <c r="A74" t="inlineStr">
        <is>
          <t>Sillago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IFERROR(IF(ISNUMBER(INDEX(SPPR!$E:$Z,MATCH($A74,SPPR!$A:$A,0),1)),$C74*INDEX(SPPR!$E:$Z,MATCH($A74,SPPR!$A:$A,0),1),""),"")</f>
        <v/>
      </c>
      <c r="E74">
        <f>IFERROR(IF(ISNUMBER(INDEX(SPPR!$E:$Z,MATCH($A74,SPPR!$A:$A,0),2)),$C74*INDEX(SPPR!$E:$Z,MATCH($A74,SPPR!$A:$A,0),2),""),"")</f>
        <v/>
      </c>
      <c r="F74">
        <f>IFERROR(IF(ISNUMBER(INDEX(SPPR!$E:$Z,MATCH($A74,SPPR!$A:$A,0),3)),$C74*INDEX(SPPR!$E:$Z,MATCH($A74,SPPR!$A:$A,0),3),""),"")</f>
        <v/>
      </c>
      <c r="G74">
        <f>IFERROR(IF(ISNUMBER(INDEX(SPPR!$E:$Z,MATCH($A74,SPPR!$A:$A,0),4)),$C74*INDEX(SPPR!$E:$Z,MATCH($A74,SPPR!$A:$A,0),4),""),"")</f>
        <v/>
      </c>
      <c r="H74">
        <f>IFERROR(IF(ISNUMBER(INDEX(SPPR!$E:$Z,MATCH($A74,SPPR!$A:$A,0),5)),$C74*INDEX(SPPR!$E:$Z,MATCH($A74,SPPR!$A:$A,0),5),""),"")</f>
        <v/>
      </c>
      <c r="I74">
        <f>IFERROR(IF(ISNUMBER(INDEX(SPPR!$E:$Z,MATCH($A74,SPPR!$A:$A,0),6)),$C74*INDEX(SPPR!$E:$Z,MATCH($A74,SPPR!$A:$A,0),6),""),"")</f>
        <v/>
      </c>
      <c r="J74">
        <f>IFERROR(IF(ISNUMBER(INDEX(SPPR!$E:$Z,MATCH($A74,SPPR!$A:$A,0),7)),$C74*INDEX(SPPR!$E:$Z,MATCH($A74,SPPR!$A:$A,0),7),""),"")</f>
        <v/>
      </c>
      <c r="K74">
        <f>IFERROR(IF(ISNUMBER(INDEX(SPPR!$E:$Z,MATCH($A74,SPPR!$A:$A,0),8)),$C74*INDEX(SPPR!$E:$Z,MATCH($A74,SPPR!$A:$A,0),8),""),"")</f>
        <v/>
      </c>
      <c r="L74">
        <f>IFERROR(IF(ISNUMBER(INDEX(SPPR!$E:$Z,MATCH($A74,SPPR!$A:$A,0),9)),$C74*INDEX(SPPR!$E:$Z,MATCH($A74,SPPR!$A:$A,0),9),""),"")</f>
        <v/>
      </c>
      <c r="M74">
        <f>IFERROR(IF(ISNUMBER(INDEX(SPPR!$E:$Z,MATCH($A74,SPPR!$A:$A,0),10)),$C74*INDEX(SPPR!$E:$Z,MATCH($A74,SPPR!$A:$A,0),10),""),"")</f>
        <v/>
      </c>
      <c r="N74">
        <f>IFERROR(IF(ISNUMBER(INDEX(SPPR!$E:$Z,MATCH($A74,SPPR!$A:$A,0),11)),$C74*INDEX(SPPR!$E:$Z,MATCH($A74,SPPR!$A:$A,0),11),""),"")</f>
        <v/>
      </c>
      <c r="O74">
        <f>IFERROR(IF(ISNUMBER(INDEX(SPPR!$E:$Z,MATCH($A74,SPPR!$A:$A,0),12)),$C74*INDEX(SPPR!$E:$Z,MATCH($A74,SPPR!$A:$A,0),12),""),"")</f>
        <v/>
      </c>
      <c r="P74">
        <f>IFERROR(IF(ISNUMBER(INDEX(SPPR!$E:$Z,MATCH($A74,SPPR!$A:$A,0),13)),$C74*INDEX(SPPR!$E:$Z,MATCH($A74,SPPR!$A:$A,0),13),""),"")</f>
        <v/>
      </c>
      <c r="Q74">
        <f>IFERROR(IF(ISNUMBER(INDEX(SPPR!$E:$Z,MATCH($A74,SPPR!$A:$A,0),14)),$C74*INDEX(SPPR!$E:$Z,MATCH($A74,SPPR!$A:$A,0),14),""),"")</f>
        <v/>
      </c>
      <c r="R74">
        <f>IFERROR(IF(ISNUMBER(INDEX(SPPR!$E:$Z,MATCH($A74,SPPR!$A:$A,0),15)),$C74*INDEX(SPPR!$E:$Z,MATCH($A74,SPPR!$A:$A,0),15),""),"")</f>
        <v/>
      </c>
      <c r="S74">
        <f>IFERROR(IF(ISNUMBER(INDEX(SPPR!$E:$Z,MATCH($A74,SPPR!$A:$A,0),16)),$C74*INDEX(SPPR!$E:$Z,MATCH($A74,SPPR!$A:$A,0),16),""),"")</f>
        <v/>
      </c>
      <c r="T74">
        <f>IFERROR(IF(ISNUMBER(INDEX(SPPR!$E:$Z,MATCH($A74,SPPR!$A:$A,0),17)),$C74*INDEX(SPPR!$E:$Z,MATCH($A74,SPPR!$A:$A,0),17),""),"")</f>
        <v/>
      </c>
      <c r="U74">
        <f>IFERROR(IF(ISNUMBER(INDEX(SPPR!$E:$Z,MATCH($A74,SPPR!$A:$A,0),18)),$C74*INDEX(SPPR!$E:$Z,MATCH($A74,SPPR!$A:$A,0),18),""),"")</f>
        <v/>
      </c>
      <c r="V74">
        <f>IFERROR(IF(ISNUMBER(INDEX(SPPR!$E:$Z,MATCH($A74,SPPR!$A:$A,0),19)),$C74*INDEX(SPPR!$E:$Z,MATCH($A74,SPPR!$A:$A,0),19),""),"")</f>
        <v/>
      </c>
      <c r="W74">
        <f>IFERROR(IF(ISNUMBER(INDEX(SPPR!$E:$Z,MATCH($A74,SPPR!$A:$A,0),20)),$C74*INDEX(SPPR!$E:$Z,MATCH($A74,SPPR!$A:$A,0),20),""),"")</f>
        <v/>
      </c>
      <c r="X74">
        <f>IFERROR(IF(ISNUMBER(INDEX(SPPR!$E:$Z,MATCH($A74,SPPR!$A:$A,0),21)),$C74*INDEX(SPPR!$E:$Z,MATCH($A74,SPPR!$A:$A,0),21),""),"")</f>
        <v/>
      </c>
      <c r="Y74">
        <f>IFERROR(IF(ISNUMBER(INDEX(SPPR!$E:$Z,MATCH($A74,SPPR!$A:$A,0),22)),$C74*INDEX(SPPR!$E:$Z,MATCH($A74,SPPR!$A:$A,0),22),""),"")</f>
        <v/>
      </c>
    </row>
    <row r="75">
      <c r="A75" t="inlineStr">
        <is>
          <t>Psettodes erumei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IFERROR(IF(ISNUMBER(INDEX(SPPR!$E:$Z,MATCH($A75,SPPR!$A:$A,0),1)),$C75*INDEX(SPPR!$E:$Z,MATCH($A75,SPPR!$A:$A,0),1),""),"")</f>
        <v/>
      </c>
      <c r="E75">
        <f>IFERROR(IF(ISNUMBER(INDEX(SPPR!$E:$Z,MATCH($A75,SPPR!$A:$A,0),2)),$C75*INDEX(SPPR!$E:$Z,MATCH($A75,SPPR!$A:$A,0),2),""),"")</f>
        <v/>
      </c>
      <c r="F75">
        <f>IFERROR(IF(ISNUMBER(INDEX(SPPR!$E:$Z,MATCH($A75,SPPR!$A:$A,0),3)),$C75*INDEX(SPPR!$E:$Z,MATCH($A75,SPPR!$A:$A,0),3),""),"")</f>
        <v/>
      </c>
      <c r="G75">
        <f>IFERROR(IF(ISNUMBER(INDEX(SPPR!$E:$Z,MATCH($A75,SPPR!$A:$A,0),4)),$C75*INDEX(SPPR!$E:$Z,MATCH($A75,SPPR!$A:$A,0),4),""),"")</f>
        <v/>
      </c>
      <c r="H75">
        <f>IFERROR(IF(ISNUMBER(INDEX(SPPR!$E:$Z,MATCH($A75,SPPR!$A:$A,0),5)),$C75*INDEX(SPPR!$E:$Z,MATCH($A75,SPPR!$A:$A,0),5),""),"")</f>
        <v/>
      </c>
      <c r="I75">
        <f>IFERROR(IF(ISNUMBER(INDEX(SPPR!$E:$Z,MATCH($A75,SPPR!$A:$A,0),6)),$C75*INDEX(SPPR!$E:$Z,MATCH($A75,SPPR!$A:$A,0),6),""),"")</f>
        <v/>
      </c>
      <c r="J75">
        <f>IFERROR(IF(ISNUMBER(INDEX(SPPR!$E:$Z,MATCH($A75,SPPR!$A:$A,0),7)),$C75*INDEX(SPPR!$E:$Z,MATCH($A75,SPPR!$A:$A,0),7),""),"")</f>
        <v/>
      </c>
      <c r="K75">
        <f>IFERROR(IF(ISNUMBER(INDEX(SPPR!$E:$Z,MATCH($A75,SPPR!$A:$A,0),8)),$C75*INDEX(SPPR!$E:$Z,MATCH($A75,SPPR!$A:$A,0),8),""),"")</f>
        <v/>
      </c>
      <c r="L75">
        <f>IFERROR(IF(ISNUMBER(INDEX(SPPR!$E:$Z,MATCH($A75,SPPR!$A:$A,0),9)),$C75*INDEX(SPPR!$E:$Z,MATCH($A75,SPPR!$A:$A,0),9),""),"")</f>
        <v/>
      </c>
      <c r="M75">
        <f>IFERROR(IF(ISNUMBER(INDEX(SPPR!$E:$Z,MATCH($A75,SPPR!$A:$A,0),10)),$C75*INDEX(SPPR!$E:$Z,MATCH($A75,SPPR!$A:$A,0),10),""),"")</f>
        <v/>
      </c>
      <c r="N75">
        <f>IFERROR(IF(ISNUMBER(INDEX(SPPR!$E:$Z,MATCH($A75,SPPR!$A:$A,0),11)),$C75*INDEX(SPPR!$E:$Z,MATCH($A75,SPPR!$A:$A,0),11),""),"")</f>
        <v/>
      </c>
      <c r="O75">
        <f>IFERROR(IF(ISNUMBER(INDEX(SPPR!$E:$Z,MATCH($A75,SPPR!$A:$A,0),12)),$C75*INDEX(SPPR!$E:$Z,MATCH($A75,SPPR!$A:$A,0),12),""),"")</f>
        <v/>
      </c>
      <c r="P75">
        <f>IFERROR(IF(ISNUMBER(INDEX(SPPR!$E:$Z,MATCH($A75,SPPR!$A:$A,0),13)),$C75*INDEX(SPPR!$E:$Z,MATCH($A75,SPPR!$A:$A,0),13),""),"")</f>
        <v/>
      </c>
      <c r="Q75">
        <f>IFERROR(IF(ISNUMBER(INDEX(SPPR!$E:$Z,MATCH($A75,SPPR!$A:$A,0),14)),$C75*INDEX(SPPR!$E:$Z,MATCH($A75,SPPR!$A:$A,0),14),""),"")</f>
        <v/>
      </c>
      <c r="R75">
        <f>IFERROR(IF(ISNUMBER(INDEX(SPPR!$E:$Z,MATCH($A75,SPPR!$A:$A,0),15)),$C75*INDEX(SPPR!$E:$Z,MATCH($A75,SPPR!$A:$A,0),15),""),"")</f>
        <v/>
      </c>
      <c r="S75">
        <f>IFERROR(IF(ISNUMBER(INDEX(SPPR!$E:$Z,MATCH($A75,SPPR!$A:$A,0),16)),$C75*INDEX(SPPR!$E:$Z,MATCH($A75,SPPR!$A:$A,0),16),""),"")</f>
        <v/>
      </c>
      <c r="T75">
        <f>IFERROR(IF(ISNUMBER(INDEX(SPPR!$E:$Z,MATCH($A75,SPPR!$A:$A,0),17)),$C75*INDEX(SPPR!$E:$Z,MATCH($A75,SPPR!$A:$A,0),17),""),"")</f>
        <v/>
      </c>
      <c r="U75">
        <f>IFERROR(IF(ISNUMBER(INDEX(SPPR!$E:$Z,MATCH($A75,SPPR!$A:$A,0),18)),$C75*INDEX(SPPR!$E:$Z,MATCH($A75,SPPR!$A:$A,0),18),""),"")</f>
        <v/>
      </c>
      <c r="V75">
        <f>IFERROR(IF(ISNUMBER(INDEX(SPPR!$E:$Z,MATCH($A75,SPPR!$A:$A,0),19)),$C75*INDEX(SPPR!$E:$Z,MATCH($A75,SPPR!$A:$A,0),19),""),"")</f>
        <v/>
      </c>
      <c r="W75">
        <f>IFERROR(IF(ISNUMBER(INDEX(SPPR!$E:$Z,MATCH($A75,SPPR!$A:$A,0),20)),$C75*INDEX(SPPR!$E:$Z,MATCH($A75,SPPR!$A:$A,0),20),""),"")</f>
        <v/>
      </c>
      <c r="X75">
        <f>IFERROR(IF(ISNUMBER(INDEX(SPPR!$E:$Z,MATCH($A75,SPPR!$A:$A,0),21)),$C75*INDEX(SPPR!$E:$Z,MATCH($A75,SPPR!$A:$A,0),21),""),"")</f>
        <v/>
      </c>
      <c r="Y75">
        <f>IFERROR(IF(ISNUMBER(INDEX(SPPR!$E:$Z,MATCH($A75,SPPR!$A:$A,0),22)),$C75*INDEX(SPPR!$E:$Z,MATCH($A75,SPPR!$A:$A,0),22),""),"")</f>
        <v/>
      </c>
    </row>
    <row r="76">
      <c r="A76" t="inlineStr">
        <is>
          <t>Serranidae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IFERROR(IF(ISNUMBER(INDEX(SPPR!$E:$Z,MATCH($A76,SPPR!$A:$A,0),1)),$C76*INDEX(SPPR!$E:$Z,MATCH($A76,SPPR!$A:$A,0),1),""),"")</f>
        <v/>
      </c>
      <c r="E76">
        <f>IFERROR(IF(ISNUMBER(INDEX(SPPR!$E:$Z,MATCH($A76,SPPR!$A:$A,0),2)),$C76*INDEX(SPPR!$E:$Z,MATCH($A76,SPPR!$A:$A,0),2),""),"")</f>
        <v/>
      </c>
      <c r="F76">
        <f>IFERROR(IF(ISNUMBER(INDEX(SPPR!$E:$Z,MATCH($A76,SPPR!$A:$A,0),3)),$C76*INDEX(SPPR!$E:$Z,MATCH($A76,SPPR!$A:$A,0),3),""),"")</f>
        <v/>
      </c>
      <c r="G76">
        <f>IFERROR(IF(ISNUMBER(INDEX(SPPR!$E:$Z,MATCH($A76,SPPR!$A:$A,0),4)),$C76*INDEX(SPPR!$E:$Z,MATCH($A76,SPPR!$A:$A,0),4),""),"")</f>
        <v/>
      </c>
      <c r="H76">
        <f>IFERROR(IF(ISNUMBER(INDEX(SPPR!$E:$Z,MATCH($A76,SPPR!$A:$A,0),5)),$C76*INDEX(SPPR!$E:$Z,MATCH($A76,SPPR!$A:$A,0),5),""),"")</f>
        <v/>
      </c>
      <c r="I76">
        <f>IFERROR(IF(ISNUMBER(INDEX(SPPR!$E:$Z,MATCH($A76,SPPR!$A:$A,0),6)),$C76*INDEX(SPPR!$E:$Z,MATCH($A76,SPPR!$A:$A,0),6),""),"")</f>
        <v/>
      </c>
      <c r="J76">
        <f>IFERROR(IF(ISNUMBER(INDEX(SPPR!$E:$Z,MATCH($A76,SPPR!$A:$A,0),7)),$C76*INDEX(SPPR!$E:$Z,MATCH($A76,SPPR!$A:$A,0),7),""),"")</f>
        <v/>
      </c>
      <c r="K76">
        <f>IFERROR(IF(ISNUMBER(INDEX(SPPR!$E:$Z,MATCH($A76,SPPR!$A:$A,0),8)),$C76*INDEX(SPPR!$E:$Z,MATCH($A76,SPPR!$A:$A,0),8),""),"")</f>
        <v/>
      </c>
      <c r="L76">
        <f>IFERROR(IF(ISNUMBER(INDEX(SPPR!$E:$Z,MATCH($A76,SPPR!$A:$A,0),9)),$C76*INDEX(SPPR!$E:$Z,MATCH($A76,SPPR!$A:$A,0),9),""),"")</f>
        <v/>
      </c>
      <c r="M76">
        <f>IFERROR(IF(ISNUMBER(INDEX(SPPR!$E:$Z,MATCH($A76,SPPR!$A:$A,0),10)),$C76*INDEX(SPPR!$E:$Z,MATCH($A76,SPPR!$A:$A,0),10),""),"")</f>
        <v/>
      </c>
      <c r="N76">
        <f>IFERROR(IF(ISNUMBER(INDEX(SPPR!$E:$Z,MATCH($A76,SPPR!$A:$A,0),11)),$C76*INDEX(SPPR!$E:$Z,MATCH($A76,SPPR!$A:$A,0),11),""),"")</f>
        <v/>
      </c>
      <c r="O76">
        <f>IFERROR(IF(ISNUMBER(INDEX(SPPR!$E:$Z,MATCH($A76,SPPR!$A:$A,0),12)),$C76*INDEX(SPPR!$E:$Z,MATCH($A76,SPPR!$A:$A,0),12),""),"")</f>
        <v/>
      </c>
      <c r="P76">
        <f>IFERROR(IF(ISNUMBER(INDEX(SPPR!$E:$Z,MATCH($A76,SPPR!$A:$A,0),13)),$C76*INDEX(SPPR!$E:$Z,MATCH($A76,SPPR!$A:$A,0),13),""),"")</f>
        <v/>
      </c>
      <c r="Q76">
        <f>IFERROR(IF(ISNUMBER(INDEX(SPPR!$E:$Z,MATCH($A76,SPPR!$A:$A,0),14)),$C76*INDEX(SPPR!$E:$Z,MATCH($A76,SPPR!$A:$A,0),14),""),"")</f>
        <v/>
      </c>
      <c r="R76">
        <f>IFERROR(IF(ISNUMBER(INDEX(SPPR!$E:$Z,MATCH($A76,SPPR!$A:$A,0),15)),$C76*INDEX(SPPR!$E:$Z,MATCH($A76,SPPR!$A:$A,0),15),""),"")</f>
        <v/>
      </c>
      <c r="S76">
        <f>IFERROR(IF(ISNUMBER(INDEX(SPPR!$E:$Z,MATCH($A76,SPPR!$A:$A,0),16)),$C76*INDEX(SPPR!$E:$Z,MATCH($A76,SPPR!$A:$A,0),16),""),"")</f>
        <v/>
      </c>
      <c r="T76">
        <f>IFERROR(IF(ISNUMBER(INDEX(SPPR!$E:$Z,MATCH($A76,SPPR!$A:$A,0),17)),$C76*INDEX(SPPR!$E:$Z,MATCH($A76,SPPR!$A:$A,0),17),""),"")</f>
        <v/>
      </c>
      <c r="U76">
        <f>IFERROR(IF(ISNUMBER(INDEX(SPPR!$E:$Z,MATCH($A76,SPPR!$A:$A,0),18)),$C76*INDEX(SPPR!$E:$Z,MATCH($A76,SPPR!$A:$A,0),18),""),"")</f>
        <v/>
      </c>
      <c r="V76">
        <f>IFERROR(IF(ISNUMBER(INDEX(SPPR!$E:$Z,MATCH($A76,SPPR!$A:$A,0),19)),$C76*INDEX(SPPR!$E:$Z,MATCH($A76,SPPR!$A:$A,0),19),""),"")</f>
        <v/>
      </c>
      <c r="W76">
        <f>IFERROR(IF(ISNUMBER(INDEX(SPPR!$E:$Z,MATCH($A76,SPPR!$A:$A,0),20)),$C76*INDEX(SPPR!$E:$Z,MATCH($A76,SPPR!$A:$A,0),20),""),"")</f>
        <v/>
      </c>
      <c r="X76">
        <f>IFERROR(IF(ISNUMBER(INDEX(SPPR!$E:$Z,MATCH($A76,SPPR!$A:$A,0),21)),$C76*INDEX(SPPR!$E:$Z,MATCH($A76,SPPR!$A:$A,0),21),""),"")</f>
        <v/>
      </c>
      <c r="Y76">
        <f>IFERROR(IF(ISNUMBER(INDEX(SPPR!$E:$Z,MATCH($A76,SPPR!$A:$A,0),22)),$C76*INDEX(SPPR!$E:$Z,MATCH($A76,SPPR!$A:$A,0),22),""),"")</f>
        <v/>
      </c>
    </row>
    <row r="77">
      <c r="A77" t="inlineStr">
        <is>
          <t>Chirocentrus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IFERROR(IF(ISNUMBER(INDEX(SPPR!$E:$Z,MATCH($A77,SPPR!$A:$A,0),1)),$C77*INDEX(SPPR!$E:$Z,MATCH($A77,SPPR!$A:$A,0),1),""),"")</f>
        <v/>
      </c>
      <c r="E77">
        <f>IFERROR(IF(ISNUMBER(INDEX(SPPR!$E:$Z,MATCH($A77,SPPR!$A:$A,0),2)),$C77*INDEX(SPPR!$E:$Z,MATCH($A77,SPPR!$A:$A,0),2),""),"")</f>
        <v/>
      </c>
      <c r="F77">
        <f>IFERROR(IF(ISNUMBER(INDEX(SPPR!$E:$Z,MATCH($A77,SPPR!$A:$A,0),3)),$C77*INDEX(SPPR!$E:$Z,MATCH($A77,SPPR!$A:$A,0),3),""),"")</f>
        <v/>
      </c>
      <c r="G77">
        <f>IFERROR(IF(ISNUMBER(INDEX(SPPR!$E:$Z,MATCH($A77,SPPR!$A:$A,0),4)),$C77*INDEX(SPPR!$E:$Z,MATCH($A77,SPPR!$A:$A,0),4),""),"")</f>
        <v/>
      </c>
      <c r="H77">
        <f>IFERROR(IF(ISNUMBER(INDEX(SPPR!$E:$Z,MATCH($A77,SPPR!$A:$A,0),5)),$C77*INDEX(SPPR!$E:$Z,MATCH($A77,SPPR!$A:$A,0),5),""),"")</f>
        <v/>
      </c>
      <c r="I77">
        <f>IFERROR(IF(ISNUMBER(INDEX(SPPR!$E:$Z,MATCH($A77,SPPR!$A:$A,0),6)),$C77*INDEX(SPPR!$E:$Z,MATCH($A77,SPPR!$A:$A,0),6),""),"")</f>
        <v/>
      </c>
      <c r="J77">
        <f>IFERROR(IF(ISNUMBER(INDEX(SPPR!$E:$Z,MATCH($A77,SPPR!$A:$A,0),7)),$C77*INDEX(SPPR!$E:$Z,MATCH($A77,SPPR!$A:$A,0),7),""),"")</f>
        <v/>
      </c>
      <c r="K77">
        <f>IFERROR(IF(ISNUMBER(INDEX(SPPR!$E:$Z,MATCH($A77,SPPR!$A:$A,0),8)),$C77*INDEX(SPPR!$E:$Z,MATCH($A77,SPPR!$A:$A,0),8),""),"")</f>
        <v/>
      </c>
      <c r="L77">
        <f>IFERROR(IF(ISNUMBER(INDEX(SPPR!$E:$Z,MATCH($A77,SPPR!$A:$A,0),9)),$C77*INDEX(SPPR!$E:$Z,MATCH($A77,SPPR!$A:$A,0),9),""),"")</f>
        <v/>
      </c>
      <c r="M77">
        <f>IFERROR(IF(ISNUMBER(INDEX(SPPR!$E:$Z,MATCH($A77,SPPR!$A:$A,0),10)),$C77*INDEX(SPPR!$E:$Z,MATCH($A77,SPPR!$A:$A,0),10),""),"")</f>
        <v/>
      </c>
      <c r="N77">
        <f>IFERROR(IF(ISNUMBER(INDEX(SPPR!$E:$Z,MATCH($A77,SPPR!$A:$A,0),11)),$C77*INDEX(SPPR!$E:$Z,MATCH($A77,SPPR!$A:$A,0),11),""),"")</f>
        <v/>
      </c>
      <c r="O77">
        <f>IFERROR(IF(ISNUMBER(INDEX(SPPR!$E:$Z,MATCH($A77,SPPR!$A:$A,0),12)),$C77*INDEX(SPPR!$E:$Z,MATCH($A77,SPPR!$A:$A,0),12),""),"")</f>
        <v/>
      </c>
      <c r="P77">
        <f>IFERROR(IF(ISNUMBER(INDEX(SPPR!$E:$Z,MATCH($A77,SPPR!$A:$A,0),13)),$C77*INDEX(SPPR!$E:$Z,MATCH($A77,SPPR!$A:$A,0),13),""),"")</f>
        <v/>
      </c>
      <c r="Q77">
        <f>IFERROR(IF(ISNUMBER(INDEX(SPPR!$E:$Z,MATCH($A77,SPPR!$A:$A,0),14)),$C77*INDEX(SPPR!$E:$Z,MATCH($A77,SPPR!$A:$A,0),14),""),"")</f>
        <v/>
      </c>
      <c r="R77">
        <f>IFERROR(IF(ISNUMBER(INDEX(SPPR!$E:$Z,MATCH($A77,SPPR!$A:$A,0),15)),$C77*INDEX(SPPR!$E:$Z,MATCH($A77,SPPR!$A:$A,0),15),""),"")</f>
        <v/>
      </c>
      <c r="S77">
        <f>IFERROR(IF(ISNUMBER(INDEX(SPPR!$E:$Z,MATCH($A77,SPPR!$A:$A,0),16)),$C77*INDEX(SPPR!$E:$Z,MATCH($A77,SPPR!$A:$A,0),16),""),"")</f>
        <v/>
      </c>
      <c r="T77">
        <f>IFERROR(IF(ISNUMBER(INDEX(SPPR!$E:$Z,MATCH($A77,SPPR!$A:$A,0),17)),$C77*INDEX(SPPR!$E:$Z,MATCH($A77,SPPR!$A:$A,0),17),""),"")</f>
        <v/>
      </c>
      <c r="U77">
        <f>IFERROR(IF(ISNUMBER(INDEX(SPPR!$E:$Z,MATCH($A77,SPPR!$A:$A,0),18)),$C77*INDEX(SPPR!$E:$Z,MATCH($A77,SPPR!$A:$A,0),18),""),"")</f>
        <v/>
      </c>
      <c r="V77">
        <f>IFERROR(IF(ISNUMBER(INDEX(SPPR!$E:$Z,MATCH($A77,SPPR!$A:$A,0),19)),$C77*INDEX(SPPR!$E:$Z,MATCH($A77,SPPR!$A:$A,0),19),""),"")</f>
        <v/>
      </c>
      <c r="W77">
        <f>IFERROR(IF(ISNUMBER(INDEX(SPPR!$E:$Z,MATCH($A77,SPPR!$A:$A,0),20)),$C77*INDEX(SPPR!$E:$Z,MATCH($A77,SPPR!$A:$A,0),20),""),"")</f>
        <v/>
      </c>
      <c r="X77">
        <f>IFERROR(IF(ISNUMBER(INDEX(SPPR!$E:$Z,MATCH($A77,SPPR!$A:$A,0),21)),$C77*INDEX(SPPR!$E:$Z,MATCH($A77,SPPR!$A:$A,0),21),""),"")</f>
        <v/>
      </c>
      <c r="Y77">
        <f>IFERROR(IF(ISNUMBER(INDEX(SPPR!$E:$Z,MATCH($A77,SPPR!$A:$A,0),22)),$C77*INDEX(SPPR!$E:$Z,MATCH($A77,SPPR!$A:$A,0),22),""),"")</f>
        <v/>
      </c>
    </row>
    <row r="78">
      <c r="A78" t="inlineStr">
        <is>
          <t>Epinephelus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IFERROR(IF(ISNUMBER(INDEX(SPPR!$E:$Z,MATCH($A78,SPPR!$A:$A,0),1)),$C78*INDEX(SPPR!$E:$Z,MATCH($A78,SPPR!$A:$A,0),1),""),"")</f>
        <v/>
      </c>
      <c r="E78">
        <f>IFERROR(IF(ISNUMBER(INDEX(SPPR!$E:$Z,MATCH($A78,SPPR!$A:$A,0),2)),$C78*INDEX(SPPR!$E:$Z,MATCH($A78,SPPR!$A:$A,0),2),""),"")</f>
        <v/>
      </c>
      <c r="F78">
        <f>IFERROR(IF(ISNUMBER(INDEX(SPPR!$E:$Z,MATCH($A78,SPPR!$A:$A,0),3)),$C78*INDEX(SPPR!$E:$Z,MATCH($A78,SPPR!$A:$A,0),3),""),"")</f>
        <v/>
      </c>
      <c r="G78">
        <f>IFERROR(IF(ISNUMBER(INDEX(SPPR!$E:$Z,MATCH($A78,SPPR!$A:$A,0),4)),$C78*INDEX(SPPR!$E:$Z,MATCH($A78,SPPR!$A:$A,0),4),""),"")</f>
        <v/>
      </c>
      <c r="H78">
        <f>IFERROR(IF(ISNUMBER(INDEX(SPPR!$E:$Z,MATCH($A78,SPPR!$A:$A,0),5)),$C78*INDEX(SPPR!$E:$Z,MATCH($A78,SPPR!$A:$A,0),5),""),"")</f>
        <v/>
      </c>
      <c r="I78">
        <f>IFERROR(IF(ISNUMBER(INDEX(SPPR!$E:$Z,MATCH($A78,SPPR!$A:$A,0),6)),$C78*INDEX(SPPR!$E:$Z,MATCH($A78,SPPR!$A:$A,0),6),""),"")</f>
        <v/>
      </c>
      <c r="J78">
        <f>IFERROR(IF(ISNUMBER(INDEX(SPPR!$E:$Z,MATCH($A78,SPPR!$A:$A,0),7)),$C78*INDEX(SPPR!$E:$Z,MATCH($A78,SPPR!$A:$A,0),7),""),"")</f>
        <v/>
      </c>
      <c r="K78">
        <f>IFERROR(IF(ISNUMBER(INDEX(SPPR!$E:$Z,MATCH($A78,SPPR!$A:$A,0),8)),$C78*INDEX(SPPR!$E:$Z,MATCH($A78,SPPR!$A:$A,0),8),""),"")</f>
        <v/>
      </c>
      <c r="L78">
        <f>IFERROR(IF(ISNUMBER(INDEX(SPPR!$E:$Z,MATCH($A78,SPPR!$A:$A,0),9)),$C78*INDEX(SPPR!$E:$Z,MATCH($A78,SPPR!$A:$A,0),9),""),"")</f>
        <v/>
      </c>
      <c r="M78">
        <f>IFERROR(IF(ISNUMBER(INDEX(SPPR!$E:$Z,MATCH($A78,SPPR!$A:$A,0),10)),$C78*INDEX(SPPR!$E:$Z,MATCH($A78,SPPR!$A:$A,0),10),""),"")</f>
        <v/>
      </c>
      <c r="N78">
        <f>IFERROR(IF(ISNUMBER(INDEX(SPPR!$E:$Z,MATCH($A78,SPPR!$A:$A,0),11)),$C78*INDEX(SPPR!$E:$Z,MATCH($A78,SPPR!$A:$A,0),11),""),"")</f>
        <v/>
      </c>
      <c r="O78">
        <f>IFERROR(IF(ISNUMBER(INDEX(SPPR!$E:$Z,MATCH($A78,SPPR!$A:$A,0),12)),$C78*INDEX(SPPR!$E:$Z,MATCH($A78,SPPR!$A:$A,0),12),""),"")</f>
        <v/>
      </c>
      <c r="P78">
        <f>IFERROR(IF(ISNUMBER(INDEX(SPPR!$E:$Z,MATCH($A78,SPPR!$A:$A,0),13)),$C78*INDEX(SPPR!$E:$Z,MATCH($A78,SPPR!$A:$A,0),13),""),"")</f>
        <v/>
      </c>
      <c r="Q78">
        <f>IFERROR(IF(ISNUMBER(INDEX(SPPR!$E:$Z,MATCH($A78,SPPR!$A:$A,0),14)),$C78*INDEX(SPPR!$E:$Z,MATCH($A78,SPPR!$A:$A,0),14),""),"")</f>
        <v/>
      </c>
      <c r="R78">
        <f>IFERROR(IF(ISNUMBER(INDEX(SPPR!$E:$Z,MATCH($A78,SPPR!$A:$A,0),15)),$C78*INDEX(SPPR!$E:$Z,MATCH($A78,SPPR!$A:$A,0),15),""),"")</f>
        <v/>
      </c>
      <c r="S78">
        <f>IFERROR(IF(ISNUMBER(INDEX(SPPR!$E:$Z,MATCH($A78,SPPR!$A:$A,0),16)),$C78*INDEX(SPPR!$E:$Z,MATCH($A78,SPPR!$A:$A,0),16),""),"")</f>
        <v/>
      </c>
      <c r="T78">
        <f>IFERROR(IF(ISNUMBER(INDEX(SPPR!$E:$Z,MATCH($A78,SPPR!$A:$A,0),17)),$C78*INDEX(SPPR!$E:$Z,MATCH($A78,SPPR!$A:$A,0),17),""),"")</f>
        <v/>
      </c>
      <c r="U78">
        <f>IFERROR(IF(ISNUMBER(INDEX(SPPR!$E:$Z,MATCH($A78,SPPR!$A:$A,0),18)),$C78*INDEX(SPPR!$E:$Z,MATCH($A78,SPPR!$A:$A,0),18),""),"")</f>
        <v/>
      </c>
      <c r="V78">
        <f>IFERROR(IF(ISNUMBER(INDEX(SPPR!$E:$Z,MATCH($A78,SPPR!$A:$A,0),19)),$C78*INDEX(SPPR!$E:$Z,MATCH($A78,SPPR!$A:$A,0),19),""),"")</f>
        <v/>
      </c>
      <c r="W78">
        <f>IFERROR(IF(ISNUMBER(INDEX(SPPR!$E:$Z,MATCH($A78,SPPR!$A:$A,0),20)),$C78*INDEX(SPPR!$E:$Z,MATCH($A78,SPPR!$A:$A,0),20),""),"")</f>
        <v/>
      </c>
      <c r="X78">
        <f>IFERROR(IF(ISNUMBER(INDEX(SPPR!$E:$Z,MATCH($A78,SPPR!$A:$A,0),21)),$C78*INDEX(SPPR!$E:$Z,MATCH($A78,SPPR!$A:$A,0),21),""),"")</f>
        <v/>
      </c>
      <c r="Y78">
        <f>IFERROR(IF(ISNUMBER(INDEX(SPPR!$E:$Z,MATCH($A78,SPPR!$A:$A,0),22)),$C78*INDEX(SPPR!$E:$Z,MATCH($A78,SPPR!$A:$A,0),22),""),"")</f>
        <v/>
      </c>
    </row>
    <row r="79">
      <c r="A79" t="inlineStr">
        <is>
          <t>Portunidae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IFERROR(IF(ISNUMBER(INDEX(SPPR!$E:$Z,MATCH($A79,SPPR!$A:$A,0),1)),$C79*INDEX(SPPR!$E:$Z,MATCH($A79,SPPR!$A:$A,0),1),""),"")</f>
        <v/>
      </c>
      <c r="E79">
        <f>IFERROR(IF(ISNUMBER(INDEX(SPPR!$E:$Z,MATCH($A79,SPPR!$A:$A,0),2)),$C79*INDEX(SPPR!$E:$Z,MATCH($A79,SPPR!$A:$A,0),2),""),"")</f>
        <v/>
      </c>
      <c r="F79">
        <f>IFERROR(IF(ISNUMBER(INDEX(SPPR!$E:$Z,MATCH($A79,SPPR!$A:$A,0),3)),$C79*INDEX(SPPR!$E:$Z,MATCH($A79,SPPR!$A:$A,0),3),""),"")</f>
        <v/>
      </c>
      <c r="G79">
        <f>IFERROR(IF(ISNUMBER(INDEX(SPPR!$E:$Z,MATCH($A79,SPPR!$A:$A,0),4)),$C79*INDEX(SPPR!$E:$Z,MATCH($A79,SPPR!$A:$A,0),4),""),"")</f>
        <v/>
      </c>
      <c r="H79">
        <f>IFERROR(IF(ISNUMBER(INDEX(SPPR!$E:$Z,MATCH($A79,SPPR!$A:$A,0),5)),$C79*INDEX(SPPR!$E:$Z,MATCH($A79,SPPR!$A:$A,0),5),""),"")</f>
        <v/>
      </c>
      <c r="I79">
        <f>IFERROR(IF(ISNUMBER(INDEX(SPPR!$E:$Z,MATCH($A79,SPPR!$A:$A,0),6)),$C79*INDEX(SPPR!$E:$Z,MATCH($A79,SPPR!$A:$A,0),6),""),"")</f>
        <v/>
      </c>
      <c r="J79">
        <f>IFERROR(IF(ISNUMBER(INDEX(SPPR!$E:$Z,MATCH($A79,SPPR!$A:$A,0),7)),$C79*INDEX(SPPR!$E:$Z,MATCH($A79,SPPR!$A:$A,0),7),""),"")</f>
        <v/>
      </c>
      <c r="K79">
        <f>IFERROR(IF(ISNUMBER(INDEX(SPPR!$E:$Z,MATCH($A79,SPPR!$A:$A,0),8)),$C79*INDEX(SPPR!$E:$Z,MATCH($A79,SPPR!$A:$A,0),8),""),"")</f>
        <v/>
      </c>
      <c r="L79">
        <f>IFERROR(IF(ISNUMBER(INDEX(SPPR!$E:$Z,MATCH($A79,SPPR!$A:$A,0),9)),$C79*INDEX(SPPR!$E:$Z,MATCH($A79,SPPR!$A:$A,0),9),""),"")</f>
        <v/>
      </c>
      <c r="M79">
        <f>IFERROR(IF(ISNUMBER(INDEX(SPPR!$E:$Z,MATCH($A79,SPPR!$A:$A,0),10)),$C79*INDEX(SPPR!$E:$Z,MATCH($A79,SPPR!$A:$A,0),10),""),"")</f>
        <v/>
      </c>
      <c r="N79">
        <f>IFERROR(IF(ISNUMBER(INDEX(SPPR!$E:$Z,MATCH($A79,SPPR!$A:$A,0),11)),$C79*INDEX(SPPR!$E:$Z,MATCH($A79,SPPR!$A:$A,0),11),""),"")</f>
        <v/>
      </c>
      <c r="O79">
        <f>IFERROR(IF(ISNUMBER(INDEX(SPPR!$E:$Z,MATCH($A79,SPPR!$A:$A,0),12)),$C79*INDEX(SPPR!$E:$Z,MATCH($A79,SPPR!$A:$A,0),12),""),"")</f>
        <v/>
      </c>
      <c r="P79">
        <f>IFERROR(IF(ISNUMBER(INDEX(SPPR!$E:$Z,MATCH($A79,SPPR!$A:$A,0),13)),$C79*INDEX(SPPR!$E:$Z,MATCH($A79,SPPR!$A:$A,0),13),""),"")</f>
        <v/>
      </c>
      <c r="Q79">
        <f>IFERROR(IF(ISNUMBER(INDEX(SPPR!$E:$Z,MATCH($A79,SPPR!$A:$A,0),14)),$C79*INDEX(SPPR!$E:$Z,MATCH($A79,SPPR!$A:$A,0),14),""),"")</f>
        <v/>
      </c>
      <c r="R79">
        <f>IFERROR(IF(ISNUMBER(INDEX(SPPR!$E:$Z,MATCH($A79,SPPR!$A:$A,0),15)),$C79*INDEX(SPPR!$E:$Z,MATCH($A79,SPPR!$A:$A,0),15),""),"")</f>
        <v/>
      </c>
      <c r="S79">
        <f>IFERROR(IF(ISNUMBER(INDEX(SPPR!$E:$Z,MATCH($A79,SPPR!$A:$A,0),16)),$C79*INDEX(SPPR!$E:$Z,MATCH($A79,SPPR!$A:$A,0),16),""),"")</f>
        <v/>
      </c>
      <c r="T79">
        <f>IFERROR(IF(ISNUMBER(INDEX(SPPR!$E:$Z,MATCH($A79,SPPR!$A:$A,0),17)),$C79*INDEX(SPPR!$E:$Z,MATCH($A79,SPPR!$A:$A,0),17),""),"")</f>
        <v/>
      </c>
      <c r="U79">
        <f>IFERROR(IF(ISNUMBER(INDEX(SPPR!$E:$Z,MATCH($A79,SPPR!$A:$A,0),18)),$C79*INDEX(SPPR!$E:$Z,MATCH($A79,SPPR!$A:$A,0),18),""),"")</f>
        <v/>
      </c>
      <c r="V79">
        <f>IFERROR(IF(ISNUMBER(INDEX(SPPR!$E:$Z,MATCH($A79,SPPR!$A:$A,0),19)),$C79*INDEX(SPPR!$E:$Z,MATCH($A79,SPPR!$A:$A,0),19),""),"")</f>
        <v/>
      </c>
      <c r="W79">
        <f>IFERROR(IF(ISNUMBER(INDEX(SPPR!$E:$Z,MATCH($A79,SPPR!$A:$A,0),20)),$C79*INDEX(SPPR!$E:$Z,MATCH($A79,SPPR!$A:$A,0),20),""),"")</f>
        <v/>
      </c>
      <c r="X79">
        <f>IFERROR(IF(ISNUMBER(INDEX(SPPR!$E:$Z,MATCH($A79,SPPR!$A:$A,0),21)),$C79*INDEX(SPPR!$E:$Z,MATCH($A79,SPPR!$A:$A,0),21),""),"")</f>
        <v/>
      </c>
      <c r="Y79">
        <f>IFERROR(IF(ISNUMBER(INDEX(SPPR!$E:$Z,MATCH($A79,SPPR!$A:$A,0),22)),$C79*INDEX(SPPR!$E:$Z,MATCH($A79,SPPR!$A:$A,0),22),""),"")</f>
        <v/>
      </c>
    </row>
    <row r="80">
      <c r="A80" t="inlineStr">
        <is>
          <t>Lutjanus malabaricus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IFERROR(IF(ISNUMBER(INDEX(SPPR!$E:$Z,MATCH($A80,SPPR!$A:$A,0),1)),$C80*INDEX(SPPR!$E:$Z,MATCH($A80,SPPR!$A:$A,0),1),""),"")</f>
        <v/>
      </c>
      <c r="E80">
        <f>IFERROR(IF(ISNUMBER(INDEX(SPPR!$E:$Z,MATCH($A80,SPPR!$A:$A,0),2)),$C80*INDEX(SPPR!$E:$Z,MATCH($A80,SPPR!$A:$A,0),2),""),"")</f>
        <v/>
      </c>
      <c r="F80">
        <f>IFERROR(IF(ISNUMBER(INDEX(SPPR!$E:$Z,MATCH($A80,SPPR!$A:$A,0),3)),$C80*INDEX(SPPR!$E:$Z,MATCH($A80,SPPR!$A:$A,0),3),""),"")</f>
        <v/>
      </c>
      <c r="G80">
        <f>IFERROR(IF(ISNUMBER(INDEX(SPPR!$E:$Z,MATCH($A80,SPPR!$A:$A,0),4)),$C80*INDEX(SPPR!$E:$Z,MATCH($A80,SPPR!$A:$A,0),4),""),"")</f>
        <v/>
      </c>
      <c r="H80">
        <f>IFERROR(IF(ISNUMBER(INDEX(SPPR!$E:$Z,MATCH($A80,SPPR!$A:$A,0),5)),$C80*INDEX(SPPR!$E:$Z,MATCH($A80,SPPR!$A:$A,0),5),""),"")</f>
        <v/>
      </c>
      <c r="I80">
        <f>IFERROR(IF(ISNUMBER(INDEX(SPPR!$E:$Z,MATCH($A80,SPPR!$A:$A,0),6)),$C80*INDEX(SPPR!$E:$Z,MATCH($A80,SPPR!$A:$A,0),6),""),"")</f>
        <v/>
      </c>
      <c r="J80">
        <f>IFERROR(IF(ISNUMBER(INDEX(SPPR!$E:$Z,MATCH($A80,SPPR!$A:$A,0),7)),$C80*INDEX(SPPR!$E:$Z,MATCH($A80,SPPR!$A:$A,0),7),""),"")</f>
        <v/>
      </c>
      <c r="K80">
        <f>IFERROR(IF(ISNUMBER(INDEX(SPPR!$E:$Z,MATCH($A80,SPPR!$A:$A,0),8)),$C80*INDEX(SPPR!$E:$Z,MATCH($A80,SPPR!$A:$A,0),8),""),"")</f>
        <v/>
      </c>
      <c r="L80">
        <f>IFERROR(IF(ISNUMBER(INDEX(SPPR!$E:$Z,MATCH($A80,SPPR!$A:$A,0),9)),$C80*INDEX(SPPR!$E:$Z,MATCH($A80,SPPR!$A:$A,0),9),""),"")</f>
        <v/>
      </c>
      <c r="M80">
        <f>IFERROR(IF(ISNUMBER(INDEX(SPPR!$E:$Z,MATCH($A80,SPPR!$A:$A,0),10)),$C80*INDEX(SPPR!$E:$Z,MATCH($A80,SPPR!$A:$A,0),10),""),"")</f>
        <v/>
      </c>
      <c r="N80">
        <f>IFERROR(IF(ISNUMBER(INDEX(SPPR!$E:$Z,MATCH($A80,SPPR!$A:$A,0),11)),$C80*INDEX(SPPR!$E:$Z,MATCH($A80,SPPR!$A:$A,0),11),""),"")</f>
        <v/>
      </c>
      <c r="O80">
        <f>IFERROR(IF(ISNUMBER(INDEX(SPPR!$E:$Z,MATCH($A80,SPPR!$A:$A,0),12)),$C80*INDEX(SPPR!$E:$Z,MATCH($A80,SPPR!$A:$A,0),12),""),"")</f>
        <v/>
      </c>
      <c r="P80">
        <f>IFERROR(IF(ISNUMBER(INDEX(SPPR!$E:$Z,MATCH($A80,SPPR!$A:$A,0),13)),$C80*INDEX(SPPR!$E:$Z,MATCH($A80,SPPR!$A:$A,0),13),""),"")</f>
        <v/>
      </c>
      <c r="Q80">
        <f>IFERROR(IF(ISNUMBER(INDEX(SPPR!$E:$Z,MATCH($A80,SPPR!$A:$A,0),14)),$C80*INDEX(SPPR!$E:$Z,MATCH($A80,SPPR!$A:$A,0),14),""),"")</f>
        <v/>
      </c>
      <c r="R80">
        <f>IFERROR(IF(ISNUMBER(INDEX(SPPR!$E:$Z,MATCH($A80,SPPR!$A:$A,0),15)),$C80*INDEX(SPPR!$E:$Z,MATCH($A80,SPPR!$A:$A,0),15),""),"")</f>
        <v/>
      </c>
      <c r="S80">
        <f>IFERROR(IF(ISNUMBER(INDEX(SPPR!$E:$Z,MATCH($A80,SPPR!$A:$A,0),16)),$C80*INDEX(SPPR!$E:$Z,MATCH($A80,SPPR!$A:$A,0),16),""),"")</f>
        <v/>
      </c>
      <c r="T80">
        <f>IFERROR(IF(ISNUMBER(INDEX(SPPR!$E:$Z,MATCH($A80,SPPR!$A:$A,0),17)),$C80*INDEX(SPPR!$E:$Z,MATCH($A80,SPPR!$A:$A,0),17),""),"")</f>
        <v/>
      </c>
      <c r="U80">
        <f>IFERROR(IF(ISNUMBER(INDEX(SPPR!$E:$Z,MATCH($A80,SPPR!$A:$A,0),18)),$C80*INDEX(SPPR!$E:$Z,MATCH($A80,SPPR!$A:$A,0),18),""),"")</f>
        <v/>
      </c>
      <c r="V80">
        <f>IFERROR(IF(ISNUMBER(INDEX(SPPR!$E:$Z,MATCH($A80,SPPR!$A:$A,0),19)),$C80*INDEX(SPPR!$E:$Z,MATCH($A80,SPPR!$A:$A,0),19),""),"")</f>
        <v/>
      </c>
      <c r="W80">
        <f>IFERROR(IF(ISNUMBER(INDEX(SPPR!$E:$Z,MATCH($A80,SPPR!$A:$A,0),20)),$C80*INDEX(SPPR!$E:$Z,MATCH($A80,SPPR!$A:$A,0),20),""),"")</f>
        <v/>
      </c>
      <c r="X80">
        <f>IFERROR(IF(ISNUMBER(INDEX(SPPR!$E:$Z,MATCH($A80,SPPR!$A:$A,0),21)),$C80*INDEX(SPPR!$E:$Z,MATCH($A80,SPPR!$A:$A,0),21),""),"")</f>
        <v/>
      </c>
      <c r="Y80">
        <f>IFERROR(IF(ISNUMBER(INDEX(SPPR!$E:$Z,MATCH($A80,SPPR!$A:$A,0),22)),$C80*INDEX(SPPR!$E:$Z,MATCH($A80,SPPR!$A:$A,0),22),""),"")</f>
        <v/>
      </c>
    </row>
    <row r="81">
      <c r="A81" t="inlineStr">
        <is>
          <t>Muraenesox cinereus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IFERROR(IF(ISNUMBER(INDEX(SPPR!$E:$Z,MATCH($A81,SPPR!$A:$A,0),1)),$C81*INDEX(SPPR!$E:$Z,MATCH($A81,SPPR!$A:$A,0),1),""),"")</f>
        <v/>
      </c>
      <c r="E81">
        <f>IFERROR(IF(ISNUMBER(INDEX(SPPR!$E:$Z,MATCH($A81,SPPR!$A:$A,0),2)),$C81*INDEX(SPPR!$E:$Z,MATCH($A81,SPPR!$A:$A,0),2),""),"")</f>
        <v/>
      </c>
      <c r="F81">
        <f>IFERROR(IF(ISNUMBER(INDEX(SPPR!$E:$Z,MATCH($A81,SPPR!$A:$A,0),3)),$C81*INDEX(SPPR!$E:$Z,MATCH($A81,SPPR!$A:$A,0),3),""),"")</f>
        <v/>
      </c>
      <c r="G81">
        <f>IFERROR(IF(ISNUMBER(INDEX(SPPR!$E:$Z,MATCH($A81,SPPR!$A:$A,0),4)),$C81*INDEX(SPPR!$E:$Z,MATCH($A81,SPPR!$A:$A,0),4),""),"")</f>
        <v/>
      </c>
      <c r="H81">
        <f>IFERROR(IF(ISNUMBER(INDEX(SPPR!$E:$Z,MATCH($A81,SPPR!$A:$A,0),5)),$C81*INDEX(SPPR!$E:$Z,MATCH($A81,SPPR!$A:$A,0),5),""),"")</f>
        <v/>
      </c>
      <c r="I81">
        <f>IFERROR(IF(ISNUMBER(INDEX(SPPR!$E:$Z,MATCH($A81,SPPR!$A:$A,0),6)),$C81*INDEX(SPPR!$E:$Z,MATCH($A81,SPPR!$A:$A,0),6),""),"")</f>
        <v/>
      </c>
      <c r="J81">
        <f>IFERROR(IF(ISNUMBER(INDEX(SPPR!$E:$Z,MATCH($A81,SPPR!$A:$A,0),7)),$C81*INDEX(SPPR!$E:$Z,MATCH($A81,SPPR!$A:$A,0),7),""),"")</f>
        <v/>
      </c>
      <c r="K81">
        <f>IFERROR(IF(ISNUMBER(INDEX(SPPR!$E:$Z,MATCH($A81,SPPR!$A:$A,0),8)),$C81*INDEX(SPPR!$E:$Z,MATCH($A81,SPPR!$A:$A,0),8),""),"")</f>
        <v/>
      </c>
      <c r="L81">
        <f>IFERROR(IF(ISNUMBER(INDEX(SPPR!$E:$Z,MATCH($A81,SPPR!$A:$A,0),9)),$C81*INDEX(SPPR!$E:$Z,MATCH($A81,SPPR!$A:$A,0),9),""),"")</f>
        <v/>
      </c>
      <c r="M81">
        <f>IFERROR(IF(ISNUMBER(INDEX(SPPR!$E:$Z,MATCH($A81,SPPR!$A:$A,0),10)),$C81*INDEX(SPPR!$E:$Z,MATCH($A81,SPPR!$A:$A,0),10),""),"")</f>
        <v/>
      </c>
      <c r="N81">
        <f>IFERROR(IF(ISNUMBER(INDEX(SPPR!$E:$Z,MATCH($A81,SPPR!$A:$A,0),11)),$C81*INDEX(SPPR!$E:$Z,MATCH($A81,SPPR!$A:$A,0),11),""),"")</f>
        <v/>
      </c>
      <c r="O81">
        <f>IFERROR(IF(ISNUMBER(INDEX(SPPR!$E:$Z,MATCH($A81,SPPR!$A:$A,0),12)),$C81*INDEX(SPPR!$E:$Z,MATCH($A81,SPPR!$A:$A,0),12),""),"")</f>
        <v/>
      </c>
      <c r="P81">
        <f>IFERROR(IF(ISNUMBER(INDEX(SPPR!$E:$Z,MATCH($A81,SPPR!$A:$A,0),13)),$C81*INDEX(SPPR!$E:$Z,MATCH($A81,SPPR!$A:$A,0),13),""),"")</f>
        <v/>
      </c>
      <c r="Q81">
        <f>IFERROR(IF(ISNUMBER(INDEX(SPPR!$E:$Z,MATCH($A81,SPPR!$A:$A,0),14)),$C81*INDEX(SPPR!$E:$Z,MATCH($A81,SPPR!$A:$A,0),14),""),"")</f>
        <v/>
      </c>
      <c r="R81">
        <f>IFERROR(IF(ISNUMBER(INDEX(SPPR!$E:$Z,MATCH($A81,SPPR!$A:$A,0),15)),$C81*INDEX(SPPR!$E:$Z,MATCH($A81,SPPR!$A:$A,0),15),""),"")</f>
        <v/>
      </c>
      <c r="S81">
        <f>IFERROR(IF(ISNUMBER(INDEX(SPPR!$E:$Z,MATCH($A81,SPPR!$A:$A,0),16)),$C81*INDEX(SPPR!$E:$Z,MATCH($A81,SPPR!$A:$A,0),16),""),"")</f>
        <v/>
      </c>
      <c r="T81">
        <f>IFERROR(IF(ISNUMBER(INDEX(SPPR!$E:$Z,MATCH($A81,SPPR!$A:$A,0),17)),$C81*INDEX(SPPR!$E:$Z,MATCH($A81,SPPR!$A:$A,0),17),""),"")</f>
        <v/>
      </c>
      <c r="U81">
        <f>IFERROR(IF(ISNUMBER(INDEX(SPPR!$E:$Z,MATCH($A81,SPPR!$A:$A,0),18)),$C81*INDEX(SPPR!$E:$Z,MATCH($A81,SPPR!$A:$A,0),18),""),"")</f>
        <v/>
      </c>
      <c r="V81">
        <f>IFERROR(IF(ISNUMBER(INDEX(SPPR!$E:$Z,MATCH($A81,SPPR!$A:$A,0),19)),$C81*INDEX(SPPR!$E:$Z,MATCH($A81,SPPR!$A:$A,0),19),""),"")</f>
        <v/>
      </c>
      <c r="W81">
        <f>IFERROR(IF(ISNUMBER(INDEX(SPPR!$E:$Z,MATCH($A81,SPPR!$A:$A,0),20)),$C81*INDEX(SPPR!$E:$Z,MATCH($A81,SPPR!$A:$A,0),20),""),"")</f>
        <v/>
      </c>
      <c r="X81">
        <f>IFERROR(IF(ISNUMBER(INDEX(SPPR!$E:$Z,MATCH($A81,SPPR!$A:$A,0),21)),$C81*INDEX(SPPR!$E:$Z,MATCH($A81,SPPR!$A:$A,0),21),""),"")</f>
        <v/>
      </c>
      <c r="Y81">
        <f>IFERROR(IF(ISNUMBER(INDEX(SPPR!$E:$Z,MATCH($A81,SPPR!$A:$A,0),22)),$C81*INDEX(SPPR!$E:$Z,MATCH($A81,SPPR!$A:$A,0),22),""),"")</f>
        <v/>
      </c>
    </row>
    <row r="82">
      <c r="A82" t="inlineStr">
        <is>
          <t>Upeneus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IFERROR(IF(ISNUMBER(INDEX(SPPR!$E:$Z,MATCH($A82,SPPR!$A:$A,0),1)),$C82*INDEX(SPPR!$E:$Z,MATCH($A82,SPPR!$A:$A,0),1),""),"")</f>
        <v/>
      </c>
      <c r="E82">
        <f>IFERROR(IF(ISNUMBER(INDEX(SPPR!$E:$Z,MATCH($A82,SPPR!$A:$A,0),2)),$C82*INDEX(SPPR!$E:$Z,MATCH($A82,SPPR!$A:$A,0),2),""),"")</f>
        <v/>
      </c>
      <c r="F82">
        <f>IFERROR(IF(ISNUMBER(INDEX(SPPR!$E:$Z,MATCH($A82,SPPR!$A:$A,0),3)),$C82*INDEX(SPPR!$E:$Z,MATCH($A82,SPPR!$A:$A,0),3),""),"")</f>
        <v/>
      </c>
      <c r="G82">
        <f>IFERROR(IF(ISNUMBER(INDEX(SPPR!$E:$Z,MATCH($A82,SPPR!$A:$A,0),4)),$C82*INDEX(SPPR!$E:$Z,MATCH($A82,SPPR!$A:$A,0),4),""),"")</f>
        <v/>
      </c>
      <c r="H82">
        <f>IFERROR(IF(ISNUMBER(INDEX(SPPR!$E:$Z,MATCH($A82,SPPR!$A:$A,0),5)),$C82*INDEX(SPPR!$E:$Z,MATCH($A82,SPPR!$A:$A,0),5),""),"")</f>
        <v/>
      </c>
      <c r="I82">
        <f>IFERROR(IF(ISNUMBER(INDEX(SPPR!$E:$Z,MATCH($A82,SPPR!$A:$A,0),6)),$C82*INDEX(SPPR!$E:$Z,MATCH($A82,SPPR!$A:$A,0),6),""),"")</f>
        <v/>
      </c>
      <c r="J82">
        <f>IFERROR(IF(ISNUMBER(INDEX(SPPR!$E:$Z,MATCH($A82,SPPR!$A:$A,0),7)),$C82*INDEX(SPPR!$E:$Z,MATCH($A82,SPPR!$A:$A,0),7),""),"")</f>
        <v/>
      </c>
      <c r="K82">
        <f>IFERROR(IF(ISNUMBER(INDEX(SPPR!$E:$Z,MATCH($A82,SPPR!$A:$A,0),8)),$C82*INDEX(SPPR!$E:$Z,MATCH($A82,SPPR!$A:$A,0),8),""),"")</f>
        <v/>
      </c>
      <c r="L82">
        <f>IFERROR(IF(ISNUMBER(INDEX(SPPR!$E:$Z,MATCH($A82,SPPR!$A:$A,0),9)),$C82*INDEX(SPPR!$E:$Z,MATCH($A82,SPPR!$A:$A,0),9),""),"")</f>
        <v/>
      </c>
      <c r="M82">
        <f>IFERROR(IF(ISNUMBER(INDEX(SPPR!$E:$Z,MATCH($A82,SPPR!$A:$A,0),10)),$C82*INDEX(SPPR!$E:$Z,MATCH($A82,SPPR!$A:$A,0),10),""),"")</f>
        <v/>
      </c>
      <c r="N82">
        <f>IFERROR(IF(ISNUMBER(INDEX(SPPR!$E:$Z,MATCH($A82,SPPR!$A:$A,0),11)),$C82*INDEX(SPPR!$E:$Z,MATCH($A82,SPPR!$A:$A,0),11),""),"")</f>
        <v/>
      </c>
      <c r="O82">
        <f>IFERROR(IF(ISNUMBER(INDEX(SPPR!$E:$Z,MATCH($A82,SPPR!$A:$A,0),12)),$C82*INDEX(SPPR!$E:$Z,MATCH($A82,SPPR!$A:$A,0),12),""),"")</f>
        <v/>
      </c>
      <c r="P82">
        <f>IFERROR(IF(ISNUMBER(INDEX(SPPR!$E:$Z,MATCH($A82,SPPR!$A:$A,0),13)),$C82*INDEX(SPPR!$E:$Z,MATCH($A82,SPPR!$A:$A,0),13),""),"")</f>
        <v/>
      </c>
      <c r="Q82">
        <f>IFERROR(IF(ISNUMBER(INDEX(SPPR!$E:$Z,MATCH($A82,SPPR!$A:$A,0),14)),$C82*INDEX(SPPR!$E:$Z,MATCH($A82,SPPR!$A:$A,0),14),""),"")</f>
        <v/>
      </c>
      <c r="R82">
        <f>IFERROR(IF(ISNUMBER(INDEX(SPPR!$E:$Z,MATCH($A82,SPPR!$A:$A,0),15)),$C82*INDEX(SPPR!$E:$Z,MATCH($A82,SPPR!$A:$A,0),15),""),"")</f>
        <v/>
      </c>
      <c r="S82">
        <f>IFERROR(IF(ISNUMBER(INDEX(SPPR!$E:$Z,MATCH($A82,SPPR!$A:$A,0),16)),$C82*INDEX(SPPR!$E:$Z,MATCH($A82,SPPR!$A:$A,0),16),""),"")</f>
        <v/>
      </c>
      <c r="T82">
        <f>IFERROR(IF(ISNUMBER(INDEX(SPPR!$E:$Z,MATCH($A82,SPPR!$A:$A,0),17)),$C82*INDEX(SPPR!$E:$Z,MATCH($A82,SPPR!$A:$A,0),17),""),"")</f>
        <v/>
      </c>
      <c r="U82">
        <f>IFERROR(IF(ISNUMBER(INDEX(SPPR!$E:$Z,MATCH($A82,SPPR!$A:$A,0),18)),$C82*INDEX(SPPR!$E:$Z,MATCH($A82,SPPR!$A:$A,0),18),""),"")</f>
        <v/>
      </c>
      <c r="V82">
        <f>IFERROR(IF(ISNUMBER(INDEX(SPPR!$E:$Z,MATCH($A82,SPPR!$A:$A,0),19)),$C82*INDEX(SPPR!$E:$Z,MATCH($A82,SPPR!$A:$A,0),19),""),"")</f>
        <v/>
      </c>
      <c r="W82">
        <f>IFERROR(IF(ISNUMBER(INDEX(SPPR!$E:$Z,MATCH($A82,SPPR!$A:$A,0),20)),$C82*INDEX(SPPR!$E:$Z,MATCH($A82,SPPR!$A:$A,0),20),""),"")</f>
        <v/>
      </c>
      <c r="X82">
        <f>IFERROR(IF(ISNUMBER(INDEX(SPPR!$E:$Z,MATCH($A82,SPPR!$A:$A,0),21)),$C82*INDEX(SPPR!$E:$Z,MATCH($A82,SPPR!$A:$A,0),21),""),"")</f>
        <v/>
      </c>
      <c r="Y82">
        <f>IFERROR(IF(ISNUMBER(INDEX(SPPR!$E:$Z,MATCH($A82,SPPR!$A:$A,0),22)),$C82*INDEX(SPPR!$E:$Z,MATCH($A82,SPPR!$A:$A,0),22),""),"")</f>
        <v/>
      </c>
    </row>
    <row r="83">
      <c r="A83" t="inlineStr">
        <is>
          <t>Gobiidae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IFERROR(IF(ISNUMBER(INDEX(SPPR!$E:$Z,MATCH($A83,SPPR!$A:$A,0),1)),$C83*INDEX(SPPR!$E:$Z,MATCH($A83,SPPR!$A:$A,0),1),""),"")</f>
        <v/>
      </c>
      <c r="E83">
        <f>IFERROR(IF(ISNUMBER(INDEX(SPPR!$E:$Z,MATCH($A83,SPPR!$A:$A,0),2)),$C83*INDEX(SPPR!$E:$Z,MATCH($A83,SPPR!$A:$A,0),2),""),"")</f>
        <v/>
      </c>
      <c r="F83">
        <f>IFERROR(IF(ISNUMBER(INDEX(SPPR!$E:$Z,MATCH($A83,SPPR!$A:$A,0),3)),$C83*INDEX(SPPR!$E:$Z,MATCH($A83,SPPR!$A:$A,0),3),""),"")</f>
        <v/>
      </c>
      <c r="G83">
        <f>IFERROR(IF(ISNUMBER(INDEX(SPPR!$E:$Z,MATCH($A83,SPPR!$A:$A,0),4)),$C83*INDEX(SPPR!$E:$Z,MATCH($A83,SPPR!$A:$A,0),4),""),"")</f>
        <v/>
      </c>
      <c r="H83">
        <f>IFERROR(IF(ISNUMBER(INDEX(SPPR!$E:$Z,MATCH($A83,SPPR!$A:$A,0),5)),$C83*INDEX(SPPR!$E:$Z,MATCH($A83,SPPR!$A:$A,0),5),""),"")</f>
        <v/>
      </c>
      <c r="I83">
        <f>IFERROR(IF(ISNUMBER(INDEX(SPPR!$E:$Z,MATCH($A83,SPPR!$A:$A,0),6)),$C83*INDEX(SPPR!$E:$Z,MATCH($A83,SPPR!$A:$A,0),6),""),"")</f>
        <v/>
      </c>
      <c r="J83">
        <f>IFERROR(IF(ISNUMBER(INDEX(SPPR!$E:$Z,MATCH($A83,SPPR!$A:$A,0),7)),$C83*INDEX(SPPR!$E:$Z,MATCH($A83,SPPR!$A:$A,0),7),""),"")</f>
        <v/>
      </c>
      <c r="K83">
        <f>IFERROR(IF(ISNUMBER(INDEX(SPPR!$E:$Z,MATCH($A83,SPPR!$A:$A,0),8)),$C83*INDEX(SPPR!$E:$Z,MATCH($A83,SPPR!$A:$A,0),8),""),"")</f>
        <v/>
      </c>
      <c r="L83">
        <f>IFERROR(IF(ISNUMBER(INDEX(SPPR!$E:$Z,MATCH($A83,SPPR!$A:$A,0),9)),$C83*INDEX(SPPR!$E:$Z,MATCH($A83,SPPR!$A:$A,0),9),""),"")</f>
        <v/>
      </c>
      <c r="M83">
        <f>IFERROR(IF(ISNUMBER(INDEX(SPPR!$E:$Z,MATCH($A83,SPPR!$A:$A,0),10)),$C83*INDEX(SPPR!$E:$Z,MATCH($A83,SPPR!$A:$A,0),10),""),"")</f>
        <v/>
      </c>
      <c r="N83">
        <f>IFERROR(IF(ISNUMBER(INDEX(SPPR!$E:$Z,MATCH($A83,SPPR!$A:$A,0),11)),$C83*INDEX(SPPR!$E:$Z,MATCH($A83,SPPR!$A:$A,0),11),""),"")</f>
        <v/>
      </c>
      <c r="O83">
        <f>IFERROR(IF(ISNUMBER(INDEX(SPPR!$E:$Z,MATCH($A83,SPPR!$A:$A,0),12)),$C83*INDEX(SPPR!$E:$Z,MATCH($A83,SPPR!$A:$A,0),12),""),"")</f>
        <v/>
      </c>
      <c r="P83">
        <f>IFERROR(IF(ISNUMBER(INDEX(SPPR!$E:$Z,MATCH($A83,SPPR!$A:$A,0),13)),$C83*INDEX(SPPR!$E:$Z,MATCH($A83,SPPR!$A:$A,0),13),""),"")</f>
        <v/>
      </c>
      <c r="Q83">
        <f>IFERROR(IF(ISNUMBER(INDEX(SPPR!$E:$Z,MATCH($A83,SPPR!$A:$A,0),14)),$C83*INDEX(SPPR!$E:$Z,MATCH($A83,SPPR!$A:$A,0),14),""),"")</f>
        <v/>
      </c>
      <c r="R83">
        <f>IFERROR(IF(ISNUMBER(INDEX(SPPR!$E:$Z,MATCH($A83,SPPR!$A:$A,0),15)),$C83*INDEX(SPPR!$E:$Z,MATCH($A83,SPPR!$A:$A,0),15),""),"")</f>
        <v/>
      </c>
      <c r="S83">
        <f>IFERROR(IF(ISNUMBER(INDEX(SPPR!$E:$Z,MATCH($A83,SPPR!$A:$A,0),16)),$C83*INDEX(SPPR!$E:$Z,MATCH($A83,SPPR!$A:$A,0),16),""),"")</f>
        <v/>
      </c>
      <c r="T83">
        <f>IFERROR(IF(ISNUMBER(INDEX(SPPR!$E:$Z,MATCH($A83,SPPR!$A:$A,0),17)),$C83*INDEX(SPPR!$E:$Z,MATCH($A83,SPPR!$A:$A,0),17),""),"")</f>
        <v/>
      </c>
      <c r="U83">
        <f>IFERROR(IF(ISNUMBER(INDEX(SPPR!$E:$Z,MATCH($A83,SPPR!$A:$A,0),18)),$C83*INDEX(SPPR!$E:$Z,MATCH($A83,SPPR!$A:$A,0),18),""),"")</f>
        <v/>
      </c>
      <c r="V83">
        <f>IFERROR(IF(ISNUMBER(INDEX(SPPR!$E:$Z,MATCH($A83,SPPR!$A:$A,0),19)),$C83*INDEX(SPPR!$E:$Z,MATCH($A83,SPPR!$A:$A,0),19),""),"")</f>
        <v/>
      </c>
      <c r="W83">
        <f>IFERROR(IF(ISNUMBER(INDEX(SPPR!$E:$Z,MATCH($A83,SPPR!$A:$A,0),20)),$C83*INDEX(SPPR!$E:$Z,MATCH($A83,SPPR!$A:$A,0),20),""),"")</f>
        <v/>
      </c>
      <c r="X83">
        <f>IFERROR(IF(ISNUMBER(INDEX(SPPR!$E:$Z,MATCH($A83,SPPR!$A:$A,0),21)),$C83*INDEX(SPPR!$E:$Z,MATCH($A83,SPPR!$A:$A,0),21),""),"")</f>
        <v/>
      </c>
      <c r="Y83">
        <f>IFERROR(IF(ISNUMBER(INDEX(SPPR!$E:$Z,MATCH($A83,SPPR!$A:$A,0),22)),$C83*INDEX(SPPR!$E:$Z,MATCH($A83,SPPR!$A:$A,0),22),""),"")</f>
        <v/>
      </c>
    </row>
    <row r="84">
      <c r="A84" t="inlineStr">
        <is>
          <t>Penaeus latisulcatus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IFERROR(IF(ISNUMBER(INDEX(SPPR!$E:$Z,MATCH($A84,SPPR!$A:$A,0),1)),$C84*INDEX(SPPR!$E:$Z,MATCH($A84,SPPR!$A:$A,0),1),""),"")</f>
        <v/>
      </c>
      <c r="E84">
        <f>IFERROR(IF(ISNUMBER(INDEX(SPPR!$E:$Z,MATCH($A84,SPPR!$A:$A,0),2)),$C84*INDEX(SPPR!$E:$Z,MATCH($A84,SPPR!$A:$A,0),2),""),"")</f>
        <v/>
      </c>
      <c r="F84">
        <f>IFERROR(IF(ISNUMBER(INDEX(SPPR!$E:$Z,MATCH($A84,SPPR!$A:$A,0),3)),$C84*INDEX(SPPR!$E:$Z,MATCH($A84,SPPR!$A:$A,0),3),""),"")</f>
        <v/>
      </c>
      <c r="G84">
        <f>IFERROR(IF(ISNUMBER(INDEX(SPPR!$E:$Z,MATCH($A84,SPPR!$A:$A,0),4)),$C84*INDEX(SPPR!$E:$Z,MATCH($A84,SPPR!$A:$A,0),4),""),"")</f>
        <v/>
      </c>
      <c r="H84">
        <f>IFERROR(IF(ISNUMBER(INDEX(SPPR!$E:$Z,MATCH($A84,SPPR!$A:$A,0),5)),$C84*INDEX(SPPR!$E:$Z,MATCH($A84,SPPR!$A:$A,0),5),""),"")</f>
        <v/>
      </c>
      <c r="I84">
        <f>IFERROR(IF(ISNUMBER(INDEX(SPPR!$E:$Z,MATCH($A84,SPPR!$A:$A,0),6)),$C84*INDEX(SPPR!$E:$Z,MATCH($A84,SPPR!$A:$A,0),6),""),"")</f>
        <v/>
      </c>
      <c r="J84">
        <f>IFERROR(IF(ISNUMBER(INDEX(SPPR!$E:$Z,MATCH($A84,SPPR!$A:$A,0),7)),$C84*INDEX(SPPR!$E:$Z,MATCH($A84,SPPR!$A:$A,0),7),""),"")</f>
        <v/>
      </c>
      <c r="K84">
        <f>IFERROR(IF(ISNUMBER(INDEX(SPPR!$E:$Z,MATCH($A84,SPPR!$A:$A,0),8)),$C84*INDEX(SPPR!$E:$Z,MATCH($A84,SPPR!$A:$A,0),8),""),"")</f>
        <v/>
      </c>
      <c r="L84">
        <f>IFERROR(IF(ISNUMBER(INDEX(SPPR!$E:$Z,MATCH($A84,SPPR!$A:$A,0),9)),$C84*INDEX(SPPR!$E:$Z,MATCH($A84,SPPR!$A:$A,0),9),""),"")</f>
        <v/>
      </c>
      <c r="M84">
        <f>IFERROR(IF(ISNUMBER(INDEX(SPPR!$E:$Z,MATCH($A84,SPPR!$A:$A,0),10)),$C84*INDEX(SPPR!$E:$Z,MATCH($A84,SPPR!$A:$A,0),10),""),"")</f>
        <v/>
      </c>
      <c r="N84">
        <f>IFERROR(IF(ISNUMBER(INDEX(SPPR!$E:$Z,MATCH($A84,SPPR!$A:$A,0),11)),$C84*INDEX(SPPR!$E:$Z,MATCH($A84,SPPR!$A:$A,0),11),""),"")</f>
        <v/>
      </c>
      <c r="O84">
        <f>IFERROR(IF(ISNUMBER(INDEX(SPPR!$E:$Z,MATCH($A84,SPPR!$A:$A,0),12)),$C84*INDEX(SPPR!$E:$Z,MATCH($A84,SPPR!$A:$A,0),12),""),"")</f>
        <v/>
      </c>
      <c r="P84">
        <f>IFERROR(IF(ISNUMBER(INDEX(SPPR!$E:$Z,MATCH($A84,SPPR!$A:$A,0),13)),$C84*INDEX(SPPR!$E:$Z,MATCH($A84,SPPR!$A:$A,0),13),""),"")</f>
        <v/>
      </c>
      <c r="Q84">
        <f>IFERROR(IF(ISNUMBER(INDEX(SPPR!$E:$Z,MATCH($A84,SPPR!$A:$A,0),14)),$C84*INDEX(SPPR!$E:$Z,MATCH($A84,SPPR!$A:$A,0),14),""),"")</f>
        <v/>
      </c>
      <c r="R84">
        <f>IFERROR(IF(ISNUMBER(INDEX(SPPR!$E:$Z,MATCH($A84,SPPR!$A:$A,0),15)),$C84*INDEX(SPPR!$E:$Z,MATCH($A84,SPPR!$A:$A,0),15),""),"")</f>
        <v/>
      </c>
      <c r="S84">
        <f>IFERROR(IF(ISNUMBER(INDEX(SPPR!$E:$Z,MATCH($A84,SPPR!$A:$A,0),16)),$C84*INDEX(SPPR!$E:$Z,MATCH($A84,SPPR!$A:$A,0),16),""),"")</f>
        <v/>
      </c>
      <c r="T84">
        <f>IFERROR(IF(ISNUMBER(INDEX(SPPR!$E:$Z,MATCH($A84,SPPR!$A:$A,0),17)),$C84*INDEX(SPPR!$E:$Z,MATCH($A84,SPPR!$A:$A,0),17),""),"")</f>
        <v/>
      </c>
      <c r="U84">
        <f>IFERROR(IF(ISNUMBER(INDEX(SPPR!$E:$Z,MATCH($A84,SPPR!$A:$A,0),18)),$C84*INDEX(SPPR!$E:$Z,MATCH($A84,SPPR!$A:$A,0),18),""),"")</f>
        <v/>
      </c>
      <c r="V84">
        <f>IFERROR(IF(ISNUMBER(INDEX(SPPR!$E:$Z,MATCH($A84,SPPR!$A:$A,0),19)),$C84*INDEX(SPPR!$E:$Z,MATCH($A84,SPPR!$A:$A,0),19),""),"")</f>
        <v/>
      </c>
      <c r="W84">
        <f>IFERROR(IF(ISNUMBER(INDEX(SPPR!$E:$Z,MATCH($A84,SPPR!$A:$A,0),20)),$C84*INDEX(SPPR!$E:$Z,MATCH($A84,SPPR!$A:$A,0),20),""),"")</f>
        <v/>
      </c>
      <c r="X84">
        <f>IFERROR(IF(ISNUMBER(INDEX(SPPR!$E:$Z,MATCH($A84,SPPR!$A:$A,0),21)),$C84*INDEX(SPPR!$E:$Z,MATCH($A84,SPPR!$A:$A,0),21),""),"")</f>
        <v/>
      </c>
      <c r="Y84">
        <f>IFERROR(IF(ISNUMBER(INDEX(SPPR!$E:$Z,MATCH($A84,SPPR!$A:$A,0),22)),$C84*INDEX(SPPR!$E:$Z,MATCH($A84,SPPR!$A:$A,0),22),""),"")</f>
        <v/>
      </c>
    </row>
    <row r="85">
      <c r="A85" t="inlineStr">
        <is>
          <t>Sepioteuthis lessoniana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IFERROR(IF(ISNUMBER(INDEX(SPPR!$E:$Z,MATCH($A85,SPPR!$A:$A,0),1)),$C85*INDEX(SPPR!$E:$Z,MATCH($A85,SPPR!$A:$A,0),1),""),"")</f>
        <v/>
      </c>
      <c r="E85">
        <f>IFERROR(IF(ISNUMBER(INDEX(SPPR!$E:$Z,MATCH($A85,SPPR!$A:$A,0),2)),$C85*INDEX(SPPR!$E:$Z,MATCH($A85,SPPR!$A:$A,0),2),""),"")</f>
        <v/>
      </c>
      <c r="F85">
        <f>IFERROR(IF(ISNUMBER(INDEX(SPPR!$E:$Z,MATCH($A85,SPPR!$A:$A,0),3)),$C85*INDEX(SPPR!$E:$Z,MATCH($A85,SPPR!$A:$A,0),3),""),"")</f>
        <v/>
      </c>
      <c r="G85">
        <f>IFERROR(IF(ISNUMBER(INDEX(SPPR!$E:$Z,MATCH($A85,SPPR!$A:$A,0),4)),$C85*INDEX(SPPR!$E:$Z,MATCH($A85,SPPR!$A:$A,0),4),""),"")</f>
        <v/>
      </c>
      <c r="H85">
        <f>IFERROR(IF(ISNUMBER(INDEX(SPPR!$E:$Z,MATCH($A85,SPPR!$A:$A,0),5)),$C85*INDEX(SPPR!$E:$Z,MATCH($A85,SPPR!$A:$A,0),5),""),"")</f>
        <v/>
      </c>
      <c r="I85">
        <f>IFERROR(IF(ISNUMBER(INDEX(SPPR!$E:$Z,MATCH($A85,SPPR!$A:$A,0),6)),$C85*INDEX(SPPR!$E:$Z,MATCH($A85,SPPR!$A:$A,0),6),""),"")</f>
        <v/>
      </c>
      <c r="J85">
        <f>IFERROR(IF(ISNUMBER(INDEX(SPPR!$E:$Z,MATCH($A85,SPPR!$A:$A,0),7)),$C85*INDEX(SPPR!$E:$Z,MATCH($A85,SPPR!$A:$A,0),7),""),"")</f>
        <v/>
      </c>
      <c r="K85">
        <f>IFERROR(IF(ISNUMBER(INDEX(SPPR!$E:$Z,MATCH($A85,SPPR!$A:$A,0),8)),$C85*INDEX(SPPR!$E:$Z,MATCH($A85,SPPR!$A:$A,0),8),""),"")</f>
        <v/>
      </c>
      <c r="L85">
        <f>IFERROR(IF(ISNUMBER(INDEX(SPPR!$E:$Z,MATCH($A85,SPPR!$A:$A,0),9)),$C85*INDEX(SPPR!$E:$Z,MATCH($A85,SPPR!$A:$A,0),9),""),"")</f>
        <v/>
      </c>
      <c r="M85">
        <f>IFERROR(IF(ISNUMBER(INDEX(SPPR!$E:$Z,MATCH($A85,SPPR!$A:$A,0),10)),$C85*INDEX(SPPR!$E:$Z,MATCH($A85,SPPR!$A:$A,0),10),""),"")</f>
        <v/>
      </c>
      <c r="N85">
        <f>IFERROR(IF(ISNUMBER(INDEX(SPPR!$E:$Z,MATCH($A85,SPPR!$A:$A,0),11)),$C85*INDEX(SPPR!$E:$Z,MATCH($A85,SPPR!$A:$A,0),11),""),"")</f>
        <v/>
      </c>
      <c r="O85">
        <f>IFERROR(IF(ISNUMBER(INDEX(SPPR!$E:$Z,MATCH($A85,SPPR!$A:$A,0),12)),$C85*INDEX(SPPR!$E:$Z,MATCH($A85,SPPR!$A:$A,0),12),""),"")</f>
        <v/>
      </c>
      <c r="P85">
        <f>IFERROR(IF(ISNUMBER(INDEX(SPPR!$E:$Z,MATCH($A85,SPPR!$A:$A,0),13)),$C85*INDEX(SPPR!$E:$Z,MATCH($A85,SPPR!$A:$A,0),13),""),"")</f>
        <v/>
      </c>
      <c r="Q85">
        <f>IFERROR(IF(ISNUMBER(INDEX(SPPR!$E:$Z,MATCH($A85,SPPR!$A:$A,0),14)),$C85*INDEX(SPPR!$E:$Z,MATCH($A85,SPPR!$A:$A,0),14),""),"")</f>
        <v/>
      </c>
      <c r="R85">
        <f>IFERROR(IF(ISNUMBER(INDEX(SPPR!$E:$Z,MATCH($A85,SPPR!$A:$A,0),15)),$C85*INDEX(SPPR!$E:$Z,MATCH($A85,SPPR!$A:$A,0),15),""),"")</f>
        <v/>
      </c>
      <c r="S85">
        <f>IFERROR(IF(ISNUMBER(INDEX(SPPR!$E:$Z,MATCH($A85,SPPR!$A:$A,0),16)),$C85*INDEX(SPPR!$E:$Z,MATCH($A85,SPPR!$A:$A,0),16),""),"")</f>
        <v/>
      </c>
      <c r="T85">
        <f>IFERROR(IF(ISNUMBER(INDEX(SPPR!$E:$Z,MATCH($A85,SPPR!$A:$A,0),17)),$C85*INDEX(SPPR!$E:$Z,MATCH($A85,SPPR!$A:$A,0),17),""),"")</f>
        <v/>
      </c>
      <c r="U85">
        <f>IFERROR(IF(ISNUMBER(INDEX(SPPR!$E:$Z,MATCH($A85,SPPR!$A:$A,0),18)),$C85*INDEX(SPPR!$E:$Z,MATCH($A85,SPPR!$A:$A,0),18),""),"")</f>
        <v/>
      </c>
      <c r="V85">
        <f>IFERROR(IF(ISNUMBER(INDEX(SPPR!$E:$Z,MATCH($A85,SPPR!$A:$A,0),19)),$C85*INDEX(SPPR!$E:$Z,MATCH($A85,SPPR!$A:$A,0),19),""),"")</f>
        <v/>
      </c>
      <c r="W85">
        <f>IFERROR(IF(ISNUMBER(INDEX(SPPR!$E:$Z,MATCH($A85,SPPR!$A:$A,0),20)),$C85*INDEX(SPPR!$E:$Z,MATCH($A85,SPPR!$A:$A,0),20),""),"")</f>
        <v/>
      </c>
      <c r="X85">
        <f>IFERROR(IF(ISNUMBER(INDEX(SPPR!$E:$Z,MATCH($A85,SPPR!$A:$A,0),21)),$C85*INDEX(SPPR!$E:$Z,MATCH($A85,SPPR!$A:$A,0),21),""),"")</f>
        <v/>
      </c>
      <c r="Y85">
        <f>IFERROR(IF(ISNUMBER(INDEX(SPPR!$E:$Z,MATCH($A85,SPPR!$A:$A,0),22)),$C85*INDEX(SPPR!$E:$Z,MATCH($A85,SPPR!$A:$A,0),22),""),"")</f>
        <v/>
      </c>
    </row>
    <row r="86">
      <c r="A86" t="inlineStr">
        <is>
          <t>Pomadasys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IFERROR(IF(ISNUMBER(INDEX(SPPR!$E:$Z,MATCH($A86,SPPR!$A:$A,0),1)),$C86*INDEX(SPPR!$E:$Z,MATCH($A86,SPPR!$A:$A,0),1),""),"")</f>
        <v/>
      </c>
      <c r="E86">
        <f>IFERROR(IF(ISNUMBER(INDEX(SPPR!$E:$Z,MATCH($A86,SPPR!$A:$A,0),2)),$C86*INDEX(SPPR!$E:$Z,MATCH($A86,SPPR!$A:$A,0),2),""),"")</f>
        <v/>
      </c>
      <c r="F86">
        <f>IFERROR(IF(ISNUMBER(INDEX(SPPR!$E:$Z,MATCH($A86,SPPR!$A:$A,0),3)),$C86*INDEX(SPPR!$E:$Z,MATCH($A86,SPPR!$A:$A,0),3),""),"")</f>
        <v/>
      </c>
      <c r="G86">
        <f>IFERROR(IF(ISNUMBER(INDEX(SPPR!$E:$Z,MATCH($A86,SPPR!$A:$A,0),4)),$C86*INDEX(SPPR!$E:$Z,MATCH($A86,SPPR!$A:$A,0),4),""),"")</f>
        <v/>
      </c>
      <c r="H86">
        <f>IFERROR(IF(ISNUMBER(INDEX(SPPR!$E:$Z,MATCH($A86,SPPR!$A:$A,0),5)),$C86*INDEX(SPPR!$E:$Z,MATCH($A86,SPPR!$A:$A,0),5),""),"")</f>
        <v/>
      </c>
      <c r="I86">
        <f>IFERROR(IF(ISNUMBER(INDEX(SPPR!$E:$Z,MATCH($A86,SPPR!$A:$A,0),6)),$C86*INDEX(SPPR!$E:$Z,MATCH($A86,SPPR!$A:$A,0),6),""),"")</f>
        <v/>
      </c>
      <c r="J86">
        <f>IFERROR(IF(ISNUMBER(INDEX(SPPR!$E:$Z,MATCH($A86,SPPR!$A:$A,0),7)),$C86*INDEX(SPPR!$E:$Z,MATCH($A86,SPPR!$A:$A,0),7),""),"")</f>
        <v/>
      </c>
      <c r="K86">
        <f>IFERROR(IF(ISNUMBER(INDEX(SPPR!$E:$Z,MATCH($A86,SPPR!$A:$A,0),8)),$C86*INDEX(SPPR!$E:$Z,MATCH($A86,SPPR!$A:$A,0),8),""),"")</f>
        <v/>
      </c>
      <c r="L86">
        <f>IFERROR(IF(ISNUMBER(INDEX(SPPR!$E:$Z,MATCH($A86,SPPR!$A:$A,0),9)),$C86*INDEX(SPPR!$E:$Z,MATCH($A86,SPPR!$A:$A,0),9),""),"")</f>
        <v/>
      </c>
      <c r="M86">
        <f>IFERROR(IF(ISNUMBER(INDEX(SPPR!$E:$Z,MATCH($A86,SPPR!$A:$A,0),10)),$C86*INDEX(SPPR!$E:$Z,MATCH($A86,SPPR!$A:$A,0),10),""),"")</f>
        <v/>
      </c>
      <c r="N86">
        <f>IFERROR(IF(ISNUMBER(INDEX(SPPR!$E:$Z,MATCH($A86,SPPR!$A:$A,0),11)),$C86*INDEX(SPPR!$E:$Z,MATCH($A86,SPPR!$A:$A,0),11),""),"")</f>
        <v/>
      </c>
      <c r="O86">
        <f>IFERROR(IF(ISNUMBER(INDEX(SPPR!$E:$Z,MATCH($A86,SPPR!$A:$A,0),12)),$C86*INDEX(SPPR!$E:$Z,MATCH($A86,SPPR!$A:$A,0),12),""),"")</f>
        <v/>
      </c>
      <c r="P86">
        <f>IFERROR(IF(ISNUMBER(INDEX(SPPR!$E:$Z,MATCH($A86,SPPR!$A:$A,0),13)),$C86*INDEX(SPPR!$E:$Z,MATCH($A86,SPPR!$A:$A,0),13),""),"")</f>
        <v/>
      </c>
      <c r="Q86">
        <f>IFERROR(IF(ISNUMBER(INDEX(SPPR!$E:$Z,MATCH($A86,SPPR!$A:$A,0),14)),$C86*INDEX(SPPR!$E:$Z,MATCH($A86,SPPR!$A:$A,0),14),""),"")</f>
        <v/>
      </c>
      <c r="R86">
        <f>IFERROR(IF(ISNUMBER(INDEX(SPPR!$E:$Z,MATCH($A86,SPPR!$A:$A,0),15)),$C86*INDEX(SPPR!$E:$Z,MATCH($A86,SPPR!$A:$A,0),15),""),"")</f>
        <v/>
      </c>
      <c r="S86">
        <f>IFERROR(IF(ISNUMBER(INDEX(SPPR!$E:$Z,MATCH($A86,SPPR!$A:$A,0),16)),$C86*INDEX(SPPR!$E:$Z,MATCH($A86,SPPR!$A:$A,0),16),""),"")</f>
        <v/>
      </c>
      <c r="T86">
        <f>IFERROR(IF(ISNUMBER(INDEX(SPPR!$E:$Z,MATCH($A86,SPPR!$A:$A,0),17)),$C86*INDEX(SPPR!$E:$Z,MATCH($A86,SPPR!$A:$A,0),17),""),"")</f>
        <v/>
      </c>
      <c r="U86">
        <f>IFERROR(IF(ISNUMBER(INDEX(SPPR!$E:$Z,MATCH($A86,SPPR!$A:$A,0),18)),$C86*INDEX(SPPR!$E:$Z,MATCH($A86,SPPR!$A:$A,0),18),""),"")</f>
        <v/>
      </c>
      <c r="V86">
        <f>IFERROR(IF(ISNUMBER(INDEX(SPPR!$E:$Z,MATCH($A86,SPPR!$A:$A,0),19)),$C86*INDEX(SPPR!$E:$Z,MATCH($A86,SPPR!$A:$A,0),19),""),"")</f>
        <v/>
      </c>
      <c r="W86">
        <f>IFERROR(IF(ISNUMBER(INDEX(SPPR!$E:$Z,MATCH($A86,SPPR!$A:$A,0),20)),$C86*INDEX(SPPR!$E:$Z,MATCH($A86,SPPR!$A:$A,0),20),""),"")</f>
        <v/>
      </c>
      <c r="X86">
        <f>IFERROR(IF(ISNUMBER(INDEX(SPPR!$E:$Z,MATCH($A86,SPPR!$A:$A,0),21)),$C86*INDEX(SPPR!$E:$Z,MATCH($A86,SPPR!$A:$A,0),21),""),"")</f>
        <v/>
      </c>
      <c r="Y86">
        <f>IFERROR(IF(ISNUMBER(INDEX(SPPR!$E:$Z,MATCH($A86,SPPR!$A:$A,0),22)),$C86*INDEX(SPPR!$E:$Z,MATCH($A86,SPPR!$A:$A,0),22),""),"")</f>
        <v/>
      </c>
    </row>
    <row r="87">
      <c r="A87" t="inlineStr">
        <is>
          <t>Scylla serrata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IFERROR(IF(ISNUMBER(INDEX(SPPR!$E:$Z,MATCH($A87,SPPR!$A:$A,0),1)),$C87*INDEX(SPPR!$E:$Z,MATCH($A87,SPPR!$A:$A,0),1),""),"")</f>
        <v/>
      </c>
      <c r="E87">
        <f>IFERROR(IF(ISNUMBER(INDEX(SPPR!$E:$Z,MATCH($A87,SPPR!$A:$A,0),2)),$C87*INDEX(SPPR!$E:$Z,MATCH($A87,SPPR!$A:$A,0),2),""),"")</f>
        <v/>
      </c>
      <c r="F87">
        <f>IFERROR(IF(ISNUMBER(INDEX(SPPR!$E:$Z,MATCH($A87,SPPR!$A:$A,0),3)),$C87*INDEX(SPPR!$E:$Z,MATCH($A87,SPPR!$A:$A,0),3),""),"")</f>
        <v/>
      </c>
      <c r="G87">
        <f>IFERROR(IF(ISNUMBER(INDEX(SPPR!$E:$Z,MATCH($A87,SPPR!$A:$A,0),4)),$C87*INDEX(SPPR!$E:$Z,MATCH($A87,SPPR!$A:$A,0),4),""),"")</f>
        <v/>
      </c>
      <c r="H87">
        <f>IFERROR(IF(ISNUMBER(INDEX(SPPR!$E:$Z,MATCH($A87,SPPR!$A:$A,0),5)),$C87*INDEX(SPPR!$E:$Z,MATCH($A87,SPPR!$A:$A,0),5),""),"")</f>
        <v/>
      </c>
      <c r="I87">
        <f>IFERROR(IF(ISNUMBER(INDEX(SPPR!$E:$Z,MATCH($A87,SPPR!$A:$A,0),6)),$C87*INDEX(SPPR!$E:$Z,MATCH($A87,SPPR!$A:$A,0),6),""),"")</f>
        <v/>
      </c>
      <c r="J87">
        <f>IFERROR(IF(ISNUMBER(INDEX(SPPR!$E:$Z,MATCH($A87,SPPR!$A:$A,0),7)),$C87*INDEX(SPPR!$E:$Z,MATCH($A87,SPPR!$A:$A,0),7),""),"")</f>
        <v/>
      </c>
      <c r="K87">
        <f>IFERROR(IF(ISNUMBER(INDEX(SPPR!$E:$Z,MATCH($A87,SPPR!$A:$A,0),8)),$C87*INDEX(SPPR!$E:$Z,MATCH($A87,SPPR!$A:$A,0),8),""),"")</f>
        <v/>
      </c>
      <c r="L87">
        <f>IFERROR(IF(ISNUMBER(INDEX(SPPR!$E:$Z,MATCH($A87,SPPR!$A:$A,0),9)),$C87*INDEX(SPPR!$E:$Z,MATCH($A87,SPPR!$A:$A,0),9),""),"")</f>
        <v/>
      </c>
      <c r="M87">
        <f>IFERROR(IF(ISNUMBER(INDEX(SPPR!$E:$Z,MATCH($A87,SPPR!$A:$A,0),10)),$C87*INDEX(SPPR!$E:$Z,MATCH($A87,SPPR!$A:$A,0),10),""),"")</f>
        <v/>
      </c>
      <c r="N87">
        <f>IFERROR(IF(ISNUMBER(INDEX(SPPR!$E:$Z,MATCH($A87,SPPR!$A:$A,0),11)),$C87*INDEX(SPPR!$E:$Z,MATCH($A87,SPPR!$A:$A,0),11),""),"")</f>
        <v/>
      </c>
      <c r="O87">
        <f>IFERROR(IF(ISNUMBER(INDEX(SPPR!$E:$Z,MATCH($A87,SPPR!$A:$A,0),12)),$C87*INDEX(SPPR!$E:$Z,MATCH($A87,SPPR!$A:$A,0),12),""),"")</f>
        <v/>
      </c>
      <c r="P87">
        <f>IFERROR(IF(ISNUMBER(INDEX(SPPR!$E:$Z,MATCH($A87,SPPR!$A:$A,0),13)),$C87*INDEX(SPPR!$E:$Z,MATCH($A87,SPPR!$A:$A,0),13),""),"")</f>
        <v/>
      </c>
      <c r="Q87">
        <f>IFERROR(IF(ISNUMBER(INDEX(SPPR!$E:$Z,MATCH($A87,SPPR!$A:$A,0),14)),$C87*INDEX(SPPR!$E:$Z,MATCH($A87,SPPR!$A:$A,0),14),""),"")</f>
        <v/>
      </c>
      <c r="R87">
        <f>IFERROR(IF(ISNUMBER(INDEX(SPPR!$E:$Z,MATCH($A87,SPPR!$A:$A,0),15)),$C87*INDEX(SPPR!$E:$Z,MATCH($A87,SPPR!$A:$A,0),15),""),"")</f>
        <v/>
      </c>
      <c r="S87">
        <f>IFERROR(IF(ISNUMBER(INDEX(SPPR!$E:$Z,MATCH($A87,SPPR!$A:$A,0),16)),$C87*INDEX(SPPR!$E:$Z,MATCH($A87,SPPR!$A:$A,0),16),""),"")</f>
        <v/>
      </c>
      <c r="T87">
        <f>IFERROR(IF(ISNUMBER(INDEX(SPPR!$E:$Z,MATCH($A87,SPPR!$A:$A,0),17)),$C87*INDEX(SPPR!$E:$Z,MATCH($A87,SPPR!$A:$A,0),17),""),"")</f>
        <v/>
      </c>
      <c r="U87">
        <f>IFERROR(IF(ISNUMBER(INDEX(SPPR!$E:$Z,MATCH($A87,SPPR!$A:$A,0),18)),$C87*INDEX(SPPR!$E:$Z,MATCH($A87,SPPR!$A:$A,0),18),""),"")</f>
        <v/>
      </c>
      <c r="V87">
        <f>IFERROR(IF(ISNUMBER(INDEX(SPPR!$E:$Z,MATCH($A87,SPPR!$A:$A,0),19)),$C87*INDEX(SPPR!$E:$Z,MATCH($A87,SPPR!$A:$A,0),19),""),"")</f>
        <v/>
      </c>
      <c r="W87">
        <f>IFERROR(IF(ISNUMBER(INDEX(SPPR!$E:$Z,MATCH($A87,SPPR!$A:$A,0),20)),$C87*INDEX(SPPR!$E:$Z,MATCH($A87,SPPR!$A:$A,0),20),""),"")</f>
        <v/>
      </c>
      <c r="X87">
        <f>IFERROR(IF(ISNUMBER(INDEX(SPPR!$E:$Z,MATCH($A87,SPPR!$A:$A,0),21)),$C87*INDEX(SPPR!$E:$Z,MATCH($A87,SPPR!$A:$A,0),21),""),"")</f>
        <v/>
      </c>
      <c r="Y87">
        <f>IFERROR(IF(ISNUMBER(INDEX(SPPR!$E:$Z,MATCH($A87,SPPR!$A:$A,0),22)),$C87*INDEX(SPPR!$E:$Z,MATCH($A87,SPPR!$A:$A,0),22),""),"")</f>
        <v/>
      </c>
    </row>
    <row r="88">
      <c r="A88" t="inlineStr">
        <is>
          <t>Balistidae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IFERROR(IF(ISNUMBER(INDEX(SPPR!$E:$Z,MATCH($A88,SPPR!$A:$A,0),1)),$C88*INDEX(SPPR!$E:$Z,MATCH($A88,SPPR!$A:$A,0),1),""),"")</f>
        <v/>
      </c>
      <c r="E88">
        <f>IFERROR(IF(ISNUMBER(INDEX(SPPR!$E:$Z,MATCH($A88,SPPR!$A:$A,0),2)),$C88*INDEX(SPPR!$E:$Z,MATCH($A88,SPPR!$A:$A,0),2),""),"")</f>
        <v/>
      </c>
      <c r="F88">
        <f>IFERROR(IF(ISNUMBER(INDEX(SPPR!$E:$Z,MATCH($A88,SPPR!$A:$A,0),3)),$C88*INDEX(SPPR!$E:$Z,MATCH($A88,SPPR!$A:$A,0),3),""),"")</f>
        <v/>
      </c>
      <c r="G88">
        <f>IFERROR(IF(ISNUMBER(INDEX(SPPR!$E:$Z,MATCH($A88,SPPR!$A:$A,0),4)),$C88*INDEX(SPPR!$E:$Z,MATCH($A88,SPPR!$A:$A,0),4),""),"")</f>
        <v/>
      </c>
      <c r="H88">
        <f>IFERROR(IF(ISNUMBER(INDEX(SPPR!$E:$Z,MATCH($A88,SPPR!$A:$A,0),5)),$C88*INDEX(SPPR!$E:$Z,MATCH($A88,SPPR!$A:$A,0),5),""),"")</f>
        <v/>
      </c>
      <c r="I88">
        <f>IFERROR(IF(ISNUMBER(INDEX(SPPR!$E:$Z,MATCH($A88,SPPR!$A:$A,0),6)),$C88*INDEX(SPPR!$E:$Z,MATCH($A88,SPPR!$A:$A,0),6),""),"")</f>
        <v/>
      </c>
      <c r="J88">
        <f>IFERROR(IF(ISNUMBER(INDEX(SPPR!$E:$Z,MATCH($A88,SPPR!$A:$A,0),7)),$C88*INDEX(SPPR!$E:$Z,MATCH($A88,SPPR!$A:$A,0),7),""),"")</f>
        <v/>
      </c>
      <c r="K88">
        <f>IFERROR(IF(ISNUMBER(INDEX(SPPR!$E:$Z,MATCH($A88,SPPR!$A:$A,0),8)),$C88*INDEX(SPPR!$E:$Z,MATCH($A88,SPPR!$A:$A,0),8),""),"")</f>
        <v/>
      </c>
      <c r="L88">
        <f>IFERROR(IF(ISNUMBER(INDEX(SPPR!$E:$Z,MATCH($A88,SPPR!$A:$A,0),9)),$C88*INDEX(SPPR!$E:$Z,MATCH($A88,SPPR!$A:$A,0),9),""),"")</f>
        <v/>
      </c>
      <c r="M88">
        <f>IFERROR(IF(ISNUMBER(INDEX(SPPR!$E:$Z,MATCH($A88,SPPR!$A:$A,0),10)),$C88*INDEX(SPPR!$E:$Z,MATCH($A88,SPPR!$A:$A,0),10),""),"")</f>
        <v/>
      </c>
      <c r="N88">
        <f>IFERROR(IF(ISNUMBER(INDEX(SPPR!$E:$Z,MATCH($A88,SPPR!$A:$A,0),11)),$C88*INDEX(SPPR!$E:$Z,MATCH($A88,SPPR!$A:$A,0),11),""),"")</f>
        <v/>
      </c>
      <c r="O88">
        <f>IFERROR(IF(ISNUMBER(INDEX(SPPR!$E:$Z,MATCH($A88,SPPR!$A:$A,0),12)),$C88*INDEX(SPPR!$E:$Z,MATCH($A88,SPPR!$A:$A,0),12),""),"")</f>
        <v/>
      </c>
      <c r="P88">
        <f>IFERROR(IF(ISNUMBER(INDEX(SPPR!$E:$Z,MATCH($A88,SPPR!$A:$A,0),13)),$C88*INDEX(SPPR!$E:$Z,MATCH($A88,SPPR!$A:$A,0),13),""),"")</f>
        <v/>
      </c>
      <c r="Q88">
        <f>IFERROR(IF(ISNUMBER(INDEX(SPPR!$E:$Z,MATCH($A88,SPPR!$A:$A,0),14)),$C88*INDEX(SPPR!$E:$Z,MATCH($A88,SPPR!$A:$A,0),14),""),"")</f>
        <v/>
      </c>
      <c r="R88">
        <f>IFERROR(IF(ISNUMBER(INDEX(SPPR!$E:$Z,MATCH($A88,SPPR!$A:$A,0),15)),$C88*INDEX(SPPR!$E:$Z,MATCH($A88,SPPR!$A:$A,0),15),""),"")</f>
        <v/>
      </c>
      <c r="S88">
        <f>IFERROR(IF(ISNUMBER(INDEX(SPPR!$E:$Z,MATCH($A88,SPPR!$A:$A,0),16)),$C88*INDEX(SPPR!$E:$Z,MATCH($A88,SPPR!$A:$A,0),16),""),"")</f>
        <v/>
      </c>
      <c r="T88">
        <f>IFERROR(IF(ISNUMBER(INDEX(SPPR!$E:$Z,MATCH($A88,SPPR!$A:$A,0),17)),$C88*INDEX(SPPR!$E:$Z,MATCH($A88,SPPR!$A:$A,0),17),""),"")</f>
        <v/>
      </c>
      <c r="U88">
        <f>IFERROR(IF(ISNUMBER(INDEX(SPPR!$E:$Z,MATCH($A88,SPPR!$A:$A,0),18)),$C88*INDEX(SPPR!$E:$Z,MATCH($A88,SPPR!$A:$A,0),18),""),"")</f>
        <v/>
      </c>
      <c r="V88">
        <f>IFERROR(IF(ISNUMBER(INDEX(SPPR!$E:$Z,MATCH($A88,SPPR!$A:$A,0),19)),$C88*INDEX(SPPR!$E:$Z,MATCH($A88,SPPR!$A:$A,0),19),""),"")</f>
        <v/>
      </c>
      <c r="W88">
        <f>IFERROR(IF(ISNUMBER(INDEX(SPPR!$E:$Z,MATCH($A88,SPPR!$A:$A,0),20)),$C88*INDEX(SPPR!$E:$Z,MATCH($A88,SPPR!$A:$A,0),20),""),"")</f>
        <v/>
      </c>
      <c r="X88">
        <f>IFERROR(IF(ISNUMBER(INDEX(SPPR!$E:$Z,MATCH($A88,SPPR!$A:$A,0),21)),$C88*INDEX(SPPR!$E:$Z,MATCH($A88,SPPR!$A:$A,0),21),""),"")</f>
        <v/>
      </c>
      <c r="Y88">
        <f>IFERROR(IF(ISNUMBER(INDEX(SPPR!$E:$Z,MATCH($A88,SPPR!$A:$A,0),22)),$C88*INDEX(SPPR!$E:$Z,MATCH($A88,SPPR!$A:$A,0),22),""),"")</f>
        <v/>
      </c>
    </row>
    <row r="89">
      <c r="A89" t="inlineStr">
        <is>
          <t>Trichiurus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IFERROR(IF(ISNUMBER(INDEX(SPPR!$E:$Z,MATCH($A89,SPPR!$A:$A,0),1)),$C89*INDEX(SPPR!$E:$Z,MATCH($A89,SPPR!$A:$A,0),1),""),"")</f>
        <v/>
      </c>
      <c r="E89">
        <f>IFERROR(IF(ISNUMBER(INDEX(SPPR!$E:$Z,MATCH($A89,SPPR!$A:$A,0),2)),$C89*INDEX(SPPR!$E:$Z,MATCH($A89,SPPR!$A:$A,0),2),""),"")</f>
        <v/>
      </c>
      <c r="F89">
        <f>IFERROR(IF(ISNUMBER(INDEX(SPPR!$E:$Z,MATCH($A89,SPPR!$A:$A,0),3)),$C89*INDEX(SPPR!$E:$Z,MATCH($A89,SPPR!$A:$A,0),3),""),"")</f>
        <v/>
      </c>
      <c r="G89">
        <f>IFERROR(IF(ISNUMBER(INDEX(SPPR!$E:$Z,MATCH($A89,SPPR!$A:$A,0),4)),$C89*INDEX(SPPR!$E:$Z,MATCH($A89,SPPR!$A:$A,0),4),""),"")</f>
        <v/>
      </c>
      <c r="H89">
        <f>IFERROR(IF(ISNUMBER(INDEX(SPPR!$E:$Z,MATCH($A89,SPPR!$A:$A,0),5)),$C89*INDEX(SPPR!$E:$Z,MATCH($A89,SPPR!$A:$A,0),5),""),"")</f>
        <v/>
      </c>
      <c r="I89">
        <f>IFERROR(IF(ISNUMBER(INDEX(SPPR!$E:$Z,MATCH($A89,SPPR!$A:$A,0),6)),$C89*INDEX(SPPR!$E:$Z,MATCH($A89,SPPR!$A:$A,0),6),""),"")</f>
        <v/>
      </c>
      <c r="J89">
        <f>IFERROR(IF(ISNUMBER(INDEX(SPPR!$E:$Z,MATCH($A89,SPPR!$A:$A,0),7)),$C89*INDEX(SPPR!$E:$Z,MATCH($A89,SPPR!$A:$A,0),7),""),"")</f>
        <v/>
      </c>
      <c r="K89">
        <f>IFERROR(IF(ISNUMBER(INDEX(SPPR!$E:$Z,MATCH($A89,SPPR!$A:$A,0),8)),$C89*INDEX(SPPR!$E:$Z,MATCH($A89,SPPR!$A:$A,0),8),""),"")</f>
        <v/>
      </c>
      <c r="L89">
        <f>IFERROR(IF(ISNUMBER(INDEX(SPPR!$E:$Z,MATCH($A89,SPPR!$A:$A,0),9)),$C89*INDEX(SPPR!$E:$Z,MATCH($A89,SPPR!$A:$A,0),9),""),"")</f>
        <v/>
      </c>
      <c r="M89">
        <f>IFERROR(IF(ISNUMBER(INDEX(SPPR!$E:$Z,MATCH($A89,SPPR!$A:$A,0),10)),$C89*INDEX(SPPR!$E:$Z,MATCH($A89,SPPR!$A:$A,0),10),""),"")</f>
        <v/>
      </c>
      <c r="N89">
        <f>IFERROR(IF(ISNUMBER(INDEX(SPPR!$E:$Z,MATCH($A89,SPPR!$A:$A,0),11)),$C89*INDEX(SPPR!$E:$Z,MATCH($A89,SPPR!$A:$A,0),11),""),"")</f>
        <v/>
      </c>
      <c r="O89">
        <f>IFERROR(IF(ISNUMBER(INDEX(SPPR!$E:$Z,MATCH($A89,SPPR!$A:$A,0),12)),$C89*INDEX(SPPR!$E:$Z,MATCH($A89,SPPR!$A:$A,0),12),""),"")</f>
        <v/>
      </c>
      <c r="P89">
        <f>IFERROR(IF(ISNUMBER(INDEX(SPPR!$E:$Z,MATCH($A89,SPPR!$A:$A,0),13)),$C89*INDEX(SPPR!$E:$Z,MATCH($A89,SPPR!$A:$A,0),13),""),"")</f>
        <v/>
      </c>
      <c r="Q89">
        <f>IFERROR(IF(ISNUMBER(INDEX(SPPR!$E:$Z,MATCH($A89,SPPR!$A:$A,0),14)),$C89*INDEX(SPPR!$E:$Z,MATCH($A89,SPPR!$A:$A,0),14),""),"")</f>
        <v/>
      </c>
      <c r="R89">
        <f>IFERROR(IF(ISNUMBER(INDEX(SPPR!$E:$Z,MATCH($A89,SPPR!$A:$A,0),15)),$C89*INDEX(SPPR!$E:$Z,MATCH($A89,SPPR!$A:$A,0),15),""),"")</f>
        <v/>
      </c>
      <c r="S89">
        <f>IFERROR(IF(ISNUMBER(INDEX(SPPR!$E:$Z,MATCH($A89,SPPR!$A:$A,0),16)),$C89*INDEX(SPPR!$E:$Z,MATCH($A89,SPPR!$A:$A,0),16),""),"")</f>
        <v/>
      </c>
      <c r="T89">
        <f>IFERROR(IF(ISNUMBER(INDEX(SPPR!$E:$Z,MATCH($A89,SPPR!$A:$A,0),17)),$C89*INDEX(SPPR!$E:$Z,MATCH($A89,SPPR!$A:$A,0),17),""),"")</f>
        <v/>
      </c>
      <c r="U89">
        <f>IFERROR(IF(ISNUMBER(INDEX(SPPR!$E:$Z,MATCH($A89,SPPR!$A:$A,0),18)),$C89*INDEX(SPPR!$E:$Z,MATCH($A89,SPPR!$A:$A,0),18),""),"")</f>
        <v/>
      </c>
      <c r="V89">
        <f>IFERROR(IF(ISNUMBER(INDEX(SPPR!$E:$Z,MATCH($A89,SPPR!$A:$A,0),19)),$C89*INDEX(SPPR!$E:$Z,MATCH($A89,SPPR!$A:$A,0),19),""),"")</f>
        <v/>
      </c>
      <c r="W89">
        <f>IFERROR(IF(ISNUMBER(INDEX(SPPR!$E:$Z,MATCH($A89,SPPR!$A:$A,0),20)),$C89*INDEX(SPPR!$E:$Z,MATCH($A89,SPPR!$A:$A,0),20),""),"")</f>
        <v/>
      </c>
      <c r="X89">
        <f>IFERROR(IF(ISNUMBER(INDEX(SPPR!$E:$Z,MATCH($A89,SPPR!$A:$A,0),21)),$C89*INDEX(SPPR!$E:$Z,MATCH($A89,SPPR!$A:$A,0),21),""),"")</f>
        <v/>
      </c>
      <c r="Y89">
        <f>IFERROR(IF(ISNUMBER(INDEX(SPPR!$E:$Z,MATCH($A89,SPPR!$A:$A,0),22)),$C89*INDEX(SPPR!$E:$Z,MATCH($A89,SPPR!$A:$A,0),22),""),"")</f>
        <v/>
      </c>
    </row>
    <row r="90">
      <c r="A90" t="inlineStr">
        <is>
          <t>Penaeus semisulcatus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IFERROR(IF(ISNUMBER(INDEX(SPPR!$E:$Z,MATCH($A90,SPPR!$A:$A,0),1)),$C90*INDEX(SPPR!$E:$Z,MATCH($A90,SPPR!$A:$A,0),1),""),"")</f>
        <v/>
      </c>
      <c r="E90">
        <f>IFERROR(IF(ISNUMBER(INDEX(SPPR!$E:$Z,MATCH($A90,SPPR!$A:$A,0),2)),$C90*INDEX(SPPR!$E:$Z,MATCH($A90,SPPR!$A:$A,0),2),""),"")</f>
        <v/>
      </c>
      <c r="F90">
        <f>IFERROR(IF(ISNUMBER(INDEX(SPPR!$E:$Z,MATCH($A90,SPPR!$A:$A,0),3)),$C90*INDEX(SPPR!$E:$Z,MATCH($A90,SPPR!$A:$A,0),3),""),"")</f>
        <v/>
      </c>
      <c r="G90">
        <f>IFERROR(IF(ISNUMBER(INDEX(SPPR!$E:$Z,MATCH($A90,SPPR!$A:$A,0),4)),$C90*INDEX(SPPR!$E:$Z,MATCH($A90,SPPR!$A:$A,0),4),""),"")</f>
        <v/>
      </c>
      <c r="H90">
        <f>IFERROR(IF(ISNUMBER(INDEX(SPPR!$E:$Z,MATCH($A90,SPPR!$A:$A,0),5)),$C90*INDEX(SPPR!$E:$Z,MATCH($A90,SPPR!$A:$A,0),5),""),"")</f>
        <v/>
      </c>
      <c r="I90">
        <f>IFERROR(IF(ISNUMBER(INDEX(SPPR!$E:$Z,MATCH($A90,SPPR!$A:$A,0),6)),$C90*INDEX(SPPR!$E:$Z,MATCH($A90,SPPR!$A:$A,0),6),""),"")</f>
        <v/>
      </c>
      <c r="J90">
        <f>IFERROR(IF(ISNUMBER(INDEX(SPPR!$E:$Z,MATCH($A90,SPPR!$A:$A,0),7)),$C90*INDEX(SPPR!$E:$Z,MATCH($A90,SPPR!$A:$A,0),7),""),"")</f>
        <v/>
      </c>
      <c r="K90">
        <f>IFERROR(IF(ISNUMBER(INDEX(SPPR!$E:$Z,MATCH($A90,SPPR!$A:$A,0),8)),$C90*INDEX(SPPR!$E:$Z,MATCH($A90,SPPR!$A:$A,0),8),""),"")</f>
        <v/>
      </c>
      <c r="L90">
        <f>IFERROR(IF(ISNUMBER(INDEX(SPPR!$E:$Z,MATCH($A90,SPPR!$A:$A,0),9)),$C90*INDEX(SPPR!$E:$Z,MATCH($A90,SPPR!$A:$A,0),9),""),"")</f>
        <v/>
      </c>
      <c r="M90">
        <f>IFERROR(IF(ISNUMBER(INDEX(SPPR!$E:$Z,MATCH($A90,SPPR!$A:$A,0),10)),$C90*INDEX(SPPR!$E:$Z,MATCH($A90,SPPR!$A:$A,0),10),""),"")</f>
        <v/>
      </c>
      <c r="N90">
        <f>IFERROR(IF(ISNUMBER(INDEX(SPPR!$E:$Z,MATCH($A90,SPPR!$A:$A,0),11)),$C90*INDEX(SPPR!$E:$Z,MATCH($A90,SPPR!$A:$A,0),11),""),"")</f>
        <v/>
      </c>
      <c r="O90">
        <f>IFERROR(IF(ISNUMBER(INDEX(SPPR!$E:$Z,MATCH($A90,SPPR!$A:$A,0),12)),$C90*INDEX(SPPR!$E:$Z,MATCH($A90,SPPR!$A:$A,0),12),""),"")</f>
        <v/>
      </c>
      <c r="P90">
        <f>IFERROR(IF(ISNUMBER(INDEX(SPPR!$E:$Z,MATCH($A90,SPPR!$A:$A,0),13)),$C90*INDEX(SPPR!$E:$Z,MATCH($A90,SPPR!$A:$A,0),13),""),"")</f>
        <v/>
      </c>
      <c r="Q90">
        <f>IFERROR(IF(ISNUMBER(INDEX(SPPR!$E:$Z,MATCH($A90,SPPR!$A:$A,0),14)),$C90*INDEX(SPPR!$E:$Z,MATCH($A90,SPPR!$A:$A,0),14),""),"")</f>
        <v/>
      </c>
      <c r="R90">
        <f>IFERROR(IF(ISNUMBER(INDEX(SPPR!$E:$Z,MATCH($A90,SPPR!$A:$A,0),15)),$C90*INDEX(SPPR!$E:$Z,MATCH($A90,SPPR!$A:$A,0),15),""),"")</f>
        <v/>
      </c>
      <c r="S90">
        <f>IFERROR(IF(ISNUMBER(INDEX(SPPR!$E:$Z,MATCH($A90,SPPR!$A:$A,0),16)),$C90*INDEX(SPPR!$E:$Z,MATCH($A90,SPPR!$A:$A,0),16),""),"")</f>
        <v/>
      </c>
      <c r="T90">
        <f>IFERROR(IF(ISNUMBER(INDEX(SPPR!$E:$Z,MATCH($A90,SPPR!$A:$A,0),17)),$C90*INDEX(SPPR!$E:$Z,MATCH($A90,SPPR!$A:$A,0),17),""),"")</f>
        <v/>
      </c>
      <c r="U90">
        <f>IFERROR(IF(ISNUMBER(INDEX(SPPR!$E:$Z,MATCH($A90,SPPR!$A:$A,0),18)),$C90*INDEX(SPPR!$E:$Z,MATCH($A90,SPPR!$A:$A,0),18),""),"")</f>
        <v/>
      </c>
      <c r="V90">
        <f>IFERROR(IF(ISNUMBER(INDEX(SPPR!$E:$Z,MATCH($A90,SPPR!$A:$A,0),19)),$C90*INDEX(SPPR!$E:$Z,MATCH($A90,SPPR!$A:$A,0),19),""),"")</f>
        <v/>
      </c>
      <c r="W90">
        <f>IFERROR(IF(ISNUMBER(INDEX(SPPR!$E:$Z,MATCH($A90,SPPR!$A:$A,0),20)),$C90*INDEX(SPPR!$E:$Z,MATCH($A90,SPPR!$A:$A,0),20),""),"")</f>
        <v/>
      </c>
      <c r="X90">
        <f>IFERROR(IF(ISNUMBER(INDEX(SPPR!$E:$Z,MATCH($A90,SPPR!$A:$A,0),21)),$C90*INDEX(SPPR!$E:$Z,MATCH($A90,SPPR!$A:$A,0),21),""),"")</f>
        <v/>
      </c>
      <c r="Y90">
        <f>IFERROR(IF(ISNUMBER(INDEX(SPPR!$E:$Z,MATCH($A90,SPPR!$A:$A,0),22)),$C90*INDEX(SPPR!$E:$Z,MATCH($A90,SPPR!$A:$A,0),22),""),"")</f>
        <v/>
      </c>
    </row>
    <row r="91">
      <c r="A91" t="inlineStr">
        <is>
          <t>Carcharhinus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IFERROR(IF(ISNUMBER(INDEX(SPPR!$E:$Z,MATCH($A91,SPPR!$A:$A,0),1)),$C91*INDEX(SPPR!$E:$Z,MATCH($A91,SPPR!$A:$A,0),1),""),"")</f>
        <v/>
      </c>
      <c r="E91">
        <f>IFERROR(IF(ISNUMBER(INDEX(SPPR!$E:$Z,MATCH($A91,SPPR!$A:$A,0),2)),$C91*INDEX(SPPR!$E:$Z,MATCH($A91,SPPR!$A:$A,0),2),""),"")</f>
        <v/>
      </c>
      <c r="F91">
        <f>IFERROR(IF(ISNUMBER(INDEX(SPPR!$E:$Z,MATCH($A91,SPPR!$A:$A,0),3)),$C91*INDEX(SPPR!$E:$Z,MATCH($A91,SPPR!$A:$A,0),3),""),"")</f>
        <v/>
      </c>
      <c r="G91">
        <f>IFERROR(IF(ISNUMBER(INDEX(SPPR!$E:$Z,MATCH($A91,SPPR!$A:$A,0),4)),$C91*INDEX(SPPR!$E:$Z,MATCH($A91,SPPR!$A:$A,0),4),""),"")</f>
        <v/>
      </c>
      <c r="H91">
        <f>IFERROR(IF(ISNUMBER(INDEX(SPPR!$E:$Z,MATCH($A91,SPPR!$A:$A,0),5)),$C91*INDEX(SPPR!$E:$Z,MATCH($A91,SPPR!$A:$A,0),5),""),"")</f>
        <v/>
      </c>
      <c r="I91">
        <f>IFERROR(IF(ISNUMBER(INDEX(SPPR!$E:$Z,MATCH($A91,SPPR!$A:$A,0),6)),$C91*INDEX(SPPR!$E:$Z,MATCH($A91,SPPR!$A:$A,0),6),""),"")</f>
        <v/>
      </c>
      <c r="J91">
        <f>IFERROR(IF(ISNUMBER(INDEX(SPPR!$E:$Z,MATCH($A91,SPPR!$A:$A,0),7)),$C91*INDEX(SPPR!$E:$Z,MATCH($A91,SPPR!$A:$A,0),7),""),"")</f>
        <v/>
      </c>
      <c r="K91">
        <f>IFERROR(IF(ISNUMBER(INDEX(SPPR!$E:$Z,MATCH($A91,SPPR!$A:$A,0),8)),$C91*INDEX(SPPR!$E:$Z,MATCH($A91,SPPR!$A:$A,0),8),""),"")</f>
        <v/>
      </c>
      <c r="L91">
        <f>IFERROR(IF(ISNUMBER(INDEX(SPPR!$E:$Z,MATCH($A91,SPPR!$A:$A,0),9)),$C91*INDEX(SPPR!$E:$Z,MATCH($A91,SPPR!$A:$A,0),9),""),"")</f>
        <v/>
      </c>
      <c r="M91">
        <f>IFERROR(IF(ISNUMBER(INDEX(SPPR!$E:$Z,MATCH($A91,SPPR!$A:$A,0),10)),$C91*INDEX(SPPR!$E:$Z,MATCH($A91,SPPR!$A:$A,0),10),""),"")</f>
        <v/>
      </c>
      <c r="N91">
        <f>IFERROR(IF(ISNUMBER(INDEX(SPPR!$E:$Z,MATCH($A91,SPPR!$A:$A,0),11)),$C91*INDEX(SPPR!$E:$Z,MATCH($A91,SPPR!$A:$A,0),11),""),"")</f>
        <v/>
      </c>
      <c r="O91">
        <f>IFERROR(IF(ISNUMBER(INDEX(SPPR!$E:$Z,MATCH($A91,SPPR!$A:$A,0),12)),$C91*INDEX(SPPR!$E:$Z,MATCH($A91,SPPR!$A:$A,0),12),""),"")</f>
        <v/>
      </c>
      <c r="P91">
        <f>IFERROR(IF(ISNUMBER(INDEX(SPPR!$E:$Z,MATCH($A91,SPPR!$A:$A,0),13)),$C91*INDEX(SPPR!$E:$Z,MATCH($A91,SPPR!$A:$A,0),13),""),"")</f>
        <v/>
      </c>
      <c r="Q91">
        <f>IFERROR(IF(ISNUMBER(INDEX(SPPR!$E:$Z,MATCH($A91,SPPR!$A:$A,0),14)),$C91*INDEX(SPPR!$E:$Z,MATCH($A91,SPPR!$A:$A,0),14),""),"")</f>
        <v/>
      </c>
      <c r="R91">
        <f>IFERROR(IF(ISNUMBER(INDEX(SPPR!$E:$Z,MATCH($A91,SPPR!$A:$A,0),15)),$C91*INDEX(SPPR!$E:$Z,MATCH($A91,SPPR!$A:$A,0),15),""),"")</f>
        <v/>
      </c>
      <c r="S91">
        <f>IFERROR(IF(ISNUMBER(INDEX(SPPR!$E:$Z,MATCH($A91,SPPR!$A:$A,0),16)),$C91*INDEX(SPPR!$E:$Z,MATCH($A91,SPPR!$A:$A,0),16),""),"")</f>
        <v/>
      </c>
      <c r="T91">
        <f>IFERROR(IF(ISNUMBER(INDEX(SPPR!$E:$Z,MATCH($A91,SPPR!$A:$A,0),17)),$C91*INDEX(SPPR!$E:$Z,MATCH($A91,SPPR!$A:$A,0),17),""),"")</f>
        <v/>
      </c>
      <c r="U91">
        <f>IFERROR(IF(ISNUMBER(INDEX(SPPR!$E:$Z,MATCH($A91,SPPR!$A:$A,0),18)),$C91*INDEX(SPPR!$E:$Z,MATCH($A91,SPPR!$A:$A,0),18),""),"")</f>
        <v/>
      </c>
      <c r="V91">
        <f>IFERROR(IF(ISNUMBER(INDEX(SPPR!$E:$Z,MATCH($A91,SPPR!$A:$A,0),19)),$C91*INDEX(SPPR!$E:$Z,MATCH($A91,SPPR!$A:$A,0),19),""),"")</f>
        <v/>
      </c>
      <c r="W91">
        <f>IFERROR(IF(ISNUMBER(INDEX(SPPR!$E:$Z,MATCH($A91,SPPR!$A:$A,0),20)),$C91*INDEX(SPPR!$E:$Z,MATCH($A91,SPPR!$A:$A,0),20),""),"")</f>
        <v/>
      </c>
      <c r="X91">
        <f>IFERROR(IF(ISNUMBER(INDEX(SPPR!$E:$Z,MATCH($A91,SPPR!$A:$A,0),21)),$C91*INDEX(SPPR!$E:$Z,MATCH($A91,SPPR!$A:$A,0),21),""),"")</f>
        <v/>
      </c>
      <c r="Y91">
        <f>IFERROR(IF(ISNUMBER(INDEX(SPPR!$E:$Z,MATCH($A91,SPPR!$A:$A,0),22)),$C91*INDEX(SPPR!$E:$Z,MATCH($A91,SPPR!$A:$A,0),22),""),"")</f>
        <v/>
      </c>
    </row>
    <row r="92">
      <c r="A92" t="inlineStr">
        <is>
          <t>Katsuwonus pelamis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IFERROR(IF(ISNUMBER(INDEX(SPPR!$E:$Z,MATCH($A92,SPPR!$A:$A,0),1)),$C92*INDEX(SPPR!$E:$Z,MATCH($A92,SPPR!$A:$A,0),1),""),"")</f>
        <v/>
      </c>
      <c r="E92">
        <f>IFERROR(IF(ISNUMBER(INDEX(SPPR!$E:$Z,MATCH($A92,SPPR!$A:$A,0),2)),$C92*INDEX(SPPR!$E:$Z,MATCH($A92,SPPR!$A:$A,0),2),""),"")</f>
        <v/>
      </c>
      <c r="F92">
        <f>IFERROR(IF(ISNUMBER(INDEX(SPPR!$E:$Z,MATCH($A92,SPPR!$A:$A,0),3)),$C92*INDEX(SPPR!$E:$Z,MATCH($A92,SPPR!$A:$A,0),3),""),"")</f>
        <v/>
      </c>
      <c r="G92">
        <f>IFERROR(IF(ISNUMBER(INDEX(SPPR!$E:$Z,MATCH($A92,SPPR!$A:$A,0),4)),$C92*INDEX(SPPR!$E:$Z,MATCH($A92,SPPR!$A:$A,0),4),""),"")</f>
        <v/>
      </c>
      <c r="H92">
        <f>IFERROR(IF(ISNUMBER(INDEX(SPPR!$E:$Z,MATCH($A92,SPPR!$A:$A,0),5)),$C92*INDEX(SPPR!$E:$Z,MATCH($A92,SPPR!$A:$A,0),5),""),"")</f>
        <v/>
      </c>
      <c r="I92">
        <f>IFERROR(IF(ISNUMBER(INDEX(SPPR!$E:$Z,MATCH($A92,SPPR!$A:$A,0),6)),$C92*INDEX(SPPR!$E:$Z,MATCH($A92,SPPR!$A:$A,0),6),""),"")</f>
        <v/>
      </c>
      <c r="J92">
        <f>IFERROR(IF(ISNUMBER(INDEX(SPPR!$E:$Z,MATCH($A92,SPPR!$A:$A,0),7)),$C92*INDEX(SPPR!$E:$Z,MATCH($A92,SPPR!$A:$A,0),7),""),"")</f>
        <v/>
      </c>
      <c r="K92">
        <f>IFERROR(IF(ISNUMBER(INDEX(SPPR!$E:$Z,MATCH($A92,SPPR!$A:$A,0),8)),$C92*INDEX(SPPR!$E:$Z,MATCH($A92,SPPR!$A:$A,0),8),""),"")</f>
        <v/>
      </c>
      <c r="L92">
        <f>IFERROR(IF(ISNUMBER(INDEX(SPPR!$E:$Z,MATCH($A92,SPPR!$A:$A,0),9)),$C92*INDEX(SPPR!$E:$Z,MATCH($A92,SPPR!$A:$A,0),9),""),"")</f>
        <v/>
      </c>
      <c r="M92">
        <f>IFERROR(IF(ISNUMBER(INDEX(SPPR!$E:$Z,MATCH($A92,SPPR!$A:$A,0),10)),$C92*INDEX(SPPR!$E:$Z,MATCH($A92,SPPR!$A:$A,0),10),""),"")</f>
        <v/>
      </c>
      <c r="N92">
        <f>IFERROR(IF(ISNUMBER(INDEX(SPPR!$E:$Z,MATCH($A92,SPPR!$A:$A,0),11)),$C92*INDEX(SPPR!$E:$Z,MATCH($A92,SPPR!$A:$A,0),11),""),"")</f>
        <v/>
      </c>
      <c r="O92">
        <f>IFERROR(IF(ISNUMBER(INDEX(SPPR!$E:$Z,MATCH($A92,SPPR!$A:$A,0),12)),$C92*INDEX(SPPR!$E:$Z,MATCH($A92,SPPR!$A:$A,0),12),""),"")</f>
        <v/>
      </c>
      <c r="P92">
        <f>IFERROR(IF(ISNUMBER(INDEX(SPPR!$E:$Z,MATCH($A92,SPPR!$A:$A,0),13)),$C92*INDEX(SPPR!$E:$Z,MATCH($A92,SPPR!$A:$A,0),13),""),"")</f>
        <v/>
      </c>
      <c r="Q92">
        <f>IFERROR(IF(ISNUMBER(INDEX(SPPR!$E:$Z,MATCH($A92,SPPR!$A:$A,0),14)),$C92*INDEX(SPPR!$E:$Z,MATCH($A92,SPPR!$A:$A,0),14),""),"")</f>
        <v/>
      </c>
      <c r="R92">
        <f>IFERROR(IF(ISNUMBER(INDEX(SPPR!$E:$Z,MATCH($A92,SPPR!$A:$A,0),15)),$C92*INDEX(SPPR!$E:$Z,MATCH($A92,SPPR!$A:$A,0),15),""),"")</f>
        <v/>
      </c>
      <c r="S92">
        <f>IFERROR(IF(ISNUMBER(INDEX(SPPR!$E:$Z,MATCH($A92,SPPR!$A:$A,0),16)),$C92*INDEX(SPPR!$E:$Z,MATCH($A92,SPPR!$A:$A,0),16),""),"")</f>
        <v/>
      </c>
      <c r="T92">
        <f>IFERROR(IF(ISNUMBER(INDEX(SPPR!$E:$Z,MATCH($A92,SPPR!$A:$A,0),17)),$C92*INDEX(SPPR!$E:$Z,MATCH($A92,SPPR!$A:$A,0),17),""),"")</f>
        <v/>
      </c>
      <c r="U92">
        <f>IFERROR(IF(ISNUMBER(INDEX(SPPR!$E:$Z,MATCH($A92,SPPR!$A:$A,0),18)),$C92*INDEX(SPPR!$E:$Z,MATCH($A92,SPPR!$A:$A,0),18),""),"")</f>
        <v/>
      </c>
      <c r="V92">
        <f>IFERROR(IF(ISNUMBER(INDEX(SPPR!$E:$Z,MATCH($A92,SPPR!$A:$A,0),19)),$C92*INDEX(SPPR!$E:$Z,MATCH($A92,SPPR!$A:$A,0),19),""),"")</f>
        <v/>
      </c>
      <c r="W92">
        <f>IFERROR(IF(ISNUMBER(INDEX(SPPR!$E:$Z,MATCH($A92,SPPR!$A:$A,0),20)),$C92*INDEX(SPPR!$E:$Z,MATCH($A92,SPPR!$A:$A,0),20),""),"")</f>
        <v/>
      </c>
      <c r="X92">
        <f>IFERROR(IF(ISNUMBER(INDEX(SPPR!$E:$Z,MATCH($A92,SPPR!$A:$A,0),21)),$C92*INDEX(SPPR!$E:$Z,MATCH($A92,SPPR!$A:$A,0),21),""),"")</f>
        <v/>
      </c>
      <c r="Y92">
        <f>IFERROR(IF(ISNUMBER(INDEX(SPPR!$E:$Z,MATCH($A92,SPPR!$A:$A,0),22)),$C92*INDEX(SPPR!$E:$Z,MATCH($A92,SPPR!$A:$A,0),22),""),"")</f>
        <v/>
      </c>
    </row>
    <row r="93">
      <c r="A93" t="inlineStr">
        <is>
          <t>Thenus orientalis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IFERROR(IF(ISNUMBER(INDEX(SPPR!$E:$Z,MATCH($A93,SPPR!$A:$A,0),1)),$C93*INDEX(SPPR!$E:$Z,MATCH($A93,SPPR!$A:$A,0),1),""),"")</f>
        <v/>
      </c>
      <c r="E93">
        <f>IFERROR(IF(ISNUMBER(INDEX(SPPR!$E:$Z,MATCH($A93,SPPR!$A:$A,0),2)),$C93*INDEX(SPPR!$E:$Z,MATCH($A93,SPPR!$A:$A,0),2),""),"")</f>
        <v/>
      </c>
      <c r="F93">
        <f>IFERROR(IF(ISNUMBER(INDEX(SPPR!$E:$Z,MATCH($A93,SPPR!$A:$A,0),3)),$C93*INDEX(SPPR!$E:$Z,MATCH($A93,SPPR!$A:$A,0),3),""),"")</f>
        <v/>
      </c>
      <c r="G93">
        <f>IFERROR(IF(ISNUMBER(INDEX(SPPR!$E:$Z,MATCH($A93,SPPR!$A:$A,0),4)),$C93*INDEX(SPPR!$E:$Z,MATCH($A93,SPPR!$A:$A,0),4),""),"")</f>
        <v/>
      </c>
      <c r="H93">
        <f>IFERROR(IF(ISNUMBER(INDEX(SPPR!$E:$Z,MATCH($A93,SPPR!$A:$A,0),5)),$C93*INDEX(SPPR!$E:$Z,MATCH($A93,SPPR!$A:$A,0),5),""),"")</f>
        <v/>
      </c>
      <c r="I93">
        <f>IFERROR(IF(ISNUMBER(INDEX(SPPR!$E:$Z,MATCH($A93,SPPR!$A:$A,0),6)),$C93*INDEX(SPPR!$E:$Z,MATCH($A93,SPPR!$A:$A,0),6),""),"")</f>
        <v/>
      </c>
      <c r="J93">
        <f>IFERROR(IF(ISNUMBER(INDEX(SPPR!$E:$Z,MATCH($A93,SPPR!$A:$A,0),7)),$C93*INDEX(SPPR!$E:$Z,MATCH($A93,SPPR!$A:$A,0),7),""),"")</f>
        <v/>
      </c>
      <c r="K93">
        <f>IFERROR(IF(ISNUMBER(INDEX(SPPR!$E:$Z,MATCH($A93,SPPR!$A:$A,0),8)),$C93*INDEX(SPPR!$E:$Z,MATCH($A93,SPPR!$A:$A,0),8),""),"")</f>
        <v/>
      </c>
      <c r="L93">
        <f>IFERROR(IF(ISNUMBER(INDEX(SPPR!$E:$Z,MATCH($A93,SPPR!$A:$A,0),9)),$C93*INDEX(SPPR!$E:$Z,MATCH($A93,SPPR!$A:$A,0),9),""),"")</f>
        <v/>
      </c>
      <c r="M93">
        <f>IFERROR(IF(ISNUMBER(INDEX(SPPR!$E:$Z,MATCH($A93,SPPR!$A:$A,0),10)),$C93*INDEX(SPPR!$E:$Z,MATCH($A93,SPPR!$A:$A,0),10),""),"")</f>
        <v/>
      </c>
      <c r="N93">
        <f>IFERROR(IF(ISNUMBER(INDEX(SPPR!$E:$Z,MATCH($A93,SPPR!$A:$A,0),11)),$C93*INDEX(SPPR!$E:$Z,MATCH($A93,SPPR!$A:$A,0),11),""),"")</f>
        <v/>
      </c>
      <c r="O93">
        <f>IFERROR(IF(ISNUMBER(INDEX(SPPR!$E:$Z,MATCH($A93,SPPR!$A:$A,0),12)),$C93*INDEX(SPPR!$E:$Z,MATCH($A93,SPPR!$A:$A,0),12),""),"")</f>
        <v/>
      </c>
      <c r="P93">
        <f>IFERROR(IF(ISNUMBER(INDEX(SPPR!$E:$Z,MATCH($A93,SPPR!$A:$A,0),13)),$C93*INDEX(SPPR!$E:$Z,MATCH($A93,SPPR!$A:$A,0),13),""),"")</f>
        <v/>
      </c>
      <c r="Q93">
        <f>IFERROR(IF(ISNUMBER(INDEX(SPPR!$E:$Z,MATCH($A93,SPPR!$A:$A,0),14)),$C93*INDEX(SPPR!$E:$Z,MATCH($A93,SPPR!$A:$A,0),14),""),"")</f>
        <v/>
      </c>
      <c r="R93">
        <f>IFERROR(IF(ISNUMBER(INDEX(SPPR!$E:$Z,MATCH($A93,SPPR!$A:$A,0),15)),$C93*INDEX(SPPR!$E:$Z,MATCH($A93,SPPR!$A:$A,0),15),""),"")</f>
        <v/>
      </c>
      <c r="S93">
        <f>IFERROR(IF(ISNUMBER(INDEX(SPPR!$E:$Z,MATCH($A93,SPPR!$A:$A,0),16)),$C93*INDEX(SPPR!$E:$Z,MATCH($A93,SPPR!$A:$A,0),16),""),"")</f>
        <v/>
      </c>
      <c r="T93">
        <f>IFERROR(IF(ISNUMBER(INDEX(SPPR!$E:$Z,MATCH($A93,SPPR!$A:$A,0),17)),$C93*INDEX(SPPR!$E:$Z,MATCH($A93,SPPR!$A:$A,0),17),""),"")</f>
        <v/>
      </c>
      <c r="U93">
        <f>IFERROR(IF(ISNUMBER(INDEX(SPPR!$E:$Z,MATCH($A93,SPPR!$A:$A,0),18)),$C93*INDEX(SPPR!$E:$Z,MATCH($A93,SPPR!$A:$A,0),18),""),"")</f>
        <v/>
      </c>
      <c r="V93">
        <f>IFERROR(IF(ISNUMBER(INDEX(SPPR!$E:$Z,MATCH($A93,SPPR!$A:$A,0),19)),$C93*INDEX(SPPR!$E:$Z,MATCH($A93,SPPR!$A:$A,0),19),""),"")</f>
        <v/>
      </c>
      <c r="W93">
        <f>IFERROR(IF(ISNUMBER(INDEX(SPPR!$E:$Z,MATCH($A93,SPPR!$A:$A,0),20)),$C93*INDEX(SPPR!$E:$Z,MATCH($A93,SPPR!$A:$A,0),20),""),"")</f>
        <v/>
      </c>
      <c r="X93">
        <f>IFERROR(IF(ISNUMBER(INDEX(SPPR!$E:$Z,MATCH($A93,SPPR!$A:$A,0),21)),$C93*INDEX(SPPR!$E:$Z,MATCH($A93,SPPR!$A:$A,0),21),""),"")</f>
        <v/>
      </c>
      <c r="Y93">
        <f>IFERROR(IF(ISNUMBER(INDEX(SPPR!$E:$Z,MATCH($A93,SPPR!$A:$A,0),22)),$C93*INDEX(SPPR!$E:$Z,MATCH($A93,SPPR!$A:$A,0),22),""),"")</f>
        <v/>
      </c>
    </row>
    <row r="94">
      <c r="A94" t="inlineStr">
        <is>
          <t>Penaeus monodon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IFERROR(IF(ISNUMBER(INDEX(SPPR!$E:$Z,MATCH($A94,SPPR!$A:$A,0),1)),$C94*INDEX(SPPR!$E:$Z,MATCH($A94,SPPR!$A:$A,0),1),""),"")</f>
        <v/>
      </c>
      <c r="E94">
        <f>IFERROR(IF(ISNUMBER(INDEX(SPPR!$E:$Z,MATCH($A94,SPPR!$A:$A,0),2)),$C94*INDEX(SPPR!$E:$Z,MATCH($A94,SPPR!$A:$A,0),2),""),"")</f>
        <v/>
      </c>
      <c r="F94">
        <f>IFERROR(IF(ISNUMBER(INDEX(SPPR!$E:$Z,MATCH($A94,SPPR!$A:$A,0),3)),$C94*INDEX(SPPR!$E:$Z,MATCH($A94,SPPR!$A:$A,0),3),""),"")</f>
        <v/>
      </c>
      <c r="G94">
        <f>IFERROR(IF(ISNUMBER(INDEX(SPPR!$E:$Z,MATCH($A94,SPPR!$A:$A,0),4)),$C94*INDEX(SPPR!$E:$Z,MATCH($A94,SPPR!$A:$A,0),4),""),"")</f>
        <v/>
      </c>
      <c r="H94">
        <f>IFERROR(IF(ISNUMBER(INDEX(SPPR!$E:$Z,MATCH($A94,SPPR!$A:$A,0),5)),$C94*INDEX(SPPR!$E:$Z,MATCH($A94,SPPR!$A:$A,0),5),""),"")</f>
        <v/>
      </c>
      <c r="I94">
        <f>IFERROR(IF(ISNUMBER(INDEX(SPPR!$E:$Z,MATCH($A94,SPPR!$A:$A,0),6)),$C94*INDEX(SPPR!$E:$Z,MATCH($A94,SPPR!$A:$A,0),6),""),"")</f>
        <v/>
      </c>
      <c r="J94">
        <f>IFERROR(IF(ISNUMBER(INDEX(SPPR!$E:$Z,MATCH($A94,SPPR!$A:$A,0),7)),$C94*INDEX(SPPR!$E:$Z,MATCH($A94,SPPR!$A:$A,0),7),""),"")</f>
        <v/>
      </c>
      <c r="K94">
        <f>IFERROR(IF(ISNUMBER(INDEX(SPPR!$E:$Z,MATCH($A94,SPPR!$A:$A,0),8)),$C94*INDEX(SPPR!$E:$Z,MATCH($A94,SPPR!$A:$A,0),8),""),"")</f>
        <v/>
      </c>
      <c r="L94">
        <f>IFERROR(IF(ISNUMBER(INDEX(SPPR!$E:$Z,MATCH($A94,SPPR!$A:$A,0),9)),$C94*INDEX(SPPR!$E:$Z,MATCH($A94,SPPR!$A:$A,0),9),""),"")</f>
        <v/>
      </c>
      <c r="M94">
        <f>IFERROR(IF(ISNUMBER(INDEX(SPPR!$E:$Z,MATCH($A94,SPPR!$A:$A,0),10)),$C94*INDEX(SPPR!$E:$Z,MATCH($A94,SPPR!$A:$A,0),10),""),"")</f>
        <v/>
      </c>
      <c r="N94">
        <f>IFERROR(IF(ISNUMBER(INDEX(SPPR!$E:$Z,MATCH($A94,SPPR!$A:$A,0),11)),$C94*INDEX(SPPR!$E:$Z,MATCH($A94,SPPR!$A:$A,0),11),""),"")</f>
        <v/>
      </c>
      <c r="O94">
        <f>IFERROR(IF(ISNUMBER(INDEX(SPPR!$E:$Z,MATCH($A94,SPPR!$A:$A,0),12)),$C94*INDEX(SPPR!$E:$Z,MATCH($A94,SPPR!$A:$A,0),12),""),"")</f>
        <v/>
      </c>
      <c r="P94">
        <f>IFERROR(IF(ISNUMBER(INDEX(SPPR!$E:$Z,MATCH($A94,SPPR!$A:$A,0),13)),$C94*INDEX(SPPR!$E:$Z,MATCH($A94,SPPR!$A:$A,0),13),""),"")</f>
        <v/>
      </c>
      <c r="Q94">
        <f>IFERROR(IF(ISNUMBER(INDEX(SPPR!$E:$Z,MATCH($A94,SPPR!$A:$A,0),14)),$C94*INDEX(SPPR!$E:$Z,MATCH($A94,SPPR!$A:$A,0),14),""),"")</f>
        <v/>
      </c>
      <c r="R94">
        <f>IFERROR(IF(ISNUMBER(INDEX(SPPR!$E:$Z,MATCH($A94,SPPR!$A:$A,0),15)),$C94*INDEX(SPPR!$E:$Z,MATCH($A94,SPPR!$A:$A,0),15),""),"")</f>
        <v/>
      </c>
      <c r="S94">
        <f>IFERROR(IF(ISNUMBER(INDEX(SPPR!$E:$Z,MATCH($A94,SPPR!$A:$A,0),16)),$C94*INDEX(SPPR!$E:$Z,MATCH($A94,SPPR!$A:$A,0),16),""),"")</f>
        <v/>
      </c>
      <c r="T94">
        <f>IFERROR(IF(ISNUMBER(INDEX(SPPR!$E:$Z,MATCH($A94,SPPR!$A:$A,0),17)),$C94*INDEX(SPPR!$E:$Z,MATCH($A94,SPPR!$A:$A,0),17),""),"")</f>
        <v/>
      </c>
      <c r="U94">
        <f>IFERROR(IF(ISNUMBER(INDEX(SPPR!$E:$Z,MATCH($A94,SPPR!$A:$A,0),18)),$C94*INDEX(SPPR!$E:$Z,MATCH($A94,SPPR!$A:$A,0),18),""),"")</f>
        <v/>
      </c>
      <c r="V94">
        <f>IFERROR(IF(ISNUMBER(INDEX(SPPR!$E:$Z,MATCH($A94,SPPR!$A:$A,0),19)),$C94*INDEX(SPPR!$E:$Z,MATCH($A94,SPPR!$A:$A,0),19),""),"")</f>
        <v/>
      </c>
      <c r="W94">
        <f>IFERROR(IF(ISNUMBER(INDEX(SPPR!$E:$Z,MATCH($A94,SPPR!$A:$A,0),20)),$C94*INDEX(SPPR!$E:$Z,MATCH($A94,SPPR!$A:$A,0),20),""),"")</f>
        <v/>
      </c>
      <c r="X94">
        <f>IFERROR(IF(ISNUMBER(INDEX(SPPR!$E:$Z,MATCH($A94,SPPR!$A:$A,0),21)),$C94*INDEX(SPPR!$E:$Z,MATCH($A94,SPPR!$A:$A,0),21),""),"")</f>
        <v/>
      </c>
      <c r="Y94">
        <f>IFERROR(IF(ISNUMBER(INDEX(SPPR!$E:$Z,MATCH($A94,SPPR!$A:$A,0),22)),$C94*INDEX(SPPR!$E:$Z,MATCH($A94,SPPR!$A:$A,0),22),""),"")</f>
        <v/>
      </c>
    </row>
    <row r="95">
      <c r="A95" t="inlineStr">
        <is>
          <t>Terapon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IFERROR(IF(ISNUMBER(INDEX(SPPR!$E:$Z,MATCH($A95,SPPR!$A:$A,0),1)),$C95*INDEX(SPPR!$E:$Z,MATCH($A95,SPPR!$A:$A,0),1),""),"")</f>
        <v/>
      </c>
      <c r="E95">
        <f>IFERROR(IF(ISNUMBER(INDEX(SPPR!$E:$Z,MATCH($A95,SPPR!$A:$A,0),2)),$C95*INDEX(SPPR!$E:$Z,MATCH($A95,SPPR!$A:$A,0),2),""),"")</f>
        <v/>
      </c>
      <c r="F95">
        <f>IFERROR(IF(ISNUMBER(INDEX(SPPR!$E:$Z,MATCH($A95,SPPR!$A:$A,0),3)),$C95*INDEX(SPPR!$E:$Z,MATCH($A95,SPPR!$A:$A,0),3),""),"")</f>
        <v/>
      </c>
      <c r="G95">
        <f>IFERROR(IF(ISNUMBER(INDEX(SPPR!$E:$Z,MATCH($A95,SPPR!$A:$A,0),4)),$C95*INDEX(SPPR!$E:$Z,MATCH($A95,SPPR!$A:$A,0),4),""),"")</f>
        <v/>
      </c>
      <c r="H95">
        <f>IFERROR(IF(ISNUMBER(INDEX(SPPR!$E:$Z,MATCH($A95,SPPR!$A:$A,0),5)),$C95*INDEX(SPPR!$E:$Z,MATCH($A95,SPPR!$A:$A,0),5),""),"")</f>
        <v/>
      </c>
      <c r="I95">
        <f>IFERROR(IF(ISNUMBER(INDEX(SPPR!$E:$Z,MATCH($A95,SPPR!$A:$A,0),6)),$C95*INDEX(SPPR!$E:$Z,MATCH($A95,SPPR!$A:$A,0),6),""),"")</f>
        <v/>
      </c>
      <c r="J95">
        <f>IFERROR(IF(ISNUMBER(INDEX(SPPR!$E:$Z,MATCH($A95,SPPR!$A:$A,0),7)),$C95*INDEX(SPPR!$E:$Z,MATCH($A95,SPPR!$A:$A,0),7),""),"")</f>
        <v/>
      </c>
      <c r="K95">
        <f>IFERROR(IF(ISNUMBER(INDEX(SPPR!$E:$Z,MATCH($A95,SPPR!$A:$A,0),8)),$C95*INDEX(SPPR!$E:$Z,MATCH($A95,SPPR!$A:$A,0),8),""),"")</f>
        <v/>
      </c>
      <c r="L95">
        <f>IFERROR(IF(ISNUMBER(INDEX(SPPR!$E:$Z,MATCH($A95,SPPR!$A:$A,0),9)),$C95*INDEX(SPPR!$E:$Z,MATCH($A95,SPPR!$A:$A,0),9),""),"")</f>
        <v/>
      </c>
      <c r="M95">
        <f>IFERROR(IF(ISNUMBER(INDEX(SPPR!$E:$Z,MATCH($A95,SPPR!$A:$A,0),10)),$C95*INDEX(SPPR!$E:$Z,MATCH($A95,SPPR!$A:$A,0),10),""),"")</f>
        <v/>
      </c>
      <c r="N95">
        <f>IFERROR(IF(ISNUMBER(INDEX(SPPR!$E:$Z,MATCH($A95,SPPR!$A:$A,0),11)),$C95*INDEX(SPPR!$E:$Z,MATCH($A95,SPPR!$A:$A,0),11),""),"")</f>
        <v/>
      </c>
      <c r="O95">
        <f>IFERROR(IF(ISNUMBER(INDEX(SPPR!$E:$Z,MATCH($A95,SPPR!$A:$A,0),12)),$C95*INDEX(SPPR!$E:$Z,MATCH($A95,SPPR!$A:$A,0),12),""),"")</f>
        <v/>
      </c>
      <c r="P95">
        <f>IFERROR(IF(ISNUMBER(INDEX(SPPR!$E:$Z,MATCH($A95,SPPR!$A:$A,0),13)),$C95*INDEX(SPPR!$E:$Z,MATCH($A95,SPPR!$A:$A,0),13),""),"")</f>
        <v/>
      </c>
      <c r="Q95">
        <f>IFERROR(IF(ISNUMBER(INDEX(SPPR!$E:$Z,MATCH($A95,SPPR!$A:$A,0),14)),$C95*INDEX(SPPR!$E:$Z,MATCH($A95,SPPR!$A:$A,0),14),""),"")</f>
        <v/>
      </c>
      <c r="R95">
        <f>IFERROR(IF(ISNUMBER(INDEX(SPPR!$E:$Z,MATCH($A95,SPPR!$A:$A,0),15)),$C95*INDEX(SPPR!$E:$Z,MATCH($A95,SPPR!$A:$A,0),15),""),"")</f>
        <v/>
      </c>
      <c r="S95">
        <f>IFERROR(IF(ISNUMBER(INDEX(SPPR!$E:$Z,MATCH($A95,SPPR!$A:$A,0),16)),$C95*INDEX(SPPR!$E:$Z,MATCH($A95,SPPR!$A:$A,0),16),""),"")</f>
        <v/>
      </c>
      <c r="T95">
        <f>IFERROR(IF(ISNUMBER(INDEX(SPPR!$E:$Z,MATCH($A95,SPPR!$A:$A,0),17)),$C95*INDEX(SPPR!$E:$Z,MATCH($A95,SPPR!$A:$A,0),17),""),"")</f>
        <v/>
      </c>
      <c r="U95">
        <f>IFERROR(IF(ISNUMBER(INDEX(SPPR!$E:$Z,MATCH($A95,SPPR!$A:$A,0),18)),$C95*INDEX(SPPR!$E:$Z,MATCH($A95,SPPR!$A:$A,0),18),""),"")</f>
        <v/>
      </c>
      <c r="V95">
        <f>IFERROR(IF(ISNUMBER(INDEX(SPPR!$E:$Z,MATCH($A95,SPPR!$A:$A,0),19)),$C95*INDEX(SPPR!$E:$Z,MATCH($A95,SPPR!$A:$A,0),19),""),"")</f>
        <v/>
      </c>
      <c r="W95">
        <f>IFERROR(IF(ISNUMBER(INDEX(SPPR!$E:$Z,MATCH($A95,SPPR!$A:$A,0),20)),$C95*INDEX(SPPR!$E:$Z,MATCH($A95,SPPR!$A:$A,0),20),""),"")</f>
        <v/>
      </c>
      <c r="X95">
        <f>IFERROR(IF(ISNUMBER(INDEX(SPPR!$E:$Z,MATCH($A95,SPPR!$A:$A,0),21)),$C95*INDEX(SPPR!$E:$Z,MATCH($A95,SPPR!$A:$A,0),21),""),"")</f>
        <v/>
      </c>
      <c r="Y95">
        <f>IFERROR(IF(ISNUMBER(INDEX(SPPR!$E:$Z,MATCH($A95,SPPR!$A:$A,0),22)),$C95*INDEX(SPPR!$E:$Z,MATCH($A95,SPPR!$A:$A,0),22),""),"")</f>
        <v/>
      </c>
    </row>
    <row r="96">
      <c r="A96" t="inlineStr">
        <is>
          <t>Polynemidae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IFERROR(IF(ISNUMBER(INDEX(SPPR!$E:$Z,MATCH($A96,SPPR!$A:$A,0),1)),$C96*INDEX(SPPR!$E:$Z,MATCH($A96,SPPR!$A:$A,0),1),""),"")</f>
        <v/>
      </c>
      <c r="E96">
        <f>IFERROR(IF(ISNUMBER(INDEX(SPPR!$E:$Z,MATCH($A96,SPPR!$A:$A,0),2)),$C96*INDEX(SPPR!$E:$Z,MATCH($A96,SPPR!$A:$A,0),2),""),"")</f>
        <v/>
      </c>
      <c r="F96">
        <f>IFERROR(IF(ISNUMBER(INDEX(SPPR!$E:$Z,MATCH($A96,SPPR!$A:$A,0),3)),$C96*INDEX(SPPR!$E:$Z,MATCH($A96,SPPR!$A:$A,0),3),""),"")</f>
        <v/>
      </c>
      <c r="G96">
        <f>IFERROR(IF(ISNUMBER(INDEX(SPPR!$E:$Z,MATCH($A96,SPPR!$A:$A,0),4)),$C96*INDEX(SPPR!$E:$Z,MATCH($A96,SPPR!$A:$A,0),4),""),"")</f>
        <v/>
      </c>
      <c r="H96">
        <f>IFERROR(IF(ISNUMBER(INDEX(SPPR!$E:$Z,MATCH($A96,SPPR!$A:$A,0),5)),$C96*INDEX(SPPR!$E:$Z,MATCH($A96,SPPR!$A:$A,0),5),""),"")</f>
        <v/>
      </c>
      <c r="I96">
        <f>IFERROR(IF(ISNUMBER(INDEX(SPPR!$E:$Z,MATCH($A96,SPPR!$A:$A,0),6)),$C96*INDEX(SPPR!$E:$Z,MATCH($A96,SPPR!$A:$A,0),6),""),"")</f>
        <v/>
      </c>
      <c r="J96">
        <f>IFERROR(IF(ISNUMBER(INDEX(SPPR!$E:$Z,MATCH($A96,SPPR!$A:$A,0),7)),$C96*INDEX(SPPR!$E:$Z,MATCH($A96,SPPR!$A:$A,0),7),""),"")</f>
        <v/>
      </c>
      <c r="K96">
        <f>IFERROR(IF(ISNUMBER(INDEX(SPPR!$E:$Z,MATCH($A96,SPPR!$A:$A,0),8)),$C96*INDEX(SPPR!$E:$Z,MATCH($A96,SPPR!$A:$A,0),8),""),"")</f>
        <v/>
      </c>
      <c r="L96">
        <f>IFERROR(IF(ISNUMBER(INDEX(SPPR!$E:$Z,MATCH($A96,SPPR!$A:$A,0),9)),$C96*INDEX(SPPR!$E:$Z,MATCH($A96,SPPR!$A:$A,0),9),""),"")</f>
        <v/>
      </c>
      <c r="M96">
        <f>IFERROR(IF(ISNUMBER(INDEX(SPPR!$E:$Z,MATCH($A96,SPPR!$A:$A,0),10)),$C96*INDEX(SPPR!$E:$Z,MATCH($A96,SPPR!$A:$A,0),10),""),"")</f>
        <v/>
      </c>
      <c r="N96">
        <f>IFERROR(IF(ISNUMBER(INDEX(SPPR!$E:$Z,MATCH($A96,SPPR!$A:$A,0),11)),$C96*INDEX(SPPR!$E:$Z,MATCH($A96,SPPR!$A:$A,0),11),""),"")</f>
        <v/>
      </c>
      <c r="O96">
        <f>IFERROR(IF(ISNUMBER(INDEX(SPPR!$E:$Z,MATCH($A96,SPPR!$A:$A,0),12)),$C96*INDEX(SPPR!$E:$Z,MATCH($A96,SPPR!$A:$A,0),12),""),"")</f>
        <v/>
      </c>
      <c r="P96">
        <f>IFERROR(IF(ISNUMBER(INDEX(SPPR!$E:$Z,MATCH($A96,SPPR!$A:$A,0),13)),$C96*INDEX(SPPR!$E:$Z,MATCH($A96,SPPR!$A:$A,0),13),""),"")</f>
        <v/>
      </c>
      <c r="Q96">
        <f>IFERROR(IF(ISNUMBER(INDEX(SPPR!$E:$Z,MATCH($A96,SPPR!$A:$A,0),14)),$C96*INDEX(SPPR!$E:$Z,MATCH($A96,SPPR!$A:$A,0),14),""),"")</f>
        <v/>
      </c>
      <c r="R96">
        <f>IFERROR(IF(ISNUMBER(INDEX(SPPR!$E:$Z,MATCH($A96,SPPR!$A:$A,0),15)),$C96*INDEX(SPPR!$E:$Z,MATCH($A96,SPPR!$A:$A,0),15),""),"")</f>
        <v/>
      </c>
      <c r="S96">
        <f>IFERROR(IF(ISNUMBER(INDEX(SPPR!$E:$Z,MATCH($A96,SPPR!$A:$A,0),16)),$C96*INDEX(SPPR!$E:$Z,MATCH($A96,SPPR!$A:$A,0),16),""),"")</f>
        <v/>
      </c>
      <c r="T96">
        <f>IFERROR(IF(ISNUMBER(INDEX(SPPR!$E:$Z,MATCH($A96,SPPR!$A:$A,0),17)),$C96*INDEX(SPPR!$E:$Z,MATCH($A96,SPPR!$A:$A,0),17),""),"")</f>
        <v/>
      </c>
      <c r="U96">
        <f>IFERROR(IF(ISNUMBER(INDEX(SPPR!$E:$Z,MATCH($A96,SPPR!$A:$A,0),18)),$C96*INDEX(SPPR!$E:$Z,MATCH($A96,SPPR!$A:$A,0),18),""),"")</f>
        <v/>
      </c>
      <c r="V96">
        <f>IFERROR(IF(ISNUMBER(INDEX(SPPR!$E:$Z,MATCH($A96,SPPR!$A:$A,0),19)),$C96*INDEX(SPPR!$E:$Z,MATCH($A96,SPPR!$A:$A,0),19),""),"")</f>
        <v/>
      </c>
      <c r="W96">
        <f>IFERROR(IF(ISNUMBER(INDEX(SPPR!$E:$Z,MATCH($A96,SPPR!$A:$A,0),20)),$C96*INDEX(SPPR!$E:$Z,MATCH($A96,SPPR!$A:$A,0),20),""),"")</f>
        <v/>
      </c>
      <c r="X96">
        <f>IFERROR(IF(ISNUMBER(INDEX(SPPR!$E:$Z,MATCH($A96,SPPR!$A:$A,0),21)),$C96*INDEX(SPPR!$E:$Z,MATCH($A96,SPPR!$A:$A,0),21),""),"")</f>
        <v/>
      </c>
      <c r="Y96">
        <f>IFERROR(IF(ISNUMBER(INDEX(SPPR!$E:$Z,MATCH($A96,SPPR!$A:$A,0),22)),$C96*INDEX(SPPR!$E:$Z,MATCH($A96,SPPR!$A:$A,0),22),""),"")</f>
        <v/>
      </c>
    </row>
    <row r="97">
      <c r="A97" t="inlineStr">
        <is>
          <t>Cynoglossus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IFERROR(IF(ISNUMBER(INDEX(SPPR!$E:$Z,MATCH($A97,SPPR!$A:$A,0),1)),$C97*INDEX(SPPR!$E:$Z,MATCH($A97,SPPR!$A:$A,0),1),""),"")</f>
        <v/>
      </c>
      <c r="E97">
        <f>IFERROR(IF(ISNUMBER(INDEX(SPPR!$E:$Z,MATCH($A97,SPPR!$A:$A,0),2)),$C97*INDEX(SPPR!$E:$Z,MATCH($A97,SPPR!$A:$A,0),2),""),"")</f>
        <v/>
      </c>
      <c r="F97">
        <f>IFERROR(IF(ISNUMBER(INDEX(SPPR!$E:$Z,MATCH($A97,SPPR!$A:$A,0),3)),$C97*INDEX(SPPR!$E:$Z,MATCH($A97,SPPR!$A:$A,0),3),""),"")</f>
        <v/>
      </c>
      <c r="G97">
        <f>IFERROR(IF(ISNUMBER(INDEX(SPPR!$E:$Z,MATCH($A97,SPPR!$A:$A,0),4)),$C97*INDEX(SPPR!$E:$Z,MATCH($A97,SPPR!$A:$A,0),4),""),"")</f>
        <v/>
      </c>
      <c r="H97">
        <f>IFERROR(IF(ISNUMBER(INDEX(SPPR!$E:$Z,MATCH($A97,SPPR!$A:$A,0),5)),$C97*INDEX(SPPR!$E:$Z,MATCH($A97,SPPR!$A:$A,0),5),""),"")</f>
        <v/>
      </c>
      <c r="I97">
        <f>IFERROR(IF(ISNUMBER(INDEX(SPPR!$E:$Z,MATCH($A97,SPPR!$A:$A,0),6)),$C97*INDEX(SPPR!$E:$Z,MATCH($A97,SPPR!$A:$A,0),6),""),"")</f>
        <v/>
      </c>
      <c r="J97">
        <f>IFERROR(IF(ISNUMBER(INDEX(SPPR!$E:$Z,MATCH($A97,SPPR!$A:$A,0),7)),$C97*INDEX(SPPR!$E:$Z,MATCH($A97,SPPR!$A:$A,0),7),""),"")</f>
        <v/>
      </c>
      <c r="K97">
        <f>IFERROR(IF(ISNUMBER(INDEX(SPPR!$E:$Z,MATCH($A97,SPPR!$A:$A,0),8)),$C97*INDEX(SPPR!$E:$Z,MATCH($A97,SPPR!$A:$A,0),8),""),"")</f>
        <v/>
      </c>
      <c r="L97">
        <f>IFERROR(IF(ISNUMBER(INDEX(SPPR!$E:$Z,MATCH($A97,SPPR!$A:$A,0),9)),$C97*INDEX(SPPR!$E:$Z,MATCH($A97,SPPR!$A:$A,0),9),""),"")</f>
        <v/>
      </c>
      <c r="M97">
        <f>IFERROR(IF(ISNUMBER(INDEX(SPPR!$E:$Z,MATCH($A97,SPPR!$A:$A,0),10)),$C97*INDEX(SPPR!$E:$Z,MATCH($A97,SPPR!$A:$A,0),10),""),"")</f>
        <v/>
      </c>
      <c r="N97">
        <f>IFERROR(IF(ISNUMBER(INDEX(SPPR!$E:$Z,MATCH($A97,SPPR!$A:$A,0),11)),$C97*INDEX(SPPR!$E:$Z,MATCH($A97,SPPR!$A:$A,0),11),""),"")</f>
        <v/>
      </c>
      <c r="O97">
        <f>IFERROR(IF(ISNUMBER(INDEX(SPPR!$E:$Z,MATCH($A97,SPPR!$A:$A,0),12)),$C97*INDEX(SPPR!$E:$Z,MATCH($A97,SPPR!$A:$A,0),12),""),"")</f>
        <v/>
      </c>
      <c r="P97">
        <f>IFERROR(IF(ISNUMBER(INDEX(SPPR!$E:$Z,MATCH($A97,SPPR!$A:$A,0),13)),$C97*INDEX(SPPR!$E:$Z,MATCH($A97,SPPR!$A:$A,0),13),""),"")</f>
        <v/>
      </c>
      <c r="Q97">
        <f>IFERROR(IF(ISNUMBER(INDEX(SPPR!$E:$Z,MATCH($A97,SPPR!$A:$A,0),14)),$C97*INDEX(SPPR!$E:$Z,MATCH($A97,SPPR!$A:$A,0),14),""),"")</f>
        <v/>
      </c>
      <c r="R97">
        <f>IFERROR(IF(ISNUMBER(INDEX(SPPR!$E:$Z,MATCH($A97,SPPR!$A:$A,0),15)),$C97*INDEX(SPPR!$E:$Z,MATCH($A97,SPPR!$A:$A,0),15),""),"")</f>
        <v/>
      </c>
      <c r="S97">
        <f>IFERROR(IF(ISNUMBER(INDEX(SPPR!$E:$Z,MATCH($A97,SPPR!$A:$A,0),16)),$C97*INDEX(SPPR!$E:$Z,MATCH($A97,SPPR!$A:$A,0),16),""),"")</f>
        <v/>
      </c>
      <c r="T97">
        <f>IFERROR(IF(ISNUMBER(INDEX(SPPR!$E:$Z,MATCH($A97,SPPR!$A:$A,0),17)),$C97*INDEX(SPPR!$E:$Z,MATCH($A97,SPPR!$A:$A,0),17),""),"")</f>
        <v/>
      </c>
      <c r="U97">
        <f>IFERROR(IF(ISNUMBER(INDEX(SPPR!$E:$Z,MATCH($A97,SPPR!$A:$A,0),18)),$C97*INDEX(SPPR!$E:$Z,MATCH($A97,SPPR!$A:$A,0),18),""),"")</f>
        <v/>
      </c>
      <c r="V97">
        <f>IFERROR(IF(ISNUMBER(INDEX(SPPR!$E:$Z,MATCH($A97,SPPR!$A:$A,0),19)),$C97*INDEX(SPPR!$E:$Z,MATCH($A97,SPPR!$A:$A,0),19),""),"")</f>
        <v/>
      </c>
      <c r="W97">
        <f>IFERROR(IF(ISNUMBER(INDEX(SPPR!$E:$Z,MATCH($A97,SPPR!$A:$A,0),20)),$C97*INDEX(SPPR!$E:$Z,MATCH($A97,SPPR!$A:$A,0),20),""),"")</f>
        <v/>
      </c>
      <c r="X97">
        <f>IFERROR(IF(ISNUMBER(INDEX(SPPR!$E:$Z,MATCH($A97,SPPR!$A:$A,0),21)),$C97*INDEX(SPPR!$E:$Z,MATCH($A97,SPPR!$A:$A,0),21),""),"")</f>
        <v/>
      </c>
      <c r="Y97">
        <f>IFERROR(IF(ISNUMBER(INDEX(SPPR!$E:$Z,MATCH($A97,SPPR!$A:$A,0),22)),$C97*INDEX(SPPR!$E:$Z,MATCH($A97,SPPR!$A:$A,0),22),""),"")</f>
        <v/>
      </c>
    </row>
    <row r="98">
      <c r="A98" t="inlineStr">
        <is>
          <t>Leiognathus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IFERROR(IF(ISNUMBER(INDEX(SPPR!$E:$Z,MATCH($A98,SPPR!$A:$A,0),1)),$C98*INDEX(SPPR!$E:$Z,MATCH($A98,SPPR!$A:$A,0),1),""),"")</f>
        <v/>
      </c>
      <c r="E98">
        <f>IFERROR(IF(ISNUMBER(INDEX(SPPR!$E:$Z,MATCH($A98,SPPR!$A:$A,0),2)),$C98*INDEX(SPPR!$E:$Z,MATCH($A98,SPPR!$A:$A,0),2),""),"")</f>
        <v/>
      </c>
      <c r="F98">
        <f>IFERROR(IF(ISNUMBER(INDEX(SPPR!$E:$Z,MATCH($A98,SPPR!$A:$A,0),3)),$C98*INDEX(SPPR!$E:$Z,MATCH($A98,SPPR!$A:$A,0),3),""),"")</f>
        <v/>
      </c>
      <c r="G98">
        <f>IFERROR(IF(ISNUMBER(INDEX(SPPR!$E:$Z,MATCH($A98,SPPR!$A:$A,0),4)),$C98*INDEX(SPPR!$E:$Z,MATCH($A98,SPPR!$A:$A,0),4),""),"")</f>
        <v/>
      </c>
      <c r="H98">
        <f>IFERROR(IF(ISNUMBER(INDEX(SPPR!$E:$Z,MATCH($A98,SPPR!$A:$A,0),5)),$C98*INDEX(SPPR!$E:$Z,MATCH($A98,SPPR!$A:$A,0),5),""),"")</f>
        <v/>
      </c>
      <c r="I98">
        <f>IFERROR(IF(ISNUMBER(INDEX(SPPR!$E:$Z,MATCH($A98,SPPR!$A:$A,0),6)),$C98*INDEX(SPPR!$E:$Z,MATCH($A98,SPPR!$A:$A,0),6),""),"")</f>
        <v/>
      </c>
      <c r="J98">
        <f>IFERROR(IF(ISNUMBER(INDEX(SPPR!$E:$Z,MATCH($A98,SPPR!$A:$A,0),7)),$C98*INDEX(SPPR!$E:$Z,MATCH($A98,SPPR!$A:$A,0),7),""),"")</f>
        <v/>
      </c>
      <c r="K98">
        <f>IFERROR(IF(ISNUMBER(INDEX(SPPR!$E:$Z,MATCH($A98,SPPR!$A:$A,0),8)),$C98*INDEX(SPPR!$E:$Z,MATCH($A98,SPPR!$A:$A,0),8),""),"")</f>
        <v/>
      </c>
      <c r="L98">
        <f>IFERROR(IF(ISNUMBER(INDEX(SPPR!$E:$Z,MATCH($A98,SPPR!$A:$A,0),9)),$C98*INDEX(SPPR!$E:$Z,MATCH($A98,SPPR!$A:$A,0),9),""),"")</f>
        <v/>
      </c>
      <c r="M98">
        <f>IFERROR(IF(ISNUMBER(INDEX(SPPR!$E:$Z,MATCH($A98,SPPR!$A:$A,0),10)),$C98*INDEX(SPPR!$E:$Z,MATCH($A98,SPPR!$A:$A,0),10),""),"")</f>
        <v/>
      </c>
      <c r="N98">
        <f>IFERROR(IF(ISNUMBER(INDEX(SPPR!$E:$Z,MATCH($A98,SPPR!$A:$A,0),11)),$C98*INDEX(SPPR!$E:$Z,MATCH($A98,SPPR!$A:$A,0),11),""),"")</f>
        <v/>
      </c>
      <c r="O98">
        <f>IFERROR(IF(ISNUMBER(INDEX(SPPR!$E:$Z,MATCH($A98,SPPR!$A:$A,0),12)),$C98*INDEX(SPPR!$E:$Z,MATCH($A98,SPPR!$A:$A,0),12),""),"")</f>
        <v/>
      </c>
      <c r="P98">
        <f>IFERROR(IF(ISNUMBER(INDEX(SPPR!$E:$Z,MATCH($A98,SPPR!$A:$A,0),13)),$C98*INDEX(SPPR!$E:$Z,MATCH($A98,SPPR!$A:$A,0),13),""),"")</f>
        <v/>
      </c>
      <c r="Q98">
        <f>IFERROR(IF(ISNUMBER(INDEX(SPPR!$E:$Z,MATCH($A98,SPPR!$A:$A,0),14)),$C98*INDEX(SPPR!$E:$Z,MATCH($A98,SPPR!$A:$A,0),14),""),"")</f>
        <v/>
      </c>
      <c r="R98">
        <f>IFERROR(IF(ISNUMBER(INDEX(SPPR!$E:$Z,MATCH($A98,SPPR!$A:$A,0),15)),$C98*INDEX(SPPR!$E:$Z,MATCH($A98,SPPR!$A:$A,0),15),""),"")</f>
        <v/>
      </c>
      <c r="S98">
        <f>IFERROR(IF(ISNUMBER(INDEX(SPPR!$E:$Z,MATCH($A98,SPPR!$A:$A,0),16)),$C98*INDEX(SPPR!$E:$Z,MATCH($A98,SPPR!$A:$A,0),16),""),"")</f>
        <v/>
      </c>
      <c r="T98">
        <f>IFERROR(IF(ISNUMBER(INDEX(SPPR!$E:$Z,MATCH($A98,SPPR!$A:$A,0),17)),$C98*INDEX(SPPR!$E:$Z,MATCH($A98,SPPR!$A:$A,0),17),""),"")</f>
        <v/>
      </c>
      <c r="U98">
        <f>IFERROR(IF(ISNUMBER(INDEX(SPPR!$E:$Z,MATCH($A98,SPPR!$A:$A,0),18)),$C98*INDEX(SPPR!$E:$Z,MATCH($A98,SPPR!$A:$A,0),18),""),"")</f>
        <v/>
      </c>
      <c r="V98">
        <f>IFERROR(IF(ISNUMBER(INDEX(SPPR!$E:$Z,MATCH($A98,SPPR!$A:$A,0),19)),$C98*INDEX(SPPR!$E:$Z,MATCH($A98,SPPR!$A:$A,0),19),""),"")</f>
        <v/>
      </c>
      <c r="W98">
        <f>IFERROR(IF(ISNUMBER(INDEX(SPPR!$E:$Z,MATCH($A98,SPPR!$A:$A,0),20)),$C98*INDEX(SPPR!$E:$Z,MATCH($A98,SPPR!$A:$A,0),20),""),"")</f>
        <v/>
      </c>
      <c r="X98">
        <f>IFERROR(IF(ISNUMBER(INDEX(SPPR!$E:$Z,MATCH($A98,SPPR!$A:$A,0),21)),$C98*INDEX(SPPR!$E:$Z,MATCH($A98,SPPR!$A:$A,0),21),""),"")</f>
        <v/>
      </c>
      <c r="Y98">
        <f>IFERROR(IF(ISNUMBER(INDEX(SPPR!$E:$Z,MATCH($A98,SPPR!$A:$A,0),22)),$C98*INDEX(SPPR!$E:$Z,MATCH($A98,SPPR!$A:$A,0),22),""),"")</f>
        <v/>
      </c>
    </row>
    <row r="99">
      <c r="A99" t="inlineStr">
        <is>
          <t>Tetraodontidae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IFERROR(IF(ISNUMBER(INDEX(SPPR!$E:$Z,MATCH($A99,SPPR!$A:$A,0),1)),$C99*INDEX(SPPR!$E:$Z,MATCH($A99,SPPR!$A:$A,0),1),""),"")</f>
        <v/>
      </c>
      <c r="E99">
        <f>IFERROR(IF(ISNUMBER(INDEX(SPPR!$E:$Z,MATCH($A99,SPPR!$A:$A,0),2)),$C99*INDEX(SPPR!$E:$Z,MATCH($A99,SPPR!$A:$A,0),2),""),"")</f>
        <v/>
      </c>
      <c r="F99">
        <f>IFERROR(IF(ISNUMBER(INDEX(SPPR!$E:$Z,MATCH($A99,SPPR!$A:$A,0),3)),$C99*INDEX(SPPR!$E:$Z,MATCH($A99,SPPR!$A:$A,0),3),""),"")</f>
        <v/>
      </c>
      <c r="G99">
        <f>IFERROR(IF(ISNUMBER(INDEX(SPPR!$E:$Z,MATCH($A99,SPPR!$A:$A,0),4)),$C99*INDEX(SPPR!$E:$Z,MATCH($A99,SPPR!$A:$A,0),4),""),"")</f>
        <v/>
      </c>
      <c r="H99">
        <f>IFERROR(IF(ISNUMBER(INDEX(SPPR!$E:$Z,MATCH($A99,SPPR!$A:$A,0),5)),$C99*INDEX(SPPR!$E:$Z,MATCH($A99,SPPR!$A:$A,0),5),""),"")</f>
        <v/>
      </c>
      <c r="I99">
        <f>IFERROR(IF(ISNUMBER(INDEX(SPPR!$E:$Z,MATCH($A99,SPPR!$A:$A,0),6)),$C99*INDEX(SPPR!$E:$Z,MATCH($A99,SPPR!$A:$A,0),6),""),"")</f>
        <v/>
      </c>
      <c r="J99">
        <f>IFERROR(IF(ISNUMBER(INDEX(SPPR!$E:$Z,MATCH($A99,SPPR!$A:$A,0),7)),$C99*INDEX(SPPR!$E:$Z,MATCH($A99,SPPR!$A:$A,0),7),""),"")</f>
        <v/>
      </c>
      <c r="K99">
        <f>IFERROR(IF(ISNUMBER(INDEX(SPPR!$E:$Z,MATCH($A99,SPPR!$A:$A,0),8)),$C99*INDEX(SPPR!$E:$Z,MATCH($A99,SPPR!$A:$A,0),8),""),"")</f>
        <v/>
      </c>
      <c r="L99">
        <f>IFERROR(IF(ISNUMBER(INDEX(SPPR!$E:$Z,MATCH($A99,SPPR!$A:$A,0),9)),$C99*INDEX(SPPR!$E:$Z,MATCH($A99,SPPR!$A:$A,0),9),""),"")</f>
        <v/>
      </c>
      <c r="M99">
        <f>IFERROR(IF(ISNUMBER(INDEX(SPPR!$E:$Z,MATCH($A99,SPPR!$A:$A,0),10)),$C99*INDEX(SPPR!$E:$Z,MATCH($A99,SPPR!$A:$A,0),10),""),"")</f>
        <v/>
      </c>
      <c r="N99">
        <f>IFERROR(IF(ISNUMBER(INDEX(SPPR!$E:$Z,MATCH($A99,SPPR!$A:$A,0),11)),$C99*INDEX(SPPR!$E:$Z,MATCH($A99,SPPR!$A:$A,0),11),""),"")</f>
        <v/>
      </c>
      <c r="O99">
        <f>IFERROR(IF(ISNUMBER(INDEX(SPPR!$E:$Z,MATCH($A99,SPPR!$A:$A,0),12)),$C99*INDEX(SPPR!$E:$Z,MATCH($A99,SPPR!$A:$A,0),12),""),"")</f>
        <v/>
      </c>
      <c r="P99">
        <f>IFERROR(IF(ISNUMBER(INDEX(SPPR!$E:$Z,MATCH($A99,SPPR!$A:$A,0),13)),$C99*INDEX(SPPR!$E:$Z,MATCH($A99,SPPR!$A:$A,0),13),""),"")</f>
        <v/>
      </c>
      <c r="Q99">
        <f>IFERROR(IF(ISNUMBER(INDEX(SPPR!$E:$Z,MATCH($A99,SPPR!$A:$A,0),14)),$C99*INDEX(SPPR!$E:$Z,MATCH($A99,SPPR!$A:$A,0),14),""),"")</f>
        <v/>
      </c>
      <c r="R99">
        <f>IFERROR(IF(ISNUMBER(INDEX(SPPR!$E:$Z,MATCH($A99,SPPR!$A:$A,0),15)),$C99*INDEX(SPPR!$E:$Z,MATCH($A99,SPPR!$A:$A,0),15),""),"")</f>
        <v/>
      </c>
      <c r="S99">
        <f>IFERROR(IF(ISNUMBER(INDEX(SPPR!$E:$Z,MATCH($A99,SPPR!$A:$A,0),16)),$C99*INDEX(SPPR!$E:$Z,MATCH($A99,SPPR!$A:$A,0),16),""),"")</f>
        <v/>
      </c>
      <c r="T99">
        <f>IFERROR(IF(ISNUMBER(INDEX(SPPR!$E:$Z,MATCH($A99,SPPR!$A:$A,0),17)),$C99*INDEX(SPPR!$E:$Z,MATCH($A99,SPPR!$A:$A,0),17),""),"")</f>
        <v/>
      </c>
      <c r="U99">
        <f>IFERROR(IF(ISNUMBER(INDEX(SPPR!$E:$Z,MATCH($A99,SPPR!$A:$A,0),18)),$C99*INDEX(SPPR!$E:$Z,MATCH($A99,SPPR!$A:$A,0),18),""),"")</f>
        <v/>
      </c>
      <c r="V99">
        <f>IFERROR(IF(ISNUMBER(INDEX(SPPR!$E:$Z,MATCH($A99,SPPR!$A:$A,0),19)),$C99*INDEX(SPPR!$E:$Z,MATCH($A99,SPPR!$A:$A,0),19),""),"")</f>
        <v/>
      </c>
      <c r="W99">
        <f>IFERROR(IF(ISNUMBER(INDEX(SPPR!$E:$Z,MATCH($A99,SPPR!$A:$A,0),20)),$C99*INDEX(SPPR!$E:$Z,MATCH($A99,SPPR!$A:$A,0),20),""),"")</f>
        <v/>
      </c>
      <c r="X99">
        <f>IFERROR(IF(ISNUMBER(INDEX(SPPR!$E:$Z,MATCH($A99,SPPR!$A:$A,0),21)),$C99*INDEX(SPPR!$E:$Z,MATCH($A99,SPPR!$A:$A,0),21),""),"")</f>
        <v/>
      </c>
      <c r="Y99">
        <f>IFERROR(IF(ISNUMBER(INDEX(SPPR!$E:$Z,MATCH($A99,SPPR!$A:$A,0),22)),$C99*INDEX(SPPR!$E:$Z,MATCH($A99,SPPR!$A:$A,0),22),""),"")</f>
        <v/>
      </c>
    </row>
    <row r="100">
      <c r="A100" t="inlineStr">
        <is>
          <t>Seriolina nigrofasciata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IFERROR(IF(ISNUMBER(INDEX(SPPR!$E:$Z,MATCH($A100,SPPR!$A:$A,0),1)),$C100*INDEX(SPPR!$E:$Z,MATCH($A100,SPPR!$A:$A,0),1),""),"")</f>
        <v/>
      </c>
      <c r="E100">
        <f>IFERROR(IF(ISNUMBER(INDEX(SPPR!$E:$Z,MATCH($A100,SPPR!$A:$A,0),2)),$C100*INDEX(SPPR!$E:$Z,MATCH($A100,SPPR!$A:$A,0),2),""),"")</f>
        <v/>
      </c>
      <c r="F100">
        <f>IFERROR(IF(ISNUMBER(INDEX(SPPR!$E:$Z,MATCH($A100,SPPR!$A:$A,0),3)),$C100*INDEX(SPPR!$E:$Z,MATCH($A100,SPPR!$A:$A,0),3),""),"")</f>
        <v/>
      </c>
      <c r="G100">
        <f>IFERROR(IF(ISNUMBER(INDEX(SPPR!$E:$Z,MATCH($A100,SPPR!$A:$A,0),4)),$C100*INDEX(SPPR!$E:$Z,MATCH($A100,SPPR!$A:$A,0),4),""),"")</f>
        <v/>
      </c>
      <c r="H100">
        <f>IFERROR(IF(ISNUMBER(INDEX(SPPR!$E:$Z,MATCH($A100,SPPR!$A:$A,0),5)),$C100*INDEX(SPPR!$E:$Z,MATCH($A100,SPPR!$A:$A,0),5),""),"")</f>
        <v/>
      </c>
      <c r="I100">
        <f>IFERROR(IF(ISNUMBER(INDEX(SPPR!$E:$Z,MATCH($A100,SPPR!$A:$A,0),6)),$C100*INDEX(SPPR!$E:$Z,MATCH($A100,SPPR!$A:$A,0),6),""),"")</f>
        <v/>
      </c>
      <c r="J100">
        <f>IFERROR(IF(ISNUMBER(INDEX(SPPR!$E:$Z,MATCH($A100,SPPR!$A:$A,0),7)),$C100*INDEX(SPPR!$E:$Z,MATCH($A100,SPPR!$A:$A,0),7),""),"")</f>
        <v/>
      </c>
      <c r="K100">
        <f>IFERROR(IF(ISNUMBER(INDEX(SPPR!$E:$Z,MATCH($A100,SPPR!$A:$A,0),8)),$C100*INDEX(SPPR!$E:$Z,MATCH($A100,SPPR!$A:$A,0),8),""),"")</f>
        <v/>
      </c>
      <c r="L100">
        <f>IFERROR(IF(ISNUMBER(INDEX(SPPR!$E:$Z,MATCH($A100,SPPR!$A:$A,0),9)),$C100*INDEX(SPPR!$E:$Z,MATCH($A100,SPPR!$A:$A,0),9),""),"")</f>
        <v/>
      </c>
      <c r="M100">
        <f>IFERROR(IF(ISNUMBER(INDEX(SPPR!$E:$Z,MATCH($A100,SPPR!$A:$A,0),10)),$C100*INDEX(SPPR!$E:$Z,MATCH($A100,SPPR!$A:$A,0),10),""),"")</f>
        <v/>
      </c>
      <c r="N100">
        <f>IFERROR(IF(ISNUMBER(INDEX(SPPR!$E:$Z,MATCH($A100,SPPR!$A:$A,0),11)),$C100*INDEX(SPPR!$E:$Z,MATCH($A100,SPPR!$A:$A,0),11),""),"")</f>
        <v/>
      </c>
      <c r="O100">
        <f>IFERROR(IF(ISNUMBER(INDEX(SPPR!$E:$Z,MATCH($A100,SPPR!$A:$A,0),12)),$C100*INDEX(SPPR!$E:$Z,MATCH($A100,SPPR!$A:$A,0),12),""),"")</f>
        <v/>
      </c>
      <c r="P100">
        <f>IFERROR(IF(ISNUMBER(INDEX(SPPR!$E:$Z,MATCH($A100,SPPR!$A:$A,0),13)),$C100*INDEX(SPPR!$E:$Z,MATCH($A100,SPPR!$A:$A,0),13),""),"")</f>
        <v/>
      </c>
      <c r="Q100">
        <f>IFERROR(IF(ISNUMBER(INDEX(SPPR!$E:$Z,MATCH($A100,SPPR!$A:$A,0),14)),$C100*INDEX(SPPR!$E:$Z,MATCH($A100,SPPR!$A:$A,0),14),""),"")</f>
        <v/>
      </c>
      <c r="R100">
        <f>IFERROR(IF(ISNUMBER(INDEX(SPPR!$E:$Z,MATCH($A100,SPPR!$A:$A,0),15)),$C100*INDEX(SPPR!$E:$Z,MATCH($A100,SPPR!$A:$A,0),15),""),"")</f>
        <v/>
      </c>
      <c r="S100">
        <f>IFERROR(IF(ISNUMBER(INDEX(SPPR!$E:$Z,MATCH($A100,SPPR!$A:$A,0),16)),$C100*INDEX(SPPR!$E:$Z,MATCH($A100,SPPR!$A:$A,0),16),""),"")</f>
        <v/>
      </c>
      <c r="T100">
        <f>IFERROR(IF(ISNUMBER(INDEX(SPPR!$E:$Z,MATCH($A100,SPPR!$A:$A,0),17)),$C100*INDEX(SPPR!$E:$Z,MATCH($A100,SPPR!$A:$A,0),17),""),"")</f>
        <v/>
      </c>
      <c r="U100">
        <f>IFERROR(IF(ISNUMBER(INDEX(SPPR!$E:$Z,MATCH($A100,SPPR!$A:$A,0),18)),$C100*INDEX(SPPR!$E:$Z,MATCH($A100,SPPR!$A:$A,0),18),""),"")</f>
        <v/>
      </c>
      <c r="V100">
        <f>IFERROR(IF(ISNUMBER(INDEX(SPPR!$E:$Z,MATCH($A100,SPPR!$A:$A,0),19)),$C100*INDEX(SPPR!$E:$Z,MATCH($A100,SPPR!$A:$A,0),19),""),"")</f>
        <v/>
      </c>
      <c r="W100">
        <f>IFERROR(IF(ISNUMBER(INDEX(SPPR!$E:$Z,MATCH($A100,SPPR!$A:$A,0),20)),$C100*INDEX(SPPR!$E:$Z,MATCH($A100,SPPR!$A:$A,0),20),""),"")</f>
        <v/>
      </c>
      <c r="X100">
        <f>IFERROR(IF(ISNUMBER(INDEX(SPPR!$E:$Z,MATCH($A100,SPPR!$A:$A,0),21)),$C100*INDEX(SPPR!$E:$Z,MATCH($A100,SPPR!$A:$A,0),21),""),"")</f>
        <v/>
      </c>
      <c r="Y100">
        <f>IFERROR(IF(ISNUMBER(INDEX(SPPR!$E:$Z,MATCH($A100,SPPR!$A:$A,0),22)),$C100*INDEX(SPPR!$E:$Z,MATCH($A100,SPPR!$A:$A,0),22),""),"")</f>
        <v/>
      </c>
    </row>
    <row r="101">
      <c r="A101" t="inlineStr">
        <is>
          <t>Miscellaneous aquatic invertebrates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IFERROR(IF(ISNUMBER(INDEX(SPPR!$E:$Z,MATCH($A101,SPPR!$A:$A,0),1)),$C101*INDEX(SPPR!$E:$Z,MATCH($A101,SPPR!$A:$A,0),1),""),"")</f>
        <v/>
      </c>
      <c r="E101">
        <f>IFERROR(IF(ISNUMBER(INDEX(SPPR!$E:$Z,MATCH($A101,SPPR!$A:$A,0),2)),$C101*INDEX(SPPR!$E:$Z,MATCH($A101,SPPR!$A:$A,0),2),""),"")</f>
        <v/>
      </c>
      <c r="F101">
        <f>IFERROR(IF(ISNUMBER(INDEX(SPPR!$E:$Z,MATCH($A101,SPPR!$A:$A,0),3)),$C101*INDEX(SPPR!$E:$Z,MATCH($A101,SPPR!$A:$A,0),3),""),"")</f>
        <v/>
      </c>
      <c r="G101">
        <f>IFERROR(IF(ISNUMBER(INDEX(SPPR!$E:$Z,MATCH($A101,SPPR!$A:$A,0),4)),$C101*INDEX(SPPR!$E:$Z,MATCH($A101,SPPR!$A:$A,0),4),""),"")</f>
        <v/>
      </c>
      <c r="H101">
        <f>IFERROR(IF(ISNUMBER(INDEX(SPPR!$E:$Z,MATCH($A101,SPPR!$A:$A,0),5)),$C101*INDEX(SPPR!$E:$Z,MATCH($A101,SPPR!$A:$A,0),5),""),"")</f>
        <v/>
      </c>
      <c r="I101">
        <f>IFERROR(IF(ISNUMBER(INDEX(SPPR!$E:$Z,MATCH($A101,SPPR!$A:$A,0),6)),$C101*INDEX(SPPR!$E:$Z,MATCH($A101,SPPR!$A:$A,0),6),""),"")</f>
        <v/>
      </c>
      <c r="J101">
        <f>IFERROR(IF(ISNUMBER(INDEX(SPPR!$E:$Z,MATCH($A101,SPPR!$A:$A,0),7)),$C101*INDEX(SPPR!$E:$Z,MATCH($A101,SPPR!$A:$A,0),7),""),"")</f>
        <v/>
      </c>
      <c r="K101">
        <f>IFERROR(IF(ISNUMBER(INDEX(SPPR!$E:$Z,MATCH($A101,SPPR!$A:$A,0),8)),$C101*INDEX(SPPR!$E:$Z,MATCH($A101,SPPR!$A:$A,0),8),""),"")</f>
        <v/>
      </c>
      <c r="L101">
        <f>IFERROR(IF(ISNUMBER(INDEX(SPPR!$E:$Z,MATCH($A101,SPPR!$A:$A,0),9)),$C101*INDEX(SPPR!$E:$Z,MATCH($A101,SPPR!$A:$A,0),9),""),"")</f>
        <v/>
      </c>
      <c r="M101">
        <f>IFERROR(IF(ISNUMBER(INDEX(SPPR!$E:$Z,MATCH($A101,SPPR!$A:$A,0),10)),$C101*INDEX(SPPR!$E:$Z,MATCH($A101,SPPR!$A:$A,0),10),""),"")</f>
        <v/>
      </c>
      <c r="N101">
        <f>IFERROR(IF(ISNUMBER(INDEX(SPPR!$E:$Z,MATCH($A101,SPPR!$A:$A,0),11)),$C101*INDEX(SPPR!$E:$Z,MATCH($A101,SPPR!$A:$A,0),11),""),"")</f>
        <v/>
      </c>
      <c r="O101">
        <f>IFERROR(IF(ISNUMBER(INDEX(SPPR!$E:$Z,MATCH($A101,SPPR!$A:$A,0),12)),$C101*INDEX(SPPR!$E:$Z,MATCH($A101,SPPR!$A:$A,0),12),""),"")</f>
        <v/>
      </c>
      <c r="P101">
        <f>IFERROR(IF(ISNUMBER(INDEX(SPPR!$E:$Z,MATCH($A101,SPPR!$A:$A,0),13)),$C101*INDEX(SPPR!$E:$Z,MATCH($A101,SPPR!$A:$A,0),13),""),"")</f>
        <v/>
      </c>
      <c r="Q101">
        <f>IFERROR(IF(ISNUMBER(INDEX(SPPR!$E:$Z,MATCH($A101,SPPR!$A:$A,0),14)),$C101*INDEX(SPPR!$E:$Z,MATCH($A101,SPPR!$A:$A,0),14),""),"")</f>
        <v/>
      </c>
      <c r="R101">
        <f>IFERROR(IF(ISNUMBER(INDEX(SPPR!$E:$Z,MATCH($A101,SPPR!$A:$A,0),15)),$C101*INDEX(SPPR!$E:$Z,MATCH($A101,SPPR!$A:$A,0),15),""),"")</f>
        <v/>
      </c>
      <c r="S101">
        <f>IFERROR(IF(ISNUMBER(INDEX(SPPR!$E:$Z,MATCH($A101,SPPR!$A:$A,0),16)),$C101*INDEX(SPPR!$E:$Z,MATCH($A101,SPPR!$A:$A,0),16),""),"")</f>
        <v/>
      </c>
      <c r="T101">
        <f>IFERROR(IF(ISNUMBER(INDEX(SPPR!$E:$Z,MATCH($A101,SPPR!$A:$A,0),17)),$C101*INDEX(SPPR!$E:$Z,MATCH($A101,SPPR!$A:$A,0),17),""),"")</f>
        <v/>
      </c>
      <c r="U101">
        <f>IFERROR(IF(ISNUMBER(INDEX(SPPR!$E:$Z,MATCH($A101,SPPR!$A:$A,0),18)),$C101*INDEX(SPPR!$E:$Z,MATCH($A101,SPPR!$A:$A,0),18),""),"")</f>
        <v/>
      </c>
      <c r="V101">
        <f>IFERROR(IF(ISNUMBER(INDEX(SPPR!$E:$Z,MATCH($A101,SPPR!$A:$A,0),19)),$C101*INDEX(SPPR!$E:$Z,MATCH($A101,SPPR!$A:$A,0),19),""),"")</f>
        <v/>
      </c>
      <c r="W101">
        <f>IFERROR(IF(ISNUMBER(INDEX(SPPR!$E:$Z,MATCH($A101,SPPR!$A:$A,0),20)),$C101*INDEX(SPPR!$E:$Z,MATCH($A101,SPPR!$A:$A,0),20),""),"")</f>
        <v/>
      </c>
      <c r="X101">
        <f>IFERROR(IF(ISNUMBER(INDEX(SPPR!$E:$Z,MATCH($A101,SPPR!$A:$A,0),21)),$C101*INDEX(SPPR!$E:$Z,MATCH($A101,SPPR!$A:$A,0),21),""),"")</f>
        <v/>
      </c>
      <c r="Y101">
        <f>IFERROR(IF(ISNUMBER(INDEX(SPPR!$E:$Z,MATCH($A101,SPPR!$A:$A,0),22)),$C101*INDEX(SPPR!$E:$Z,MATCH($A101,SPPR!$A:$A,0),22),""),"")</f>
        <v/>
      </c>
    </row>
    <row r="102">
      <c r="A102" t="inlineStr">
        <is>
          <t>Parapenaeopsis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IFERROR(IF(ISNUMBER(INDEX(SPPR!$E:$Z,MATCH($A102,SPPR!$A:$A,0),1)),$C102*INDEX(SPPR!$E:$Z,MATCH($A102,SPPR!$A:$A,0),1),""),"")</f>
        <v/>
      </c>
      <c r="E102">
        <f>IFERROR(IF(ISNUMBER(INDEX(SPPR!$E:$Z,MATCH($A102,SPPR!$A:$A,0),2)),$C102*INDEX(SPPR!$E:$Z,MATCH($A102,SPPR!$A:$A,0),2),""),"")</f>
        <v/>
      </c>
      <c r="F102">
        <f>IFERROR(IF(ISNUMBER(INDEX(SPPR!$E:$Z,MATCH($A102,SPPR!$A:$A,0),3)),$C102*INDEX(SPPR!$E:$Z,MATCH($A102,SPPR!$A:$A,0),3),""),"")</f>
        <v/>
      </c>
      <c r="G102">
        <f>IFERROR(IF(ISNUMBER(INDEX(SPPR!$E:$Z,MATCH($A102,SPPR!$A:$A,0),4)),$C102*INDEX(SPPR!$E:$Z,MATCH($A102,SPPR!$A:$A,0),4),""),"")</f>
        <v/>
      </c>
      <c r="H102">
        <f>IFERROR(IF(ISNUMBER(INDEX(SPPR!$E:$Z,MATCH($A102,SPPR!$A:$A,0),5)),$C102*INDEX(SPPR!$E:$Z,MATCH($A102,SPPR!$A:$A,0),5),""),"")</f>
        <v/>
      </c>
      <c r="I102">
        <f>IFERROR(IF(ISNUMBER(INDEX(SPPR!$E:$Z,MATCH($A102,SPPR!$A:$A,0),6)),$C102*INDEX(SPPR!$E:$Z,MATCH($A102,SPPR!$A:$A,0),6),""),"")</f>
        <v/>
      </c>
      <c r="J102">
        <f>IFERROR(IF(ISNUMBER(INDEX(SPPR!$E:$Z,MATCH($A102,SPPR!$A:$A,0),7)),$C102*INDEX(SPPR!$E:$Z,MATCH($A102,SPPR!$A:$A,0),7),""),"")</f>
        <v/>
      </c>
      <c r="K102">
        <f>IFERROR(IF(ISNUMBER(INDEX(SPPR!$E:$Z,MATCH($A102,SPPR!$A:$A,0),8)),$C102*INDEX(SPPR!$E:$Z,MATCH($A102,SPPR!$A:$A,0),8),""),"")</f>
        <v/>
      </c>
      <c r="L102">
        <f>IFERROR(IF(ISNUMBER(INDEX(SPPR!$E:$Z,MATCH($A102,SPPR!$A:$A,0),9)),$C102*INDEX(SPPR!$E:$Z,MATCH($A102,SPPR!$A:$A,0),9),""),"")</f>
        <v/>
      </c>
      <c r="M102">
        <f>IFERROR(IF(ISNUMBER(INDEX(SPPR!$E:$Z,MATCH($A102,SPPR!$A:$A,0),10)),$C102*INDEX(SPPR!$E:$Z,MATCH($A102,SPPR!$A:$A,0),10),""),"")</f>
        <v/>
      </c>
      <c r="N102">
        <f>IFERROR(IF(ISNUMBER(INDEX(SPPR!$E:$Z,MATCH($A102,SPPR!$A:$A,0),11)),$C102*INDEX(SPPR!$E:$Z,MATCH($A102,SPPR!$A:$A,0),11),""),"")</f>
        <v/>
      </c>
      <c r="O102">
        <f>IFERROR(IF(ISNUMBER(INDEX(SPPR!$E:$Z,MATCH($A102,SPPR!$A:$A,0),12)),$C102*INDEX(SPPR!$E:$Z,MATCH($A102,SPPR!$A:$A,0),12),""),"")</f>
        <v/>
      </c>
      <c r="P102">
        <f>IFERROR(IF(ISNUMBER(INDEX(SPPR!$E:$Z,MATCH($A102,SPPR!$A:$A,0),13)),$C102*INDEX(SPPR!$E:$Z,MATCH($A102,SPPR!$A:$A,0),13),""),"")</f>
        <v/>
      </c>
      <c r="Q102">
        <f>IFERROR(IF(ISNUMBER(INDEX(SPPR!$E:$Z,MATCH($A102,SPPR!$A:$A,0),14)),$C102*INDEX(SPPR!$E:$Z,MATCH($A102,SPPR!$A:$A,0),14),""),"")</f>
        <v/>
      </c>
      <c r="R102">
        <f>IFERROR(IF(ISNUMBER(INDEX(SPPR!$E:$Z,MATCH($A102,SPPR!$A:$A,0),15)),$C102*INDEX(SPPR!$E:$Z,MATCH($A102,SPPR!$A:$A,0),15),""),"")</f>
        <v/>
      </c>
      <c r="S102">
        <f>IFERROR(IF(ISNUMBER(INDEX(SPPR!$E:$Z,MATCH($A102,SPPR!$A:$A,0),16)),$C102*INDEX(SPPR!$E:$Z,MATCH($A102,SPPR!$A:$A,0),16),""),"")</f>
        <v/>
      </c>
      <c r="T102">
        <f>IFERROR(IF(ISNUMBER(INDEX(SPPR!$E:$Z,MATCH($A102,SPPR!$A:$A,0),17)),$C102*INDEX(SPPR!$E:$Z,MATCH($A102,SPPR!$A:$A,0),17),""),"")</f>
        <v/>
      </c>
      <c r="U102">
        <f>IFERROR(IF(ISNUMBER(INDEX(SPPR!$E:$Z,MATCH($A102,SPPR!$A:$A,0),18)),$C102*INDEX(SPPR!$E:$Z,MATCH($A102,SPPR!$A:$A,0),18),""),"")</f>
        <v/>
      </c>
      <c r="V102">
        <f>IFERROR(IF(ISNUMBER(INDEX(SPPR!$E:$Z,MATCH($A102,SPPR!$A:$A,0),19)),$C102*INDEX(SPPR!$E:$Z,MATCH($A102,SPPR!$A:$A,0),19),""),"")</f>
        <v/>
      </c>
      <c r="W102">
        <f>IFERROR(IF(ISNUMBER(INDEX(SPPR!$E:$Z,MATCH($A102,SPPR!$A:$A,0),20)),$C102*INDEX(SPPR!$E:$Z,MATCH($A102,SPPR!$A:$A,0),20),""),"")</f>
        <v/>
      </c>
      <c r="X102">
        <f>IFERROR(IF(ISNUMBER(INDEX(SPPR!$E:$Z,MATCH($A102,SPPR!$A:$A,0),21)),$C102*INDEX(SPPR!$E:$Z,MATCH($A102,SPPR!$A:$A,0),21),""),"")</f>
        <v/>
      </c>
      <c r="Y102">
        <f>IFERROR(IF(ISNUMBER(INDEX(SPPR!$E:$Z,MATCH($A102,SPPR!$A:$A,0),22)),$C102*INDEX(SPPR!$E:$Z,MATCH($A102,SPPR!$A:$A,0),22),""),"")</f>
        <v/>
      </c>
    </row>
    <row r="103">
      <c r="A103" t="inlineStr">
        <is>
          <t>Lutjanus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IFERROR(IF(ISNUMBER(INDEX(SPPR!$E:$Z,MATCH($A103,SPPR!$A:$A,0),1)),$C103*INDEX(SPPR!$E:$Z,MATCH($A103,SPPR!$A:$A,0),1),""),"")</f>
        <v/>
      </c>
      <c r="E103">
        <f>IFERROR(IF(ISNUMBER(INDEX(SPPR!$E:$Z,MATCH($A103,SPPR!$A:$A,0),2)),$C103*INDEX(SPPR!$E:$Z,MATCH($A103,SPPR!$A:$A,0),2),""),"")</f>
        <v/>
      </c>
      <c r="F103">
        <f>IFERROR(IF(ISNUMBER(INDEX(SPPR!$E:$Z,MATCH($A103,SPPR!$A:$A,0),3)),$C103*INDEX(SPPR!$E:$Z,MATCH($A103,SPPR!$A:$A,0),3),""),"")</f>
        <v/>
      </c>
      <c r="G103">
        <f>IFERROR(IF(ISNUMBER(INDEX(SPPR!$E:$Z,MATCH($A103,SPPR!$A:$A,0),4)),$C103*INDEX(SPPR!$E:$Z,MATCH($A103,SPPR!$A:$A,0),4),""),"")</f>
        <v/>
      </c>
      <c r="H103">
        <f>IFERROR(IF(ISNUMBER(INDEX(SPPR!$E:$Z,MATCH($A103,SPPR!$A:$A,0),5)),$C103*INDEX(SPPR!$E:$Z,MATCH($A103,SPPR!$A:$A,0),5),""),"")</f>
        <v/>
      </c>
      <c r="I103">
        <f>IFERROR(IF(ISNUMBER(INDEX(SPPR!$E:$Z,MATCH($A103,SPPR!$A:$A,0),6)),$C103*INDEX(SPPR!$E:$Z,MATCH($A103,SPPR!$A:$A,0),6),""),"")</f>
        <v/>
      </c>
      <c r="J103">
        <f>IFERROR(IF(ISNUMBER(INDEX(SPPR!$E:$Z,MATCH($A103,SPPR!$A:$A,0),7)),$C103*INDEX(SPPR!$E:$Z,MATCH($A103,SPPR!$A:$A,0),7),""),"")</f>
        <v/>
      </c>
      <c r="K103">
        <f>IFERROR(IF(ISNUMBER(INDEX(SPPR!$E:$Z,MATCH($A103,SPPR!$A:$A,0),8)),$C103*INDEX(SPPR!$E:$Z,MATCH($A103,SPPR!$A:$A,0),8),""),"")</f>
        <v/>
      </c>
      <c r="L103">
        <f>IFERROR(IF(ISNUMBER(INDEX(SPPR!$E:$Z,MATCH($A103,SPPR!$A:$A,0),9)),$C103*INDEX(SPPR!$E:$Z,MATCH($A103,SPPR!$A:$A,0),9),""),"")</f>
        <v/>
      </c>
      <c r="M103">
        <f>IFERROR(IF(ISNUMBER(INDEX(SPPR!$E:$Z,MATCH($A103,SPPR!$A:$A,0),10)),$C103*INDEX(SPPR!$E:$Z,MATCH($A103,SPPR!$A:$A,0),10),""),"")</f>
        <v/>
      </c>
      <c r="N103">
        <f>IFERROR(IF(ISNUMBER(INDEX(SPPR!$E:$Z,MATCH($A103,SPPR!$A:$A,0),11)),$C103*INDEX(SPPR!$E:$Z,MATCH($A103,SPPR!$A:$A,0),11),""),"")</f>
        <v/>
      </c>
      <c r="O103">
        <f>IFERROR(IF(ISNUMBER(INDEX(SPPR!$E:$Z,MATCH($A103,SPPR!$A:$A,0),12)),$C103*INDEX(SPPR!$E:$Z,MATCH($A103,SPPR!$A:$A,0),12),""),"")</f>
        <v/>
      </c>
      <c r="P103">
        <f>IFERROR(IF(ISNUMBER(INDEX(SPPR!$E:$Z,MATCH($A103,SPPR!$A:$A,0),13)),$C103*INDEX(SPPR!$E:$Z,MATCH($A103,SPPR!$A:$A,0),13),""),"")</f>
        <v/>
      </c>
      <c r="Q103">
        <f>IFERROR(IF(ISNUMBER(INDEX(SPPR!$E:$Z,MATCH($A103,SPPR!$A:$A,0),14)),$C103*INDEX(SPPR!$E:$Z,MATCH($A103,SPPR!$A:$A,0),14),""),"")</f>
        <v/>
      </c>
      <c r="R103">
        <f>IFERROR(IF(ISNUMBER(INDEX(SPPR!$E:$Z,MATCH($A103,SPPR!$A:$A,0),15)),$C103*INDEX(SPPR!$E:$Z,MATCH($A103,SPPR!$A:$A,0),15),""),"")</f>
        <v/>
      </c>
      <c r="S103">
        <f>IFERROR(IF(ISNUMBER(INDEX(SPPR!$E:$Z,MATCH($A103,SPPR!$A:$A,0),16)),$C103*INDEX(SPPR!$E:$Z,MATCH($A103,SPPR!$A:$A,0),16),""),"")</f>
        <v/>
      </c>
      <c r="T103">
        <f>IFERROR(IF(ISNUMBER(INDEX(SPPR!$E:$Z,MATCH($A103,SPPR!$A:$A,0),17)),$C103*INDEX(SPPR!$E:$Z,MATCH($A103,SPPR!$A:$A,0),17),""),"")</f>
        <v/>
      </c>
      <c r="U103">
        <f>IFERROR(IF(ISNUMBER(INDEX(SPPR!$E:$Z,MATCH($A103,SPPR!$A:$A,0),18)),$C103*INDEX(SPPR!$E:$Z,MATCH($A103,SPPR!$A:$A,0),18),""),"")</f>
        <v/>
      </c>
      <c r="V103">
        <f>IFERROR(IF(ISNUMBER(INDEX(SPPR!$E:$Z,MATCH($A103,SPPR!$A:$A,0),19)),$C103*INDEX(SPPR!$E:$Z,MATCH($A103,SPPR!$A:$A,0),19),""),"")</f>
        <v/>
      </c>
      <c r="W103">
        <f>IFERROR(IF(ISNUMBER(INDEX(SPPR!$E:$Z,MATCH($A103,SPPR!$A:$A,0),20)),$C103*INDEX(SPPR!$E:$Z,MATCH($A103,SPPR!$A:$A,0),20),""),"")</f>
        <v/>
      </c>
      <c r="X103">
        <f>IFERROR(IF(ISNUMBER(INDEX(SPPR!$E:$Z,MATCH($A103,SPPR!$A:$A,0),21)),$C103*INDEX(SPPR!$E:$Z,MATCH($A103,SPPR!$A:$A,0),21),""),"")</f>
        <v/>
      </c>
      <c r="Y103">
        <f>IFERROR(IF(ISNUMBER(INDEX(SPPR!$E:$Z,MATCH($A103,SPPR!$A:$A,0),22)),$C103*INDEX(SPPR!$E:$Z,MATCH($A103,SPPR!$A:$A,0),22),""),"")</f>
        <v/>
      </c>
    </row>
    <row r="104">
      <c r="A104" t="inlineStr">
        <is>
          <t>Cephalopoda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IFERROR(IF(ISNUMBER(INDEX(SPPR!$E:$Z,MATCH($A104,SPPR!$A:$A,0),1)),$C104*INDEX(SPPR!$E:$Z,MATCH($A104,SPPR!$A:$A,0),1),""),"")</f>
        <v/>
      </c>
      <c r="E104">
        <f>IFERROR(IF(ISNUMBER(INDEX(SPPR!$E:$Z,MATCH($A104,SPPR!$A:$A,0),2)),$C104*INDEX(SPPR!$E:$Z,MATCH($A104,SPPR!$A:$A,0),2),""),"")</f>
        <v/>
      </c>
      <c r="F104">
        <f>IFERROR(IF(ISNUMBER(INDEX(SPPR!$E:$Z,MATCH($A104,SPPR!$A:$A,0),3)),$C104*INDEX(SPPR!$E:$Z,MATCH($A104,SPPR!$A:$A,0),3),""),"")</f>
        <v/>
      </c>
      <c r="G104">
        <f>IFERROR(IF(ISNUMBER(INDEX(SPPR!$E:$Z,MATCH($A104,SPPR!$A:$A,0),4)),$C104*INDEX(SPPR!$E:$Z,MATCH($A104,SPPR!$A:$A,0),4),""),"")</f>
        <v/>
      </c>
      <c r="H104">
        <f>IFERROR(IF(ISNUMBER(INDEX(SPPR!$E:$Z,MATCH($A104,SPPR!$A:$A,0),5)),$C104*INDEX(SPPR!$E:$Z,MATCH($A104,SPPR!$A:$A,0),5),""),"")</f>
        <v/>
      </c>
      <c r="I104">
        <f>IFERROR(IF(ISNUMBER(INDEX(SPPR!$E:$Z,MATCH($A104,SPPR!$A:$A,0),6)),$C104*INDEX(SPPR!$E:$Z,MATCH($A104,SPPR!$A:$A,0),6),""),"")</f>
        <v/>
      </c>
      <c r="J104">
        <f>IFERROR(IF(ISNUMBER(INDEX(SPPR!$E:$Z,MATCH($A104,SPPR!$A:$A,0),7)),$C104*INDEX(SPPR!$E:$Z,MATCH($A104,SPPR!$A:$A,0),7),""),"")</f>
        <v/>
      </c>
      <c r="K104">
        <f>IFERROR(IF(ISNUMBER(INDEX(SPPR!$E:$Z,MATCH($A104,SPPR!$A:$A,0),8)),$C104*INDEX(SPPR!$E:$Z,MATCH($A104,SPPR!$A:$A,0),8),""),"")</f>
        <v/>
      </c>
      <c r="L104">
        <f>IFERROR(IF(ISNUMBER(INDEX(SPPR!$E:$Z,MATCH($A104,SPPR!$A:$A,0),9)),$C104*INDEX(SPPR!$E:$Z,MATCH($A104,SPPR!$A:$A,0),9),""),"")</f>
        <v/>
      </c>
      <c r="M104">
        <f>IFERROR(IF(ISNUMBER(INDEX(SPPR!$E:$Z,MATCH($A104,SPPR!$A:$A,0),10)),$C104*INDEX(SPPR!$E:$Z,MATCH($A104,SPPR!$A:$A,0),10),""),"")</f>
        <v/>
      </c>
      <c r="N104">
        <f>IFERROR(IF(ISNUMBER(INDEX(SPPR!$E:$Z,MATCH($A104,SPPR!$A:$A,0),11)),$C104*INDEX(SPPR!$E:$Z,MATCH($A104,SPPR!$A:$A,0),11),""),"")</f>
        <v/>
      </c>
      <c r="O104">
        <f>IFERROR(IF(ISNUMBER(INDEX(SPPR!$E:$Z,MATCH($A104,SPPR!$A:$A,0),12)),$C104*INDEX(SPPR!$E:$Z,MATCH($A104,SPPR!$A:$A,0),12),""),"")</f>
        <v/>
      </c>
      <c r="P104">
        <f>IFERROR(IF(ISNUMBER(INDEX(SPPR!$E:$Z,MATCH($A104,SPPR!$A:$A,0),13)),$C104*INDEX(SPPR!$E:$Z,MATCH($A104,SPPR!$A:$A,0),13),""),"")</f>
        <v/>
      </c>
      <c r="Q104">
        <f>IFERROR(IF(ISNUMBER(INDEX(SPPR!$E:$Z,MATCH($A104,SPPR!$A:$A,0),14)),$C104*INDEX(SPPR!$E:$Z,MATCH($A104,SPPR!$A:$A,0),14),""),"")</f>
        <v/>
      </c>
      <c r="R104">
        <f>IFERROR(IF(ISNUMBER(INDEX(SPPR!$E:$Z,MATCH($A104,SPPR!$A:$A,0),15)),$C104*INDEX(SPPR!$E:$Z,MATCH($A104,SPPR!$A:$A,0),15),""),"")</f>
        <v/>
      </c>
      <c r="S104">
        <f>IFERROR(IF(ISNUMBER(INDEX(SPPR!$E:$Z,MATCH($A104,SPPR!$A:$A,0),16)),$C104*INDEX(SPPR!$E:$Z,MATCH($A104,SPPR!$A:$A,0),16),""),"")</f>
        <v/>
      </c>
      <c r="T104">
        <f>IFERROR(IF(ISNUMBER(INDEX(SPPR!$E:$Z,MATCH($A104,SPPR!$A:$A,0),17)),$C104*INDEX(SPPR!$E:$Z,MATCH($A104,SPPR!$A:$A,0),17),""),"")</f>
        <v/>
      </c>
      <c r="U104">
        <f>IFERROR(IF(ISNUMBER(INDEX(SPPR!$E:$Z,MATCH($A104,SPPR!$A:$A,0),18)),$C104*INDEX(SPPR!$E:$Z,MATCH($A104,SPPR!$A:$A,0),18),""),"")</f>
        <v/>
      </c>
      <c r="V104">
        <f>IFERROR(IF(ISNUMBER(INDEX(SPPR!$E:$Z,MATCH($A104,SPPR!$A:$A,0),19)),$C104*INDEX(SPPR!$E:$Z,MATCH($A104,SPPR!$A:$A,0),19),""),"")</f>
        <v/>
      </c>
      <c r="W104">
        <f>IFERROR(IF(ISNUMBER(INDEX(SPPR!$E:$Z,MATCH($A104,SPPR!$A:$A,0),20)),$C104*INDEX(SPPR!$E:$Z,MATCH($A104,SPPR!$A:$A,0),20),""),"")</f>
        <v/>
      </c>
      <c r="X104">
        <f>IFERROR(IF(ISNUMBER(INDEX(SPPR!$E:$Z,MATCH($A104,SPPR!$A:$A,0),21)),$C104*INDEX(SPPR!$E:$Z,MATCH($A104,SPPR!$A:$A,0),21),""),"")</f>
        <v/>
      </c>
      <c r="Y104">
        <f>IFERROR(IF(ISNUMBER(INDEX(SPPR!$E:$Z,MATCH($A104,SPPR!$A:$A,0),22)),$C104*INDEX(SPPR!$E:$Z,MATCH($A104,SPPR!$A:$A,0),22),""),"")</f>
        <v/>
      </c>
    </row>
    <row r="105">
      <c r="A105" t="inlineStr">
        <is>
          <t>Pristipomoides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IFERROR(IF(ISNUMBER(INDEX(SPPR!$E:$Z,MATCH($A105,SPPR!$A:$A,0),1)),$C105*INDEX(SPPR!$E:$Z,MATCH($A105,SPPR!$A:$A,0),1),""),"")</f>
        <v/>
      </c>
      <c r="E105">
        <f>IFERROR(IF(ISNUMBER(INDEX(SPPR!$E:$Z,MATCH($A105,SPPR!$A:$A,0),2)),$C105*INDEX(SPPR!$E:$Z,MATCH($A105,SPPR!$A:$A,0),2),""),"")</f>
        <v/>
      </c>
      <c r="F105">
        <f>IFERROR(IF(ISNUMBER(INDEX(SPPR!$E:$Z,MATCH($A105,SPPR!$A:$A,0),3)),$C105*INDEX(SPPR!$E:$Z,MATCH($A105,SPPR!$A:$A,0),3),""),"")</f>
        <v/>
      </c>
      <c r="G105">
        <f>IFERROR(IF(ISNUMBER(INDEX(SPPR!$E:$Z,MATCH($A105,SPPR!$A:$A,0),4)),$C105*INDEX(SPPR!$E:$Z,MATCH($A105,SPPR!$A:$A,0),4),""),"")</f>
        <v/>
      </c>
      <c r="H105">
        <f>IFERROR(IF(ISNUMBER(INDEX(SPPR!$E:$Z,MATCH($A105,SPPR!$A:$A,0),5)),$C105*INDEX(SPPR!$E:$Z,MATCH($A105,SPPR!$A:$A,0),5),""),"")</f>
        <v/>
      </c>
      <c r="I105">
        <f>IFERROR(IF(ISNUMBER(INDEX(SPPR!$E:$Z,MATCH($A105,SPPR!$A:$A,0),6)),$C105*INDEX(SPPR!$E:$Z,MATCH($A105,SPPR!$A:$A,0),6),""),"")</f>
        <v/>
      </c>
      <c r="J105">
        <f>IFERROR(IF(ISNUMBER(INDEX(SPPR!$E:$Z,MATCH($A105,SPPR!$A:$A,0),7)),$C105*INDEX(SPPR!$E:$Z,MATCH($A105,SPPR!$A:$A,0),7),""),"")</f>
        <v/>
      </c>
      <c r="K105">
        <f>IFERROR(IF(ISNUMBER(INDEX(SPPR!$E:$Z,MATCH($A105,SPPR!$A:$A,0),8)),$C105*INDEX(SPPR!$E:$Z,MATCH($A105,SPPR!$A:$A,0),8),""),"")</f>
        <v/>
      </c>
      <c r="L105">
        <f>IFERROR(IF(ISNUMBER(INDEX(SPPR!$E:$Z,MATCH($A105,SPPR!$A:$A,0),9)),$C105*INDEX(SPPR!$E:$Z,MATCH($A105,SPPR!$A:$A,0),9),""),"")</f>
        <v/>
      </c>
      <c r="M105">
        <f>IFERROR(IF(ISNUMBER(INDEX(SPPR!$E:$Z,MATCH($A105,SPPR!$A:$A,0),10)),$C105*INDEX(SPPR!$E:$Z,MATCH($A105,SPPR!$A:$A,0),10),""),"")</f>
        <v/>
      </c>
      <c r="N105">
        <f>IFERROR(IF(ISNUMBER(INDEX(SPPR!$E:$Z,MATCH($A105,SPPR!$A:$A,0),11)),$C105*INDEX(SPPR!$E:$Z,MATCH($A105,SPPR!$A:$A,0),11),""),"")</f>
        <v/>
      </c>
      <c r="O105">
        <f>IFERROR(IF(ISNUMBER(INDEX(SPPR!$E:$Z,MATCH($A105,SPPR!$A:$A,0),12)),$C105*INDEX(SPPR!$E:$Z,MATCH($A105,SPPR!$A:$A,0),12),""),"")</f>
        <v/>
      </c>
      <c r="P105">
        <f>IFERROR(IF(ISNUMBER(INDEX(SPPR!$E:$Z,MATCH($A105,SPPR!$A:$A,0),13)),$C105*INDEX(SPPR!$E:$Z,MATCH($A105,SPPR!$A:$A,0),13),""),"")</f>
        <v/>
      </c>
      <c r="Q105">
        <f>IFERROR(IF(ISNUMBER(INDEX(SPPR!$E:$Z,MATCH($A105,SPPR!$A:$A,0),14)),$C105*INDEX(SPPR!$E:$Z,MATCH($A105,SPPR!$A:$A,0),14),""),"")</f>
        <v/>
      </c>
      <c r="R105">
        <f>IFERROR(IF(ISNUMBER(INDEX(SPPR!$E:$Z,MATCH($A105,SPPR!$A:$A,0),15)),$C105*INDEX(SPPR!$E:$Z,MATCH($A105,SPPR!$A:$A,0),15),""),"")</f>
        <v/>
      </c>
      <c r="S105">
        <f>IFERROR(IF(ISNUMBER(INDEX(SPPR!$E:$Z,MATCH($A105,SPPR!$A:$A,0),16)),$C105*INDEX(SPPR!$E:$Z,MATCH($A105,SPPR!$A:$A,0),16),""),"")</f>
        <v/>
      </c>
      <c r="T105">
        <f>IFERROR(IF(ISNUMBER(INDEX(SPPR!$E:$Z,MATCH($A105,SPPR!$A:$A,0),17)),$C105*INDEX(SPPR!$E:$Z,MATCH($A105,SPPR!$A:$A,0),17),""),"")</f>
        <v/>
      </c>
      <c r="U105">
        <f>IFERROR(IF(ISNUMBER(INDEX(SPPR!$E:$Z,MATCH($A105,SPPR!$A:$A,0),18)),$C105*INDEX(SPPR!$E:$Z,MATCH($A105,SPPR!$A:$A,0),18),""),"")</f>
        <v/>
      </c>
      <c r="V105">
        <f>IFERROR(IF(ISNUMBER(INDEX(SPPR!$E:$Z,MATCH($A105,SPPR!$A:$A,0),19)),$C105*INDEX(SPPR!$E:$Z,MATCH($A105,SPPR!$A:$A,0),19),""),"")</f>
        <v/>
      </c>
      <c r="W105">
        <f>IFERROR(IF(ISNUMBER(INDEX(SPPR!$E:$Z,MATCH($A105,SPPR!$A:$A,0),20)),$C105*INDEX(SPPR!$E:$Z,MATCH($A105,SPPR!$A:$A,0),20),""),"")</f>
        <v/>
      </c>
      <c r="X105">
        <f>IFERROR(IF(ISNUMBER(INDEX(SPPR!$E:$Z,MATCH($A105,SPPR!$A:$A,0),21)),$C105*INDEX(SPPR!$E:$Z,MATCH($A105,SPPR!$A:$A,0),21),""),"")</f>
        <v/>
      </c>
      <c r="Y105">
        <f>IFERROR(IF(ISNUMBER(INDEX(SPPR!$E:$Z,MATCH($A105,SPPR!$A:$A,0),22)),$C105*INDEX(SPPR!$E:$Z,MATCH($A105,SPPR!$A:$A,0),22),""),"")</f>
        <v/>
      </c>
    </row>
    <row r="106">
      <c r="A106" t="inlineStr">
        <is>
          <t>Lutjanus quinquelineatus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IFERROR(IF(ISNUMBER(INDEX(SPPR!$E:$Z,MATCH($A106,SPPR!$A:$A,0),1)),$C106*INDEX(SPPR!$E:$Z,MATCH($A106,SPPR!$A:$A,0),1),""),"")</f>
        <v/>
      </c>
      <c r="E106">
        <f>IFERROR(IF(ISNUMBER(INDEX(SPPR!$E:$Z,MATCH($A106,SPPR!$A:$A,0),2)),$C106*INDEX(SPPR!$E:$Z,MATCH($A106,SPPR!$A:$A,0),2),""),"")</f>
        <v/>
      </c>
      <c r="F106">
        <f>IFERROR(IF(ISNUMBER(INDEX(SPPR!$E:$Z,MATCH($A106,SPPR!$A:$A,0),3)),$C106*INDEX(SPPR!$E:$Z,MATCH($A106,SPPR!$A:$A,0),3),""),"")</f>
        <v/>
      </c>
      <c r="G106">
        <f>IFERROR(IF(ISNUMBER(INDEX(SPPR!$E:$Z,MATCH($A106,SPPR!$A:$A,0),4)),$C106*INDEX(SPPR!$E:$Z,MATCH($A106,SPPR!$A:$A,0),4),""),"")</f>
        <v/>
      </c>
      <c r="H106">
        <f>IFERROR(IF(ISNUMBER(INDEX(SPPR!$E:$Z,MATCH($A106,SPPR!$A:$A,0),5)),$C106*INDEX(SPPR!$E:$Z,MATCH($A106,SPPR!$A:$A,0),5),""),"")</f>
        <v/>
      </c>
      <c r="I106">
        <f>IFERROR(IF(ISNUMBER(INDEX(SPPR!$E:$Z,MATCH($A106,SPPR!$A:$A,0),6)),$C106*INDEX(SPPR!$E:$Z,MATCH($A106,SPPR!$A:$A,0),6),""),"")</f>
        <v/>
      </c>
      <c r="J106">
        <f>IFERROR(IF(ISNUMBER(INDEX(SPPR!$E:$Z,MATCH($A106,SPPR!$A:$A,0),7)),$C106*INDEX(SPPR!$E:$Z,MATCH($A106,SPPR!$A:$A,0),7),""),"")</f>
        <v/>
      </c>
      <c r="K106">
        <f>IFERROR(IF(ISNUMBER(INDEX(SPPR!$E:$Z,MATCH($A106,SPPR!$A:$A,0),8)),$C106*INDEX(SPPR!$E:$Z,MATCH($A106,SPPR!$A:$A,0),8),""),"")</f>
        <v/>
      </c>
      <c r="L106">
        <f>IFERROR(IF(ISNUMBER(INDEX(SPPR!$E:$Z,MATCH($A106,SPPR!$A:$A,0),9)),$C106*INDEX(SPPR!$E:$Z,MATCH($A106,SPPR!$A:$A,0),9),""),"")</f>
        <v/>
      </c>
      <c r="M106">
        <f>IFERROR(IF(ISNUMBER(INDEX(SPPR!$E:$Z,MATCH($A106,SPPR!$A:$A,0),10)),$C106*INDEX(SPPR!$E:$Z,MATCH($A106,SPPR!$A:$A,0),10),""),"")</f>
        <v/>
      </c>
      <c r="N106">
        <f>IFERROR(IF(ISNUMBER(INDEX(SPPR!$E:$Z,MATCH($A106,SPPR!$A:$A,0),11)),$C106*INDEX(SPPR!$E:$Z,MATCH($A106,SPPR!$A:$A,0),11),""),"")</f>
        <v/>
      </c>
      <c r="O106">
        <f>IFERROR(IF(ISNUMBER(INDEX(SPPR!$E:$Z,MATCH($A106,SPPR!$A:$A,0),12)),$C106*INDEX(SPPR!$E:$Z,MATCH($A106,SPPR!$A:$A,0),12),""),"")</f>
        <v/>
      </c>
      <c r="P106">
        <f>IFERROR(IF(ISNUMBER(INDEX(SPPR!$E:$Z,MATCH($A106,SPPR!$A:$A,0),13)),$C106*INDEX(SPPR!$E:$Z,MATCH($A106,SPPR!$A:$A,0),13),""),"")</f>
        <v/>
      </c>
      <c r="Q106">
        <f>IFERROR(IF(ISNUMBER(INDEX(SPPR!$E:$Z,MATCH($A106,SPPR!$A:$A,0),14)),$C106*INDEX(SPPR!$E:$Z,MATCH($A106,SPPR!$A:$A,0),14),""),"")</f>
        <v/>
      </c>
      <c r="R106">
        <f>IFERROR(IF(ISNUMBER(INDEX(SPPR!$E:$Z,MATCH($A106,SPPR!$A:$A,0),15)),$C106*INDEX(SPPR!$E:$Z,MATCH($A106,SPPR!$A:$A,0),15),""),"")</f>
        <v/>
      </c>
      <c r="S106">
        <f>IFERROR(IF(ISNUMBER(INDEX(SPPR!$E:$Z,MATCH($A106,SPPR!$A:$A,0),16)),$C106*INDEX(SPPR!$E:$Z,MATCH($A106,SPPR!$A:$A,0),16),""),"")</f>
        <v/>
      </c>
      <c r="T106">
        <f>IFERROR(IF(ISNUMBER(INDEX(SPPR!$E:$Z,MATCH($A106,SPPR!$A:$A,0),17)),$C106*INDEX(SPPR!$E:$Z,MATCH($A106,SPPR!$A:$A,0),17),""),"")</f>
        <v/>
      </c>
      <c r="U106">
        <f>IFERROR(IF(ISNUMBER(INDEX(SPPR!$E:$Z,MATCH($A106,SPPR!$A:$A,0),18)),$C106*INDEX(SPPR!$E:$Z,MATCH($A106,SPPR!$A:$A,0),18),""),"")</f>
        <v/>
      </c>
      <c r="V106">
        <f>IFERROR(IF(ISNUMBER(INDEX(SPPR!$E:$Z,MATCH($A106,SPPR!$A:$A,0),19)),$C106*INDEX(SPPR!$E:$Z,MATCH($A106,SPPR!$A:$A,0),19),""),"")</f>
        <v/>
      </c>
      <c r="W106">
        <f>IFERROR(IF(ISNUMBER(INDEX(SPPR!$E:$Z,MATCH($A106,SPPR!$A:$A,0),20)),$C106*INDEX(SPPR!$E:$Z,MATCH($A106,SPPR!$A:$A,0),20),""),"")</f>
        <v/>
      </c>
      <c r="X106">
        <f>IFERROR(IF(ISNUMBER(INDEX(SPPR!$E:$Z,MATCH($A106,SPPR!$A:$A,0),21)),$C106*INDEX(SPPR!$E:$Z,MATCH($A106,SPPR!$A:$A,0),21),""),"")</f>
        <v/>
      </c>
      <c r="Y106">
        <f>IFERROR(IF(ISNUMBER(INDEX(SPPR!$E:$Z,MATCH($A106,SPPR!$A:$A,0),22)),$C106*INDEX(SPPR!$E:$Z,MATCH($A106,SPPR!$A:$A,0),22),""),"")</f>
        <v/>
      </c>
    </row>
    <row r="107">
      <c r="A107" t="inlineStr">
        <is>
          <t>Siganus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IFERROR(IF(ISNUMBER(INDEX(SPPR!$E:$Z,MATCH($A107,SPPR!$A:$A,0),1)),$C107*INDEX(SPPR!$E:$Z,MATCH($A107,SPPR!$A:$A,0),1),""),"")</f>
        <v/>
      </c>
      <c r="E107">
        <f>IFERROR(IF(ISNUMBER(INDEX(SPPR!$E:$Z,MATCH($A107,SPPR!$A:$A,0),2)),$C107*INDEX(SPPR!$E:$Z,MATCH($A107,SPPR!$A:$A,0),2),""),"")</f>
        <v/>
      </c>
      <c r="F107">
        <f>IFERROR(IF(ISNUMBER(INDEX(SPPR!$E:$Z,MATCH($A107,SPPR!$A:$A,0),3)),$C107*INDEX(SPPR!$E:$Z,MATCH($A107,SPPR!$A:$A,0),3),""),"")</f>
        <v/>
      </c>
      <c r="G107">
        <f>IFERROR(IF(ISNUMBER(INDEX(SPPR!$E:$Z,MATCH($A107,SPPR!$A:$A,0),4)),$C107*INDEX(SPPR!$E:$Z,MATCH($A107,SPPR!$A:$A,0),4),""),"")</f>
        <v/>
      </c>
      <c r="H107">
        <f>IFERROR(IF(ISNUMBER(INDEX(SPPR!$E:$Z,MATCH($A107,SPPR!$A:$A,0),5)),$C107*INDEX(SPPR!$E:$Z,MATCH($A107,SPPR!$A:$A,0),5),""),"")</f>
        <v/>
      </c>
      <c r="I107">
        <f>IFERROR(IF(ISNUMBER(INDEX(SPPR!$E:$Z,MATCH($A107,SPPR!$A:$A,0),6)),$C107*INDEX(SPPR!$E:$Z,MATCH($A107,SPPR!$A:$A,0),6),""),"")</f>
        <v/>
      </c>
      <c r="J107">
        <f>IFERROR(IF(ISNUMBER(INDEX(SPPR!$E:$Z,MATCH($A107,SPPR!$A:$A,0),7)),$C107*INDEX(SPPR!$E:$Z,MATCH($A107,SPPR!$A:$A,0),7),""),"")</f>
        <v/>
      </c>
      <c r="K107">
        <f>IFERROR(IF(ISNUMBER(INDEX(SPPR!$E:$Z,MATCH($A107,SPPR!$A:$A,0),8)),$C107*INDEX(SPPR!$E:$Z,MATCH($A107,SPPR!$A:$A,0),8),""),"")</f>
        <v/>
      </c>
      <c r="L107">
        <f>IFERROR(IF(ISNUMBER(INDEX(SPPR!$E:$Z,MATCH($A107,SPPR!$A:$A,0),9)),$C107*INDEX(SPPR!$E:$Z,MATCH($A107,SPPR!$A:$A,0),9),""),"")</f>
        <v/>
      </c>
      <c r="M107">
        <f>IFERROR(IF(ISNUMBER(INDEX(SPPR!$E:$Z,MATCH($A107,SPPR!$A:$A,0),10)),$C107*INDEX(SPPR!$E:$Z,MATCH($A107,SPPR!$A:$A,0),10),""),"")</f>
        <v/>
      </c>
      <c r="N107">
        <f>IFERROR(IF(ISNUMBER(INDEX(SPPR!$E:$Z,MATCH($A107,SPPR!$A:$A,0),11)),$C107*INDEX(SPPR!$E:$Z,MATCH($A107,SPPR!$A:$A,0),11),""),"")</f>
        <v/>
      </c>
      <c r="O107">
        <f>IFERROR(IF(ISNUMBER(INDEX(SPPR!$E:$Z,MATCH($A107,SPPR!$A:$A,0),12)),$C107*INDEX(SPPR!$E:$Z,MATCH($A107,SPPR!$A:$A,0),12),""),"")</f>
        <v/>
      </c>
      <c r="P107">
        <f>IFERROR(IF(ISNUMBER(INDEX(SPPR!$E:$Z,MATCH($A107,SPPR!$A:$A,0),13)),$C107*INDEX(SPPR!$E:$Z,MATCH($A107,SPPR!$A:$A,0),13),""),"")</f>
        <v/>
      </c>
      <c r="Q107">
        <f>IFERROR(IF(ISNUMBER(INDEX(SPPR!$E:$Z,MATCH($A107,SPPR!$A:$A,0),14)),$C107*INDEX(SPPR!$E:$Z,MATCH($A107,SPPR!$A:$A,0),14),""),"")</f>
        <v/>
      </c>
      <c r="R107">
        <f>IFERROR(IF(ISNUMBER(INDEX(SPPR!$E:$Z,MATCH($A107,SPPR!$A:$A,0),15)),$C107*INDEX(SPPR!$E:$Z,MATCH($A107,SPPR!$A:$A,0),15),""),"")</f>
        <v/>
      </c>
      <c r="S107">
        <f>IFERROR(IF(ISNUMBER(INDEX(SPPR!$E:$Z,MATCH($A107,SPPR!$A:$A,0),16)),$C107*INDEX(SPPR!$E:$Z,MATCH($A107,SPPR!$A:$A,0),16),""),"")</f>
        <v/>
      </c>
      <c r="T107">
        <f>IFERROR(IF(ISNUMBER(INDEX(SPPR!$E:$Z,MATCH($A107,SPPR!$A:$A,0),17)),$C107*INDEX(SPPR!$E:$Z,MATCH($A107,SPPR!$A:$A,0),17),""),"")</f>
        <v/>
      </c>
      <c r="U107">
        <f>IFERROR(IF(ISNUMBER(INDEX(SPPR!$E:$Z,MATCH($A107,SPPR!$A:$A,0),18)),$C107*INDEX(SPPR!$E:$Z,MATCH($A107,SPPR!$A:$A,0),18),""),"")</f>
        <v/>
      </c>
      <c r="V107">
        <f>IFERROR(IF(ISNUMBER(INDEX(SPPR!$E:$Z,MATCH($A107,SPPR!$A:$A,0),19)),$C107*INDEX(SPPR!$E:$Z,MATCH($A107,SPPR!$A:$A,0),19),""),"")</f>
        <v/>
      </c>
      <c r="W107">
        <f>IFERROR(IF(ISNUMBER(INDEX(SPPR!$E:$Z,MATCH($A107,SPPR!$A:$A,0),20)),$C107*INDEX(SPPR!$E:$Z,MATCH($A107,SPPR!$A:$A,0),20),""),"")</f>
        <v/>
      </c>
      <c r="X107">
        <f>IFERROR(IF(ISNUMBER(INDEX(SPPR!$E:$Z,MATCH($A107,SPPR!$A:$A,0),21)),$C107*INDEX(SPPR!$E:$Z,MATCH($A107,SPPR!$A:$A,0),21),""),"")</f>
        <v/>
      </c>
      <c r="Y107">
        <f>IFERROR(IF(ISNUMBER(INDEX(SPPR!$E:$Z,MATCH($A107,SPPR!$A:$A,0),22)),$C107*INDEX(SPPR!$E:$Z,MATCH($A107,SPPR!$A:$A,0),22),""),"")</f>
        <v/>
      </c>
    </row>
    <row r="108">
      <c r="A108" t="inlineStr">
        <is>
          <t>Nemipterus japonicus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IFERROR(IF(ISNUMBER(INDEX(SPPR!$E:$Z,MATCH($A108,SPPR!$A:$A,0),1)),$C108*INDEX(SPPR!$E:$Z,MATCH($A108,SPPR!$A:$A,0),1),""),"")</f>
        <v/>
      </c>
      <c r="E108">
        <f>IFERROR(IF(ISNUMBER(INDEX(SPPR!$E:$Z,MATCH($A108,SPPR!$A:$A,0),2)),$C108*INDEX(SPPR!$E:$Z,MATCH($A108,SPPR!$A:$A,0),2),""),"")</f>
        <v/>
      </c>
      <c r="F108">
        <f>IFERROR(IF(ISNUMBER(INDEX(SPPR!$E:$Z,MATCH($A108,SPPR!$A:$A,0),3)),$C108*INDEX(SPPR!$E:$Z,MATCH($A108,SPPR!$A:$A,0),3),""),"")</f>
        <v/>
      </c>
      <c r="G108">
        <f>IFERROR(IF(ISNUMBER(INDEX(SPPR!$E:$Z,MATCH($A108,SPPR!$A:$A,0),4)),$C108*INDEX(SPPR!$E:$Z,MATCH($A108,SPPR!$A:$A,0),4),""),"")</f>
        <v/>
      </c>
      <c r="H108">
        <f>IFERROR(IF(ISNUMBER(INDEX(SPPR!$E:$Z,MATCH($A108,SPPR!$A:$A,0),5)),$C108*INDEX(SPPR!$E:$Z,MATCH($A108,SPPR!$A:$A,0),5),""),"")</f>
        <v/>
      </c>
      <c r="I108">
        <f>IFERROR(IF(ISNUMBER(INDEX(SPPR!$E:$Z,MATCH($A108,SPPR!$A:$A,0),6)),$C108*INDEX(SPPR!$E:$Z,MATCH($A108,SPPR!$A:$A,0),6),""),"")</f>
        <v/>
      </c>
      <c r="J108">
        <f>IFERROR(IF(ISNUMBER(INDEX(SPPR!$E:$Z,MATCH($A108,SPPR!$A:$A,0),7)),$C108*INDEX(SPPR!$E:$Z,MATCH($A108,SPPR!$A:$A,0),7),""),"")</f>
        <v/>
      </c>
      <c r="K108">
        <f>IFERROR(IF(ISNUMBER(INDEX(SPPR!$E:$Z,MATCH($A108,SPPR!$A:$A,0),8)),$C108*INDEX(SPPR!$E:$Z,MATCH($A108,SPPR!$A:$A,0),8),""),"")</f>
        <v/>
      </c>
      <c r="L108">
        <f>IFERROR(IF(ISNUMBER(INDEX(SPPR!$E:$Z,MATCH($A108,SPPR!$A:$A,0),9)),$C108*INDEX(SPPR!$E:$Z,MATCH($A108,SPPR!$A:$A,0),9),""),"")</f>
        <v/>
      </c>
      <c r="M108">
        <f>IFERROR(IF(ISNUMBER(INDEX(SPPR!$E:$Z,MATCH($A108,SPPR!$A:$A,0),10)),$C108*INDEX(SPPR!$E:$Z,MATCH($A108,SPPR!$A:$A,0),10),""),"")</f>
        <v/>
      </c>
      <c r="N108">
        <f>IFERROR(IF(ISNUMBER(INDEX(SPPR!$E:$Z,MATCH($A108,SPPR!$A:$A,0),11)),$C108*INDEX(SPPR!$E:$Z,MATCH($A108,SPPR!$A:$A,0),11),""),"")</f>
        <v/>
      </c>
      <c r="O108">
        <f>IFERROR(IF(ISNUMBER(INDEX(SPPR!$E:$Z,MATCH($A108,SPPR!$A:$A,0),12)),$C108*INDEX(SPPR!$E:$Z,MATCH($A108,SPPR!$A:$A,0),12),""),"")</f>
        <v/>
      </c>
      <c r="P108">
        <f>IFERROR(IF(ISNUMBER(INDEX(SPPR!$E:$Z,MATCH($A108,SPPR!$A:$A,0),13)),$C108*INDEX(SPPR!$E:$Z,MATCH($A108,SPPR!$A:$A,0),13),""),"")</f>
        <v/>
      </c>
      <c r="Q108">
        <f>IFERROR(IF(ISNUMBER(INDEX(SPPR!$E:$Z,MATCH($A108,SPPR!$A:$A,0),14)),$C108*INDEX(SPPR!$E:$Z,MATCH($A108,SPPR!$A:$A,0),14),""),"")</f>
        <v/>
      </c>
      <c r="R108">
        <f>IFERROR(IF(ISNUMBER(INDEX(SPPR!$E:$Z,MATCH($A108,SPPR!$A:$A,0),15)),$C108*INDEX(SPPR!$E:$Z,MATCH($A108,SPPR!$A:$A,0),15),""),"")</f>
        <v/>
      </c>
      <c r="S108">
        <f>IFERROR(IF(ISNUMBER(INDEX(SPPR!$E:$Z,MATCH($A108,SPPR!$A:$A,0),16)),$C108*INDEX(SPPR!$E:$Z,MATCH($A108,SPPR!$A:$A,0),16),""),"")</f>
        <v/>
      </c>
      <c r="T108">
        <f>IFERROR(IF(ISNUMBER(INDEX(SPPR!$E:$Z,MATCH($A108,SPPR!$A:$A,0),17)),$C108*INDEX(SPPR!$E:$Z,MATCH($A108,SPPR!$A:$A,0),17),""),"")</f>
        <v/>
      </c>
      <c r="U108">
        <f>IFERROR(IF(ISNUMBER(INDEX(SPPR!$E:$Z,MATCH($A108,SPPR!$A:$A,0),18)),$C108*INDEX(SPPR!$E:$Z,MATCH($A108,SPPR!$A:$A,0),18),""),"")</f>
        <v/>
      </c>
      <c r="V108">
        <f>IFERROR(IF(ISNUMBER(INDEX(SPPR!$E:$Z,MATCH($A108,SPPR!$A:$A,0),19)),$C108*INDEX(SPPR!$E:$Z,MATCH($A108,SPPR!$A:$A,0),19),""),"")</f>
        <v/>
      </c>
      <c r="W108">
        <f>IFERROR(IF(ISNUMBER(INDEX(SPPR!$E:$Z,MATCH($A108,SPPR!$A:$A,0),20)),$C108*INDEX(SPPR!$E:$Z,MATCH($A108,SPPR!$A:$A,0),20),""),"")</f>
        <v/>
      </c>
      <c r="X108">
        <f>IFERROR(IF(ISNUMBER(INDEX(SPPR!$E:$Z,MATCH($A108,SPPR!$A:$A,0),21)),$C108*INDEX(SPPR!$E:$Z,MATCH($A108,SPPR!$A:$A,0),21),""),"")</f>
        <v/>
      </c>
      <c r="Y108">
        <f>IFERROR(IF(ISNUMBER(INDEX(SPPR!$E:$Z,MATCH($A108,SPPR!$A:$A,0),22)),$C108*INDEX(SPPR!$E:$Z,MATCH($A108,SPPR!$A:$A,0),22),""),"")</f>
        <v/>
      </c>
    </row>
    <row r="109">
      <c r="A109" t="inlineStr">
        <is>
          <t>Mugil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IFERROR(IF(ISNUMBER(INDEX(SPPR!$E:$Z,MATCH($A109,SPPR!$A:$A,0),1)),$C109*INDEX(SPPR!$E:$Z,MATCH($A109,SPPR!$A:$A,0),1),""),"")</f>
        <v/>
      </c>
      <c r="E109">
        <f>IFERROR(IF(ISNUMBER(INDEX(SPPR!$E:$Z,MATCH($A109,SPPR!$A:$A,0),2)),$C109*INDEX(SPPR!$E:$Z,MATCH($A109,SPPR!$A:$A,0),2),""),"")</f>
        <v/>
      </c>
      <c r="F109">
        <f>IFERROR(IF(ISNUMBER(INDEX(SPPR!$E:$Z,MATCH($A109,SPPR!$A:$A,0),3)),$C109*INDEX(SPPR!$E:$Z,MATCH($A109,SPPR!$A:$A,0),3),""),"")</f>
        <v/>
      </c>
      <c r="G109">
        <f>IFERROR(IF(ISNUMBER(INDEX(SPPR!$E:$Z,MATCH($A109,SPPR!$A:$A,0),4)),$C109*INDEX(SPPR!$E:$Z,MATCH($A109,SPPR!$A:$A,0),4),""),"")</f>
        <v/>
      </c>
      <c r="H109">
        <f>IFERROR(IF(ISNUMBER(INDEX(SPPR!$E:$Z,MATCH($A109,SPPR!$A:$A,0),5)),$C109*INDEX(SPPR!$E:$Z,MATCH($A109,SPPR!$A:$A,0),5),""),"")</f>
        <v/>
      </c>
      <c r="I109">
        <f>IFERROR(IF(ISNUMBER(INDEX(SPPR!$E:$Z,MATCH($A109,SPPR!$A:$A,0),6)),$C109*INDEX(SPPR!$E:$Z,MATCH($A109,SPPR!$A:$A,0),6),""),"")</f>
        <v/>
      </c>
      <c r="J109">
        <f>IFERROR(IF(ISNUMBER(INDEX(SPPR!$E:$Z,MATCH($A109,SPPR!$A:$A,0),7)),$C109*INDEX(SPPR!$E:$Z,MATCH($A109,SPPR!$A:$A,0),7),""),"")</f>
        <v/>
      </c>
      <c r="K109">
        <f>IFERROR(IF(ISNUMBER(INDEX(SPPR!$E:$Z,MATCH($A109,SPPR!$A:$A,0),8)),$C109*INDEX(SPPR!$E:$Z,MATCH($A109,SPPR!$A:$A,0),8),""),"")</f>
        <v/>
      </c>
      <c r="L109">
        <f>IFERROR(IF(ISNUMBER(INDEX(SPPR!$E:$Z,MATCH($A109,SPPR!$A:$A,0),9)),$C109*INDEX(SPPR!$E:$Z,MATCH($A109,SPPR!$A:$A,0),9),""),"")</f>
        <v/>
      </c>
      <c r="M109">
        <f>IFERROR(IF(ISNUMBER(INDEX(SPPR!$E:$Z,MATCH($A109,SPPR!$A:$A,0),10)),$C109*INDEX(SPPR!$E:$Z,MATCH($A109,SPPR!$A:$A,0),10),""),"")</f>
        <v/>
      </c>
      <c r="N109">
        <f>IFERROR(IF(ISNUMBER(INDEX(SPPR!$E:$Z,MATCH($A109,SPPR!$A:$A,0),11)),$C109*INDEX(SPPR!$E:$Z,MATCH($A109,SPPR!$A:$A,0),11),""),"")</f>
        <v/>
      </c>
      <c r="O109">
        <f>IFERROR(IF(ISNUMBER(INDEX(SPPR!$E:$Z,MATCH($A109,SPPR!$A:$A,0),12)),$C109*INDEX(SPPR!$E:$Z,MATCH($A109,SPPR!$A:$A,0),12),""),"")</f>
        <v/>
      </c>
      <c r="P109">
        <f>IFERROR(IF(ISNUMBER(INDEX(SPPR!$E:$Z,MATCH($A109,SPPR!$A:$A,0),13)),$C109*INDEX(SPPR!$E:$Z,MATCH($A109,SPPR!$A:$A,0),13),""),"")</f>
        <v/>
      </c>
      <c r="Q109">
        <f>IFERROR(IF(ISNUMBER(INDEX(SPPR!$E:$Z,MATCH($A109,SPPR!$A:$A,0),14)),$C109*INDEX(SPPR!$E:$Z,MATCH($A109,SPPR!$A:$A,0),14),""),"")</f>
        <v/>
      </c>
      <c r="R109">
        <f>IFERROR(IF(ISNUMBER(INDEX(SPPR!$E:$Z,MATCH($A109,SPPR!$A:$A,0),15)),$C109*INDEX(SPPR!$E:$Z,MATCH($A109,SPPR!$A:$A,0),15),""),"")</f>
        <v/>
      </c>
      <c r="S109">
        <f>IFERROR(IF(ISNUMBER(INDEX(SPPR!$E:$Z,MATCH($A109,SPPR!$A:$A,0),16)),$C109*INDEX(SPPR!$E:$Z,MATCH($A109,SPPR!$A:$A,0),16),""),"")</f>
        <v/>
      </c>
      <c r="T109">
        <f>IFERROR(IF(ISNUMBER(INDEX(SPPR!$E:$Z,MATCH($A109,SPPR!$A:$A,0),17)),$C109*INDEX(SPPR!$E:$Z,MATCH($A109,SPPR!$A:$A,0),17),""),"")</f>
        <v/>
      </c>
      <c r="U109">
        <f>IFERROR(IF(ISNUMBER(INDEX(SPPR!$E:$Z,MATCH($A109,SPPR!$A:$A,0),18)),$C109*INDEX(SPPR!$E:$Z,MATCH($A109,SPPR!$A:$A,0),18),""),"")</f>
        <v/>
      </c>
      <c r="V109">
        <f>IFERROR(IF(ISNUMBER(INDEX(SPPR!$E:$Z,MATCH($A109,SPPR!$A:$A,0),19)),$C109*INDEX(SPPR!$E:$Z,MATCH($A109,SPPR!$A:$A,0),19),""),"")</f>
        <v/>
      </c>
      <c r="W109">
        <f>IFERROR(IF(ISNUMBER(INDEX(SPPR!$E:$Z,MATCH($A109,SPPR!$A:$A,0),20)),$C109*INDEX(SPPR!$E:$Z,MATCH($A109,SPPR!$A:$A,0),20),""),"")</f>
        <v/>
      </c>
      <c r="X109">
        <f>IFERROR(IF(ISNUMBER(INDEX(SPPR!$E:$Z,MATCH($A109,SPPR!$A:$A,0),21)),$C109*INDEX(SPPR!$E:$Z,MATCH($A109,SPPR!$A:$A,0),21),""),"")</f>
        <v/>
      </c>
      <c r="Y109">
        <f>IFERROR(IF(ISNUMBER(INDEX(SPPR!$E:$Z,MATCH($A109,SPPR!$A:$A,0),22)),$C109*INDEX(SPPR!$E:$Z,MATCH($A109,SPPR!$A:$A,0),22),""),"")</f>
        <v/>
      </c>
    </row>
    <row r="110">
      <c r="A110" t="inlineStr">
        <is>
          <t>Ilisha elongata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IFERROR(IF(ISNUMBER(INDEX(SPPR!$E:$Z,MATCH($A110,SPPR!$A:$A,0),1)),$C110*INDEX(SPPR!$E:$Z,MATCH($A110,SPPR!$A:$A,0),1),""),"")</f>
        <v/>
      </c>
      <c r="E110">
        <f>IFERROR(IF(ISNUMBER(INDEX(SPPR!$E:$Z,MATCH($A110,SPPR!$A:$A,0),2)),$C110*INDEX(SPPR!$E:$Z,MATCH($A110,SPPR!$A:$A,0),2),""),"")</f>
        <v/>
      </c>
      <c r="F110">
        <f>IFERROR(IF(ISNUMBER(INDEX(SPPR!$E:$Z,MATCH($A110,SPPR!$A:$A,0),3)),$C110*INDEX(SPPR!$E:$Z,MATCH($A110,SPPR!$A:$A,0),3),""),"")</f>
        <v/>
      </c>
      <c r="G110">
        <f>IFERROR(IF(ISNUMBER(INDEX(SPPR!$E:$Z,MATCH($A110,SPPR!$A:$A,0),4)),$C110*INDEX(SPPR!$E:$Z,MATCH($A110,SPPR!$A:$A,0),4),""),"")</f>
        <v/>
      </c>
      <c r="H110">
        <f>IFERROR(IF(ISNUMBER(INDEX(SPPR!$E:$Z,MATCH($A110,SPPR!$A:$A,0),5)),$C110*INDEX(SPPR!$E:$Z,MATCH($A110,SPPR!$A:$A,0),5),""),"")</f>
        <v/>
      </c>
      <c r="I110">
        <f>IFERROR(IF(ISNUMBER(INDEX(SPPR!$E:$Z,MATCH($A110,SPPR!$A:$A,0),6)),$C110*INDEX(SPPR!$E:$Z,MATCH($A110,SPPR!$A:$A,0),6),""),"")</f>
        <v/>
      </c>
      <c r="J110">
        <f>IFERROR(IF(ISNUMBER(INDEX(SPPR!$E:$Z,MATCH($A110,SPPR!$A:$A,0),7)),$C110*INDEX(SPPR!$E:$Z,MATCH($A110,SPPR!$A:$A,0),7),""),"")</f>
        <v/>
      </c>
      <c r="K110">
        <f>IFERROR(IF(ISNUMBER(INDEX(SPPR!$E:$Z,MATCH($A110,SPPR!$A:$A,0),8)),$C110*INDEX(SPPR!$E:$Z,MATCH($A110,SPPR!$A:$A,0),8),""),"")</f>
        <v/>
      </c>
      <c r="L110">
        <f>IFERROR(IF(ISNUMBER(INDEX(SPPR!$E:$Z,MATCH($A110,SPPR!$A:$A,0),9)),$C110*INDEX(SPPR!$E:$Z,MATCH($A110,SPPR!$A:$A,0),9),""),"")</f>
        <v/>
      </c>
      <c r="M110">
        <f>IFERROR(IF(ISNUMBER(INDEX(SPPR!$E:$Z,MATCH($A110,SPPR!$A:$A,0),10)),$C110*INDEX(SPPR!$E:$Z,MATCH($A110,SPPR!$A:$A,0),10),""),"")</f>
        <v/>
      </c>
      <c r="N110">
        <f>IFERROR(IF(ISNUMBER(INDEX(SPPR!$E:$Z,MATCH($A110,SPPR!$A:$A,0),11)),$C110*INDEX(SPPR!$E:$Z,MATCH($A110,SPPR!$A:$A,0),11),""),"")</f>
        <v/>
      </c>
      <c r="O110">
        <f>IFERROR(IF(ISNUMBER(INDEX(SPPR!$E:$Z,MATCH($A110,SPPR!$A:$A,0),12)),$C110*INDEX(SPPR!$E:$Z,MATCH($A110,SPPR!$A:$A,0),12),""),"")</f>
        <v/>
      </c>
      <c r="P110">
        <f>IFERROR(IF(ISNUMBER(INDEX(SPPR!$E:$Z,MATCH($A110,SPPR!$A:$A,0),13)),$C110*INDEX(SPPR!$E:$Z,MATCH($A110,SPPR!$A:$A,0),13),""),"")</f>
        <v/>
      </c>
      <c r="Q110">
        <f>IFERROR(IF(ISNUMBER(INDEX(SPPR!$E:$Z,MATCH($A110,SPPR!$A:$A,0),14)),$C110*INDEX(SPPR!$E:$Z,MATCH($A110,SPPR!$A:$A,0),14),""),"")</f>
        <v/>
      </c>
      <c r="R110">
        <f>IFERROR(IF(ISNUMBER(INDEX(SPPR!$E:$Z,MATCH($A110,SPPR!$A:$A,0),15)),$C110*INDEX(SPPR!$E:$Z,MATCH($A110,SPPR!$A:$A,0),15),""),"")</f>
        <v/>
      </c>
      <c r="S110">
        <f>IFERROR(IF(ISNUMBER(INDEX(SPPR!$E:$Z,MATCH($A110,SPPR!$A:$A,0),16)),$C110*INDEX(SPPR!$E:$Z,MATCH($A110,SPPR!$A:$A,0),16),""),"")</f>
        <v/>
      </c>
      <c r="T110">
        <f>IFERROR(IF(ISNUMBER(INDEX(SPPR!$E:$Z,MATCH($A110,SPPR!$A:$A,0),17)),$C110*INDEX(SPPR!$E:$Z,MATCH($A110,SPPR!$A:$A,0),17),""),"")</f>
        <v/>
      </c>
      <c r="U110">
        <f>IFERROR(IF(ISNUMBER(INDEX(SPPR!$E:$Z,MATCH($A110,SPPR!$A:$A,0),18)),$C110*INDEX(SPPR!$E:$Z,MATCH($A110,SPPR!$A:$A,0),18),""),"")</f>
        <v/>
      </c>
      <c r="V110">
        <f>IFERROR(IF(ISNUMBER(INDEX(SPPR!$E:$Z,MATCH($A110,SPPR!$A:$A,0),19)),$C110*INDEX(SPPR!$E:$Z,MATCH($A110,SPPR!$A:$A,0),19),""),"")</f>
        <v/>
      </c>
      <c r="W110">
        <f>IFERROR(IF(ISNUMBER(INDEX(SPPR!$E:$Z,MATCH($A110,SPPR!$A:$A,0),20)),$C110*INDEX(SPPR!$E:$Z,MATCH($A110,SPPR!$A:$A,0),20),""),"")</f>
        <v/>
      </c>
      <c r="X110">
        <f>IFERROR(IF(ISNUMBER(INDEX(SPPR!$E:$Z,MATCH($A110,SPPR!$A:$A,0),21)),$C110*INDEX(SPPR!$E:$Z,MATCH($A110,SPPR!$A:$A,0),21),""),"")</f>
        <v/>
      </c>
      <c r="Y110">
        <f>IFERROR(IF(ISNUMBER(INDEX(SPPR!$E:$Z,MATCH($A110,SPPR!$A:$A,0),22)),$C110*INDEX(SPPR!$E:$Z,MATCH($A110,SPPR!$A:$A,0),22),""),"")</f>
        <v/>
      </c>
    </row>
    <row r="111">
      <c r="A111" t="inlineStr">
        <is>
          <t>Carangoides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IFERROR(IF(ISNUMBER(INDEX(SPPR!$E:$Z,MATCH($A111,SPPR!$A:$A,0),1)),$C111*INDEX(SPPR!$E:$Z,MATCH($A111,SPPR!$A:$A,0),1),""),"")</f>
        <v/>
      </c>
      <c r="E111">
        <f>IFERROR(IF(ISNUMBER(INDEX(SPPR!$E:$Z,MATCH($A111,SPPR!$A:$A,0),2)),$C111*INDEX(SPPR!$E:$Z,MATCH($A111,SPPR!$A:$A,0),2),""),"")</f>
        <v/>
      </c>
      <c r="F111">
        <f>IFERROR(IF(ISNUMBER(INDEX(SPPR!$E:$Z,MATCH($A111,SPPR!$A:$A,0),3)),$C111*INDEX(SPPR!$E:$Z,MATCH($A111,SPPR!$A:$A,0),3),""),"")</f>
        <v/>
      </c>
      <c r="G111">
        <f>IFERROR(IF(ISNUMBER(INDEX(SPPR!$E:$Z,MATCH($A111,SPPR!$A:$A,0),4)),$C111*INDEX(SPPR!$E:$Z,MATCH($A111,SPPR!$A:$A,0),4),""),"")</f>
        <v/>
      </c>
      <c r="H111">
        <f>IFERROR(IF(ISNUMBER(INDEX(SPPR!$E:$Z,MATCH($A111,SPPR!$A:$A,0),5)),$C111*INDEX(SPPR!$E:$Z,MATCH($A111,SPPR!$A:$A,0),5),""),"")</f>
        <v/>
      </c>
      <c r="I111">
        <f>IFERROR(IF(ISNUMBER(INDEX(SPPR!$E:$Z,MATCH($A111,SPPR!$A:$A,0),6)),$C111*INDEX(SPPR!$E:$Z,MATCH($A111,SPPR!$A:$A,0),6),""),"")</f>
        <v/>
      </c>
      <c r="J111">
        <f>IFERROR(IF(ISNUMBER(INDEX(SPPR!$E:$Z,MATCH($A111,SPPR!$A:$A,0),7)),$C111*INDEX(SPPR!$E:$Z,MATCH($A111,SPPR!$A:$A,0),7),""),"")</f>
        <v/>
      </c>
      <c r="K111">
        <f>IFERROR(IF(ISNUMBER(INDEX(SPPR!$E:$Z,MATCH($A111,SPPR!$A:$A,0),8)),$C111*INDEX(SPPR!$E:$Z,MATCH($A111,SPPR!$A:$A,0),8),""),"")</f>
        <v/>
      </c>
      <c r="L111">
        <f>IFERROR(IF(ISNUMBER(INDEX(SPPR!$E:$Z,MATCH($A111,SPPR!$A:$A,0),9)),$C111*INDEX(SPPR!$E:$Z,MATCH($A111,SPPR!$A:$A,0),9),""),"")</f>
        <v/>
      </c>
      <c r="M111">
        <f>IFERROR(IF(ISNUMBER(INDEX(SPPR!$E:$Z,MATCH($A111,SPPR!$A:$A,0),10)),$C111*INDEX(SPPR!$E:$Z,MATCH($A111,SPPR!$A:$A,0),10),""),"")</f>
        <v/>
      </c>
      <c r="N111">
        <f>IFERROR(IF(ISNUMBER(INDEX(SPPR!$E:$Z,MATCH($A111,SPPR!$A:$A,0),11)),$C111*INDEX(SPPR!$E:$Z,MATCH($A111,SPPR!$A:$A,0),11),""),"")</f>
        <v/>
      </c>
      <c r="O111">
        <f>IFERROR(IF(ISNUMBER(INDEX(SPPR!$E:$Z,MATCH($A111,SPPR!$A:$A,0),12)),$C111*INDEX(SPPR!$E:$Z,MATCH($A111,SPPR!$A:$A,0),12),""),"")</f>
        <v/>
      </c>
      <c r="P111">
        <f>IFERROR(IF(ISNUMBER(INDEX(SPPR!$E:$Z,MATCH($A111,SPPR!$A:$A,0),13)),$C111*INDEX(SPPR!$E:$Z,MATCH($A111,SPPR!$A:$A,0),13),""),"")</f>
        <v/>
      </c>
      <c r="Q111">
        <f>IFERROR(IF(ISNUMBER(INDEX(SPPR!$E:$Z,MATCH($A111,SPPR!$A:$A,0),14)),$C111*INDEX(SPPR!$E:$Z,MATCH($A111,SPPR!$A:$A,0),14),""),"")</f>
        <v/>
      </c>
      <c r="R111">
        <f>IFERROR(IF(ISNUMBER(INDEX(SPPR!$E:$Z,MATCH($A111,SPPR!$A:$A,0),15)),$C111*INDEX(SPPR!$E:$Z,MATCH($A111,SPPR!$A:$A,0),15),""),"")</f>
        <v/>
      </c>
      <c r="S111">
        <f>IFERROR(IF(ISNUMBER(INDEX(SPPR!$E:$Z,MATCH($A111,SPPR!$A:$A,0),16)),$C111*INDEX(SPPR!$E:$Z,MATCH($A111,SPPR!$A:$A,0),16),""),"")</f>
        <v/>
      </c>
      <c r="T111">
        <f>IFERROR(IF(ISNUMBER(INDEX(SPPR!$E:$Z,MATCH($A111,SPPR!$A:$A,0),17)),$C111*INDEX(SPPR!$E:$Z,MATCH($A111,SPPR!$A:$A,0),17),""),"")</f>
        <v/>
      </c>
      <c r="U111">
        <f>IFERROR(IF(ISNUMBER(INDEX(SPPR!$E:$Z,MATCH($A111,SPPR!$A:$A,0),18)),$C111*INDEX(SPPR!$E:$Z,MATCH($A111,SPPR!$A:$A,0),18),""),"")</f>
        <v/>
      </c>
      <c r="V111">
        <f>IFERROR(IF(ISNUMBER(INDEX(SPPR!$E:$Z,MATCH($A111,SPPR!$A:$A,0),19)),$C111*INDEX(SPPR!$E:$Z,MATCH($A111,SPPR!$A:$A,0),19),""),"")</f>
        <v/>
      </c>
      <c r="W111">
        <f>IFERROR(IF(ISNUMBER(INDEX(SPPR!$E:$Z,MATCH($A111,SPPR!$A:$A,0),20)),$C111*INDEX(SPPR!$E:$Z,MATCH($A111,SPPR!$A:$A,0),20),""),"")</f>
        <v/>
      </c>
      <c r="X111">
        <f>IFERROR(IF(ISNUMBER(INDEX(SPPR!$E:$Z,MATCH($A111,SPPR!$A:$A,0),21)),$C111*INDEX(SPPR!$E:$Z,MATCH($A111,SPPR!$A:$A,0),21),""),"")</f>
        <v/>
      </c>
      <c r="Y111">
        <f>IFERROR(IF(ISNUMBER(INDEX(SPPR!$E:$Z,MATCH($A111,SPPR!$A:$A,0),22)),$C111*INDEX(SPPR!$E:$Z,MATCH($A111,SPPR!$A:$A,0),22),""),"")</f>
        <v/>
      </c>
    </row>
    <row r="112">
      <c r="A112" t="inlineStr">
        <is>
          <t>Tegillarca granosa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IFERROR(IF(ISNUMBER(INDEX(SPPR!$E:$Z,MATCH($A112,SPPR!$A:$A,0),1)),$C112*INDEX(SPPR!$E:$Z,MATCH($A112,SPPR!$A:$A,0),1),""),"")</f>
        <v/>
      </c>
      <c r="E112">
        <f>IFERROR(IF(ISNUMBER(INDEX(SPPR!$E:$Z,MATCH($A112,SPPR!$A:$A,0),2)),$C112*INDEX(SPPR!$E:$Z,MATCH($A112,SPPR!$A:$A,0),2),""),"")</f>
        <v/>
      </c>
      <c r="F112">
        <f>IFERROR(IF(ISNUMBER(INDEX(SPPR!$E:$Z,MATCH($A112,SPPR!$A:$A,0),3)),$C112*INDEX(SPPR!$E:$Z,MATCH($A112,SPPR!$A:$A,0),3),""),"")</f>
        <v/>
      </c>
      <c r="G112">
        <f>IFERROR(IF(ISNUMBER(INDEX(SPPR!$E:$Z,MATCH($A112,SPPR!$A:$A,0),4)),$C112*INDEX(SPPR!$E:$Z,MATCH($A112,SPPR!$A:$A,0),4),""),"")</f>
        <v/>
      </c>
      <c r="H112">
        <f>IFERROR(IF(ISNUMBER(INDEX(SPPR!$E:$Z,MATCH($A112,SPPR!$A:$A,0),5)),$C112*INDEX(SPPR!$E:$Z,MATCH($A112,SPPR!$A:$A,0),5),""),"")</f>
        <v/>
      </c>
      <c r="I112">
        <f>IFERROR(IF(ISNUMBER(INDEX(SPPR!$E:$Z,MATCH($A112,SPPR!$A:$A,0),6)),$C112*INDEX(SPPR!$E:$Z,MATCH($A112,SPPR!$A:$A,0),6),""),"")</f>
        <v/>
      </c>
      <c r="J112">
        <f>IFERROR(IF(ISNUMBER(INDEX(SPPR!$E:$Z,MATCH($A112,SPPR!$A:$A,0),7)),$C112*INDEX(SPPR!$E:$Z,MATCH($A112,SPPR!$A:$A,0),7),""),"")</f>
        <v/>
      </c>
      <c r="K112">
        <f>IFERROR(IF(ISNUMBER(INDEX(SPPR!$E:$Z,MATCH($A112,SPPR!$A:$A,0),8)),$C112*INDEX(SPPR!$E:$Z,MATCH($A112,SPPR!$A:$A,0),8),""),"")</f>
        <v/>
      </c>
      <c r="L112">
        <f>IFERROR(IF(ISNUMBER(INDEX(SPPR!$E:$Z,MATCH($A112,SPPR!$A:$A,0),9)),$C112*INDEX(SPPR!$E:$Z,MATCH($A112,SPPR!$A:$A,0),9),""),"")</f>
        <v/>
      </c>
      <c r="M112">
        <f>IFERROR(IF(ISNUMBER(INDEX(SPPR!$E:$Z,MATCH($A112,SPPR!$A:$A,0),10)),$C112*INDEX(SPPR!$E:$Z,MATCH($A112,SPPR!$A:$A,0),10),""),"")</f>
        <v/>
      </c>
      <c r="N112">
        <f>IFERROR(IF(ISNUMBER(INDEX(SPPR!$E:$Z,MATCH($A112,SPPR!$A:$A,0),11)),$C112*INDEX(SPPR!$E:$Z,MATCH($A112,SPPR!$A:$A,0),11),""),"")</f>
        <v/>
      </c>
      <c r="O112">
        <f>IFERROR(IF(ISNUMBER(INDEX(SPPR!$E:$Z,MATCH($A112,SPPR!$A:$A,0),12)),$C112*INDEX(SPPR!$E:$Z,MATCH($A112,SPPR!$A:$A,0),12),""),"")</f>
        <v/>
      </c>
      <c r="P112">
        <f>IFERROR(IF(ISNUMBER(INDEX(SPPR!$E:$Z,MATCH($A112,SPPR!$A:$A,0),13)),$C112*INDEX(SPPR!$E:$Z,MATCH($A112,SPPR!$A:$A,0),13),""),"")</f>
        <v/>
      </c>
      <c r="Q112">
        <f>IFERROR(IF(ISNUMBER(INDEX(SPPR!$E:$Z,MATCH($A112,SPPR!$A:$A,0),14)),$C112*INDEX(SPPR!$E:$Z,MATCH($A112,SPPR!$A:$A,0),14),""),"")</f>
        <v/>
      </c>
      <c r="R112">
        <f>IFERROR(IF(ISNUMBER(INDEX(SPPR!$E:$Z,MATCH($A112,SPPR!$A:$A,0),15)),$C112*INDEX(SPPR!$E:$Z,MATCH($A112,SPPR!$A:$A,0),15),""),"")</f>
        <v/>
      </c>
      <c r="S112">
        <f>IFERROR(IF(ISNUMBER(INDEX(SPPR!$E:$Z,MATCH($A112,SPPR!$A:$A,0),16)),$C112*INDEX(SPPR!$E:$Z,MATCH($A112,SPPR!$A:$A,0),16),""),"")</f>
        <v/>
      </c>
      <c r="T112">
        <f>IFERROR(IF(ISNUMBER(INDEX(SPPR!$E:$Z,MATCH($A112,SPPR!$A:$A,0),17)),$C112*INDEX(SPPR!$E:$Z,MATCH($A112,SPPR!$A:$A,0),17),""),"")</f>
        <v/>
      </c>
      <c r="U112">
        <f>IFERROR(IF(ISNUMBER(INDEX(SPPR!$E:$Z,MATCH($A112,SPPR!$A:$A,0),18)),$C112*INDEX(SPPR!$E:$Z,MATCH($A112,SPPR!$A:$A,0),18),""),"")</f>
        <v/>
      </c>
      <c r="V112">
        <f>IFERROR(IF(ISNUMBER(INDEX(SPPR!$E:$Z,MATCH($A112,SPPR!$A:$A,0),19)),$C112*INDEX(SPPR!$E:$Z,MATCH($A112,SPPR!$A:$A,0),19),""),"")</f>
        <v/>
      </c>
      <c r="W112">
        <f>IFERROR(IF(ISNUMBER(INDEX(SPPR!$E:$Z,MATCH($A112,SPPR!$A:$A,0),20)),$C112*INDEX(SPPR!$E:$Z,MATCH($A112,SPPR!$A:$A,0),20),""),"")</f>
        <v/>
      </c>
      <c r="X112">
        <f>IFERROR(IF(ISNUMBER(INDEX(SPPR!$E:$Z,MATCH($A112,SPPR!$A:$A,0),21)),$C112*INDEX(SPPR!$E:$Z,MATCH($A112,SPPR!$A:$A,0),21),""),"")</f>
        <v/>
      </c>
      <c r="Y112">
        <f>IFERROR(IF(ISNUMBER(INDEX(SPPR!$E:$Z,MATCH($A112,SPPR!$A:$A,0),22)),$C112*INDEX(SPPR!$E:$Z,MATCH($A112,SPPR!$A:$A,0),22),""),"")</f>
        <v/>
      </c>
    </row>
    <row r="113">
      <c r="A113" t="inlineStr">
        <is>
          <t>Acanthurus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IFERROR(IF(ISNUMBER(INDEX(SPPR!$E:$Z,MATCH($A113,SPPR!$A:$A,0),1)),$C113*INDEX(SPPR!$E:$Z,MATCH($A113,SPPR!$A:$A,0),1),""),"")</f>
        <v/>
      </c>
      <c r="E113">
        <f>IFERROR(IF(ISNUMBER(INDEX(SPPR!$E:$Z,MATCH($A113,SPPR!$A:$A,0),2)),$C113*INDEX(SPPR!$E:$Z,MATCH($A113,SPPR!$A:$A,0),2),""),"")</f>
        <v/>
      </c>
      <c r="F113">
        <f>IFERROR(IF(ISNUMBER(INDEX(SPPR!$E:$Z,MATCH($A113,SPPR!$A:$A,0),3)),$C113*INDEX(SPPR!$E:$Z,MATCH($A113,SPPR!$A:$A,0),3),""),"")</f>
        <v/>
      </c>
      <c r="G113">
        <f>IFERROR(IF(ISNUMBER(INDEX(SPPR!$E:$Z,MATCH($A113,SPPR!$A:$A,0),4)),$C113*INDEX(SPPR!$E:$Z,MATCH($A113,SPPR!$A:$A,0),4),""),"")</f>
        <v/>
      </c>
      <c r="H113">
        <f>IFERROR(IF(ISNUMBER(INDEX(SPPR!$E:$Z,MATCH($A113,SPPR!$A:$A,0),5)),$C113*INDEX(SPPR!$E:$Z,MATCH($A113,SPPR!$A:$A,0),5),""),"")</f>
        <v/>
      </c>
      <c r="I113">
        <f>IFERROR(IF(ISNUMBER(INDEX(SPPR!$E:$Z,MATCH($A113,SPPR!$A:$A,0),6)),$C113*INDEX(SPPR!$E:$Z,MATCH($A113,SPPR!$A:$A,0),6),""),"")</f>
        <v/>
      </c>
      <c r="J113">
        <f>IFERROR(IF(ISNUMBER(INDEX(SPPR!$E:$Z,MATCH($A113,SPPR!$A:$A,0),7)),$C113*INDEX(SPPR!$E:$Z,MATCH($A113,SPPR!$A:$A,0),7),""),"")</f>
        <v/>
      </c>
      <c r="K113">
        <f>IFERROR(IF(ISNUMBER(INDEX(SPPR!$E:$Z,MATCH($A113,SPPR!$A:$A,0),8)),$C113*INDEX(SPPR!$E:$Z,MATCH($A113,SPPR!$A:$A,0),8),""),"")</f>
        <v/>
      </c>
      <c r="L113">
        <f>IFERROR(IF(ISNUMBER(INDEX(SPPR!$E:$Z,MATCH($A113,SPPR!$A:$A,0),9)),$C113*INDEX(SPPR!$E:$Z,MATCH($A113,SPPR!$A:$A,0),9),""),"")</f>
        <v/>
      </c>
      <c r="M113">
        <f>IFERROR(IF(ISNUMBER(INDEX(SPPR!$E:$Z,MATCH($A113,SPPR!$A:$A,0),10)),$C113*INDEX(SPPR!$E:$Z,MATCH($A113,SPPR!$A:$A,0),10),""),"")</f>
        <v/>
      </c>
      <c r="N113">
        <f>IFERROR(IF(ISNUMBER(INDEX(SPPR!$E:$Z,MATCH($A113,SPPR!$A:$A,0),11)),$C113*INDEX(SPPR!$E:$Z,MATCH($A113,SPPR!$A:$A,0),11),""),"")</f>
        <v/>
      </c>
      <c r="O113">
        <f>IFERROR(IF(ISNUMBER(INDEX(SPPR!$E:$Z,MATCH($A113,SPPR!$A:$A,0),12)),$C113*INDEX(SPPR!$E:$Z,MATCH($A113,SPPR!$A:$A,0),12),""),"")</f>
        <v/>
      </c>
      <c r="P113">
        <f>IFERROR(IF(ISNUMBER(INDEX(SPPR!$E:$Z,MATCH($A113,SPPR!$A:$A,0),13)),$C113*INDEX(SPPR!$E:$Z,MATCH($A113,SPPR!$A:$A,0),13),""),"")</f>
        <v/>
      </c>
      <c r="Q113">
        <f>IFERROR(IF(ISNUMBER(INDEX(SPPR!$E:$Z,MATCH($A113,SPPR!$A:$A,0),14)),$C113*INDEX(SPPR!$E:$Z,MATCH($A113,SPPR!$A:$A,0),14),""),"")</f>
        <v/>
      </c>
      <c r="R113">
        <f>IFERROR(IF(ISNUMBER(INDEX(SPPR!$E:$Z,MATCH($A113,SPPR!$A:$A,0),15)),$C113*INDEX(SPPR!$E:$Z,MATCH($A113,SPPR!$A:$A,0),15),""),"")</f>
        <v/>
      </c>
      <c r="S113">
        <f>IFERROR(IF(ISNUMBER(INDEX(SPPR!$E:$Z,MATCH($A113,SPPR!$A:$A,0),16)),$C113*INDEX(SPPR!$E:$Z,MATCH($A113,SPPR!$A:$A,0),16),""),"")</f>
        <v/>
      </c>
      <c r="T113">
        <f>IFERROR(IF(ISNUMBER(INDEX(SPPR!$E:$Z,MATCH($A113,SPPR!$A:$A,0),17)),$C113*INDEX(SPPR!$E:$Z,MATCH($A113,SPPR!$A:$A,0),17),""),"")</f>
        <v/>
      </c>
      <c r="U113">
        <f>IFERROR(IF(ISNUMBER(INDEX(SPPR!$E:$Z,MATCH($A113,SPPR!$A:$A,0),18)),$C113*INDEX(SPPR!$E:$Z,MATCH($A113,SPPR!$A:$A,0),18),""),"")</f>
        <v/>
      </c>
      <c r="V113">
        <f>IFERROR(IF(ISNUMBER(INDEX(SPPR!$E:$Z,MATCH($A113,SPPR!$A:$A,0),19)),$C113*INDEX(SPPR!$E:$Z,MATCH($A113,SPPR!$A:$A,0),19),""),"")</f>
        <v/>
      </c>
      <c r="W113">
        <f>IFERROR(IF(ISNUMBER(INDEX(SPPR!$E:$Z,MATCH($A113,SPPR!$A:$A,0),20)),$C113*INDEX(SPPR!$E:$Z,MATCH($A113,SPPR!$A:$A,0),20),""),"")</f>
        <v/>
      </c>
      <c r="X113">
        <f>IFERROR(IF(ISNUMBER(INDEX(SPPR!$E:$Z,MATCH($A113,SPPR!$A:$A,0),21)),$C113*INDEX(SPPR!$E:$Z,MATCH($A113,SPPR!$A:$A,0),21),""),"")</f>
        <v/>
      </c>
      <c r="Y113">
        <f>IFERROR(IF(ISNUMBER(INDEX(SPPR!$E:$Z,MATCH($A113,SPPR!$A:$A,0),22)),$C113*INDEX(SPPR!$E:$Z,MATCH($A113,SPPR!$A:$A,0),22),""),"")</f>
        <v/>
      </c>
    </row>
    <row r="114">
      <c r="A114" t="inlineStr">
        <is>
          <t>Mierspenaeopsis sculptilis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IFERROR(IF(ISNUMBER(INDEX(SPPR!$E:$Z,MATCH($A114,SPPR!$A:$A,0),1)),$C114*INDEX(SPPR!$E:$Z,MATCH($A114,SPPR!$A:$A,0),1),""),"")</f>
        <v/>
      </c>
      <c r="E114">
        <f>IFERROR(IF(ISNUMBER(INDEX(SPPR!$E:$Z,MATCH($A114,SPPR!$A:$A,0),2)),$C114*INDEX(SPPR!$E:$Z,MATCH($A114,SPPR!$A:$A,0),2),""),"")</f>
        <v/>
      </c>
      <c r="F114">
        <f>IFERROR(IF(ISNUMBER(INDEX(SPPR!$E:$Z,MATCH($A114,SPPR!$A:$A,0),3)),$C114*INDEX(SPPR!$E:$Z,MATCH($A114,SPPR!$A:$A,0),3),""),"")</f>
        <v/>
      </c>
      <c r="G114">
        <f>IFERROR(IF(ISNUMBER(INDEX(SPPR!$E:$Z,MATCH($A114,SPPR!$A:$A,0),4)),$C114*INDEX(SPPR!$E:$Z,MATCH($A114,SPPR!$A:$A,0),4),""),"")</f>
        <v/>
      </c>
      <c r="H114">
        <f>IFERROR(IF(ISNUMBER(INDEX(SPPR!$E:$Z,MATCH($A114,SPPR!$A:$A,0),5)),$C114*INDEX(SPPR!$E:$Z,MATCH($A114,SPPR!$A:$A,0),5),""),"")</f>
        <v/>
      </c>
      <c r="I114">
        <f>IFERROR(IF(ISNUMBER(INDEX(SPPR!$E:$Z,MATCH($A114,SPPR!$A:$A,0),6)),$C114*INDEX(SPPR!$E:$Z,MATCH($A114,SPPR!$A:$A,0),6),""),"")</f>
        <v/>
      </c>
      <c r="J114">
        <f>IFERROR(IF(ISNUMBER(INDEX(SPPR!$E:$Z,MATCH($A114,SPPR!$A:$A,0),7)),$C114*INDEX(SPPR!$E:$Z,MATCH($A114,SPPR!$A:$A,0),7),""),"")</f>
        <v/>
      </c>
      <c r="K114">
        <f>IFERROR(IF(ISNUMBER(INDEX(SPPR!$E:$Z,MATCH($A114,SPPR!$A:$A,0),8)),$C114*INDEX(SPPR!$E:$Z,MATCH($A114,SPPR!$A:$A,0),8),""),"")</f>
        <v/>
      </c>
      <c r="L114">
        <f>IFERROR(IF(ISNUMBER(INDEX(SPPR!$E:$Z,MATCH($A114,SPPR!$A:$A,0),9)),$C114*INDEX(SPPR!$E:$Z,MATCH($A114,SPPR!$A:$A,0),9),""),"")</f>
        <v/>
      </c>
      <c r="M114">
        <f>IFERROR(IF(ISNUMBER(INDEX(SPPR!$E:$Z,MATCH($A114,SPPR!$A:$A,0),10)),$C114*INDEX(SPPR!$E:$Z,MATCH($A114,SPPR!$A:$A,0),10),""),"")</f>
        <v/>
      </c>
      <c r="N114">
        <f>IFERROR(IF(ISNUMBER(INDEX(SPPR!$E:$Z,MATCH($A114,SPPR!$A:$A,0),11)),$C114*INDEX(SPPR!$E:$Z,MATCH($A114,SPPR!$A:$A,0),11),""),"")</f>
        <v/>
      </c>
      <c r="O114">
        <f>IFERROR(IF(ISNUMBER(INDEX(SPPR!$E:$Z,MATCH($A114,SPPR!$A:$A,0),12)),$C114*INDEX(SPPR!$E:$Z,MATCH($A114,SPPR!$A:$A,0),12),""),"")</f>
        <v/>
      </c>
      <c r="P114">
        <f>IFERROR(IF(ISNUMBER(INDEX(SPPR!$E:$Z,MATCH($A114,SPPR!$A:$A,0),13)),$C114*INDEX(SPPR!$E:$Z,MATCH($A114,SPPR!$A:$A,0),13),""),"")</f>
        <v/>
      </c>
      <c r="Q114">
        <f>IFERROR(IF(ISNUMBER(INDEX(SPPR!$E:$Z,MATCH($A114,SPPR!$A:$A,0),14)),$C114*INDEX(SPPR!$E:$Z,MATCH($A114,SPPR!$A:$A,0),14),""),"")</f>
        <v/>
      </c>
      <c r="R114">
        <f>IFERROR(IF(ISNUMBER(INDEX(SPPR!$E:$Z,MATCH($A114,SPPR!$A:$A,0),15)),$C114*INDEX(SPPR!$E:$Z,MATCH($A114,SPPR!$A:$A,0),15),""),"")</f>
        <v/>
      </c>
      <c r="S114">
        <f>IFERROR(IF(ISNUMBER(INDEX(SPPR!$E:$Z,MATCH($A114,SPPR!$A:$A,0),16)),$C114*INDEX(SPPR!$E:$Z,MATCH($A114,SPPR!$A:$A,0),16),""),"")</f>
        <v/>
      </c>
      <c r="T114">
        <f>IFERROR(IF(ISNUMBER(INDEX(SPPR!$E:$Z,MATCH($A114,SPPR!$A:$A,0),17)),$C114*INDEX(SPPR!$E:$Z,MATCH($A114,SPPR!$A:$A,0),17),""),"")</f>
        <v/>
      </c>
      <c r="U114">
        <f>IFERROR(IF(ISNUMBER(INDEX(SPPR!$E:$Z,MATCH($A114,SPPR!$A:$A,0),18)),$C114*INDEX(SPPR!$E:$Z,MATCH($A114,SPPR!$A:$A,0),18),""),"")</f>
        <v/>
      </c>
      <c r="V114">
        <f>IFERROR(IF(ISNUMBER(INDEX(SPPR!$E:$Z,MATCH($A114,SPPR!$A:$A,0),19)),$C114*INDEX(SPPR!$E:$Z,MATCH($A114,SPPR!$A:$A,0),19),""),"")</f>
        <v/>
      </c>
      <c r="W114">
        <f>IFERROR(IF(ISNUMBER(INDEX(SPPR!$E:$Z,MATCH($A114,SPPR!$A:$A,0),20)),$C114*INDEX(SPPR!$E:$Z,MATCH($A114,SPPR!$A:$A,0),20),""),"")</f>
        <v/>
      </c>
      <c r="X114">
        <f>IFERROR(IF(ISNUMBER(INDEX(SPPR!$E:$Z,MATCH($A114,SPPR!$A:$A,0),21)),$C114*INDEX(SPPR!$E:$Z,MATCH($A114,SPPR!$A:$A,0),21),""),"")</f>
        <v/>
      </c>
      <c r="Y114">
        <f>IFERROR(IF(ISNUMBER(INDEX(SPPR!$E:$Z,MATCH($A114,SPPR!$A:$A,0),22)),$C114*INDEX(SPPR!$E:$Z,MATCH($A114,SPPR!$A:$A,0),22),""),"")</f>
        <v/>
      </c>
    </row>
    <row r="115">
      <c r="A115" t="inlineStr">
        <is>
          <t>Ozius guttatus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IFERROR(IF(ISNUMBER(INDEX(SPPR!$E:$Z,MATCH($A115,SPPR!$A:$A,0),1)),$C115*INDEX(SPPR!$E:$Z,MATCH($A115,SPPR!$A:$A,0),1),""),"")</f>
        <v/>
      </c>
      <c r="E115">
        <f>IFERROR(IF(ISNUMBER(INDEX(SPPR!$E:$Z,MATCH($A115,SPPR!$A:$A,0),2)),$C115*INDEX(SPPR!$E:$Z,MATCH($A115,SPPR!$A:$A,0),2),""),"")</f>
        <v/>
      </c>
      <c r="F115">
        <f>IFERROR(IF(ISNUMBER(INDEX(SPPR!$E:$Z,MATCH($A115,SPPR!$A:$A,0),3)),$C115*INDEX(SPPR!$E:$Z,MATCH($A115,SPPR!$A:$A,0),3),""),"")</f>
        <v/>
      </c>
      <c r="G115">
        <f>IFERROR(IF(ISNUMBER(INDEX(SPPR!$E:$Z,MATCH($A115,SPPR!$A:$A,0),4)),$C115*INDEX(SPPR!$E:$Z,MATCH($A115,SPPR!$A:$A,0),4),""),"")</f>
        <v/>
      </c>
      <c r="H115">
        <f>IFERROR(IF(ISNUMBER(INDEX(SPPR!$E:$Z,MATCH($A115,SPPR!$A:$A,0),5)),$C115*INDEX(SPPR!$E:$Z,MATCH($A115,SPPR!$A:$A,0),5),""),"")</f>
        <v/>
      </c>
      <c r="I115">
        <f>IFERROR(IF(ISNUMBER(INDEX(SPPR!$E:$Z,MATCH($A115,SPPR!$A:$A,0),6)),$C115*INDEX(SPPR!$E:$Z,MATCH($A115,SPPR!$A:$A,0),6),""),"")</f>
        <v/>
      </c>
      <c r="J115">
        <f>IFERROR(IF(ISNUMBER(INDEX(SPPR!$E:$Z,MATCH($A115,SPPR!$A:$A,0),7)),$C115*INDEX(SPPR!$E:$Z,MATCH($A115,SPPR!$A:$A,0),7),""),"")</f>
        <v/>
      </c>
      <c r="K115">
        <f>IFERROR(IF(ISNUMBER(INDEX(SPPR!$E:$Z,MATCH($A115,SPPR!$A:$A,0),8)),$C115*INDEX(SPPR!$E:$Z,MATCH($A115,SPPR!$A:$A,0),8),""),"")</f>
        <v/>
      </c>
      <c r="L115">
        <f>IFERROR(IF(ISNUMBER(INDEX(SPPR!$E:$Z,MATCH($A115,SPPR!$A:$A,0),9)),$C115*INDEX(SPPR!$E:$Z,MATCH($A115,SPPR!$A:$A,0),9),""),"")</f>
        <v/>
      </c>
      <c r="M115">
        <f>IFERROR(IF(ISNUMBER(INDEX(SPPR!$E:$Z,MATCH($A115,SPPR!$A:$A,0),10)),$C115*INDEX(SPPR!$E:$Z,MATCH($A115,SPPR!$A:$A,0),10),""),"")</f>
        <v/>
      </c>
      <c r="N115">
        <f>IFERROR(IF(ISNUMBER(INDEX(SPPR!$E:$Z,MATCH($A115,SPPR!$A:$A,0),11)),$C115*INDEX(SPPR!$E:$Z,MATCH($A115,SPPR!$A:$A,0),11),""),"")</f>
        <v/>
      </c>
      <c r="O115">
        <f>IFERROR(IF(ISNUMBER(INDEX(SPPR!$E:$Z,MATCH($A115,SPPR!$A:$A,0),12)),$C115*INDEX(SPPR!$E:$Z,MATCH($A115,SPPR!$A:$A,0),12),""),"")</f>
        <v/>
      </c>
      <c r="P115">
        <f>IFERROR(IF(ISNUMBER(INDEX(SPPR!$E:$Z,MATCH($A115,SPPR!$A:$A,0),13)),$C115*INDEX(SPPR!$E:$Z,MATCH($A115,SPPR!$A:$A,0),13),""),"")</f>
        <v/>
      </c>
      <c r="Q115">
        <f>IFERROR(IF(ISNUMBER(INDEX(SPPR!$E:$Z,MATCH($A115,SPPR!$A:$A,0),14)),$C115*INDEX(SPPR!$E:$Z,MATCH($A115,SPPR!$A:$A,0),14),""),"")</f>
        <v/>
      </c>
      <c r="R115">
        <f>IFERROR(IF(ISNUMBER(INDEX(SPPR!$E:$Z,MATCH($A115,SPPR!$A:$A,0),15)),$C115*INDEX(SPPR!$E:$Z,MATCH($A115,SPPR!$A:$A,0),15),""),"")</f>
        <v/>
      </c>
      <c r="S115">
        <f>IFERROR(IF(ISNUMBER(INDEX(SPPR!$E:$Z,MATCH($A115,SPPR!$A:$A,0),16)),$C115*INDEX(SPPR!$E:$Z,MATCH($A115,SPPR!$A:$A,0),16),""),"")</f>
        <v/>
      </c>
      <c r="T115">
        <f>IFERROR(IF(ISNUMBER(INDEX(SPPR!$E:$Z,MATCH($A115,SPPR!$A:$A,0),17)),$C115*INDEX(SPPR!$E:$Z,MATCH($A115,SPPR!$A:$A,0),17),""),"")</f>
        <v/>
      </c>
      <c r="U115">
        <f>IFERROR(IF(ISNUMBER(INDEX(SPPR!$E:$Z,MATCH($A115,SPPR!$A:$A,0),18)),$C115*INDEX(SPPR!$E:$Z,MATCH($A115,SPPR!$A:$A,0),18),""),"")</f>
        <v/>
      </c>
      <c r="V115">
        <f>IFERROR(IF(ISNUMBER(INDEX(SPPR!$E:$Z,MATCH($A115,SPPR!$A:$A,0),19)),$C115*INDEX(SPPR!$E:$Z,MATCH($A115,SPPR!$A:$A,0),19),""),"")</f>
        <v/>
      </c>
      <c r="W115">
        <f>IFERROR(IF(ISNUMBER(INDEX(SPPR!$E:$Z,MATCH($A115,SPPR!$A:$A,0),20)),$C115*INDEX(SPPR!$E:$Z,MATCH($A115,SPPR!$A:$A,0),20),""),"")</f>
        <v/>
      </c>
      <c r="X115">
        <f>IFERROR(IF(ISNUMBER(INDEX(SPPR!$E:$Z,MATCH($A115,SPPR!$A:$A,0),21)),$C115*INDEX(SPPR!$E:$Z,MATCH($A115,SPPR!$A:$A,0),21),""),"")</f>
        <v/>
      </c>
      <c r="Y115">
        <f>IFERROR(IF(ISNUMBER(INDEX(SPPR!$E:$Z,MATCH($A115,SPPR!$A:$A,0),22)),$C115*INDEX(SPPR!$E:$Z,MATCH($A115,SPPR!$A:$A,0),22),""),"")</f>
        <v/>
      </c>
    </row>
    <row r="116">
      <c r="A116" t="inlineStr">
        <is>
          <t>Marine groundfishes not identified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IFERROR(IF(ISNUMBER(INDEX(SPPR!$E:$Z,MATCH($A116,SPPR!$A:$A,0),1)),$C116*INDEX(SPPR!$E:$Z,MATCH($A116,SPPR!$A:$A,0),1),""),"")</f>
        <v/>
      </c>
      <c r="E116">
        <f>IFERROR(IF(ISNUMBER(INDEX(SPPR!$E:$Z,MATCH($A116,SPPR!$A:$A,0),2)),$C116*INDEX(SPPR!$E:$Z,MATCH($A116,SPPR!$A:$A,0),2),""),"")</f>
        <v/>
      </c>
      <c r="F116">
        <f>IFERROR(IF(ISNUMBER(INDEX(SPPR!$E:$Z,MATCH($A116,SPPR!$A:$A,0),3)),$C116*INDEX(SPPR!$E:$Z,MATCH($A116,SPPR!$A:$A,0),3),""),"")</f>
        <v/>
      </c>
      <c r="G116">
        <f>IFERROR(IF(ISNUMBER(INDEX(SPPR!$E:$Z,MATCH($A116,SPPR!$A:$A,0),4)),$C116*INDEX(SPPR!$E:$Z,MATCH($A116,SPPR!$A:$A,0),4),""),"")</f>
        <v/>
      </c>
      <c r="H116">
        <f>IFERROR(IF(ISNUMBER(INDEX(SPPR!$E:$Z,MATCH($A116,SPPR!$A:$A,0),5)),$C116*INDEX(SPPR!$E:$Z,MATCH($A116,SPPR!$A:$A,0),5),""),"")</f>
        <v/>
      </c>
      <c r="I116">
        <f>IFERROR(IF(ISNUMBER(INDEX(SPPR!$E:$Z,MATCH($A116,SPPR!$A:$A,0),6)),$C116*INDEX(SPPR!$E:$Z,MATCH($A116,SPPR!$A:$A,0),6),""),"")</f>
        <v/>
      </c>
      <c r="J116">
        <f>IFERROR(IF(ISNUMBER(INDEX(SPPR!$E:$Z,MATCH($A116,SPPR!$A:$A,0),7)),$C116*INDEX(SPPR!$E:$Z,MATCH($A116,SPPR!$A:$A,0),7),""),"")</f>
        <v/>
      </c>
      <c r="K116">
        <f>IFERROR(IF(ISNUMBER(INDEX(SPPR!$E:$Z,MATCH($A116,SPPR!$A:$A,0),8)),$C116*INDEX(SPPR!$E:$Z,MATCH($A116,SPPR!$A:$A,0),8),""),"")</f>
        <v/>
      </c>
      <c r="L116">
        <f>IFERROR(IF(ISNUMBER(INDEX(SPPR!$E:$Z,MATCH($A116,SPPR!$A:$A,0),9)),$C116*INDEX(SPPR!$E:$Z,MATCH($A116,SPPR!$A:$A,0),9),""),"")</f>
        <v/>
      </c>
      <c r="M116">
        <f>IFERROR(IF(ISNUMBER(INDEX(SPPR!$E:$Z,MATCH($A116,SPPR!$A:$A,0),10)),$C116*INDEX(SPPR!$E:$Z,MATCH($A116,SPPR!$A:$A,0),10),""),"")</f>
        <v/>
      </c>
      <c r="N116">
        <f>IFERROR(IF(ISNUMBER(INDEX(SPPR!$E:$Z,MATCH($A116,SPPR!$A:$A,0),11)),$C116*INDEX(SPPR!$E:$Z,MATCH($A116,SPPR!$A:$A,0),11),""),"")</f>
        <v/>
      </c>
      <c r="O116">
        <f>IFERROR(IF(ISNUMBER(INDEX(SPPR!$E:$Z,MATCH($A116,SPPR!$A:$A,0),12)),$C116*INDEX(SPPR!$E:$Z,MATCH($A116,SPPR!$A:$A,0),12),""),"")</f>
        <v/>
      </c>
      <c r="P116">
        <f>IFERROR(IF(ISNUMBER(INDEX(SPPR!$E:$Z,MATCH($A116,SPPR!$A:$A,0),13)),$C116*INDEX(SPPR!$E:$Z,MATCH($A116,SPPR!$A:$A,0),13),""),"")</f>
        <v/>
      </c>
      <c r="Q116">
        <f>IFERROR(IF(ISNUMBER(INDEX(SPPR!$E:$Z,MATCH($A116,SPPR!$A:$A,0),14)),$C116*INDEX(SPPR!$E:$Z,MATCH($A116,SPPR!$A:$A,0),14),""),"")</f>
        <v/>
      </c>
      <c r="R116">
        <f>IFERROR(IF(ISNUMBER(INDEX(SPPR!$E:$Z,MATCH($A116,SPPR!$A:$A,0),15)),$C116*INDEX(SPPR!$E:$Z,MATCH($A116,SPPR!$A:$A,0),15),""),"")</f>
        <v/>
      </c>
      <c r="S116">
        <f>IFERROR(IF(ISNUMBER(INDEX(SPPR!$E:$Z,MATCH($A116,SPPR!$A:$A,0),16)),$C116*INDEX(SPPR!$E:$Z,MATCH($A116,SPPR!$A:$A,0),16),""),"")</f>
        <v/>
      </c>
      <c r="T116">
        <f>IFERROR(IF(ISNUMBER(INDEX(SPPR!$E:$Z,MATCH($A116,SPPR!$A:$A,0),17)),$C116*INDEX(SPPR!$E:$Z,MATCH($A116,SPPR!$A:$A,0),17),""),"")</f>
        <v/>
      </c>
      <c r="U116">
        <f>IFERROR(IF(ISNUMBER(INDEX(SPPR!$E:$Z,MATCH($A116,SPPR!$A:$A,0),18)),$C116*INDEX(SPPR!$E:$Z,MATCH($A116,SPPR!$A:$A,0),18),""),"")</f>
        <v/>
      </c>
      <c r="V116">
        <f>IFERROR(IF(ISNUMBER(INDEX(SPPR!$E:$Z,MATCH($A116,SPPR!$A:$A,0),19)),$C116*INDEX(SPPR!$E:$Z,MATCH($A116,SPPR!$A:$A,0),19),""),"")</f>
        <v/>
      </c>
      <c r="W116">
        <f>IFERROR(IF(ISNUMBER(INDEX(SPPR!$E:$Z,MATCH($A116,SPPR!$A:$A,0),20)),$C116*INDEX(SPPR!$E:$Z,MATCH($A116,SPPR!$A:$A,0),20),""),"")</f>
        <v/>
      </c>
      <c r="X116">
        <f>IFERROR(IF(ISNUMBER(INDEX(SPPR!$E:$Z,MATCH($A116,SPPR!$A:$A,0),21)),$C116*INDEX(SPPR!$E:$Z,MATCH($A116,SPPR!$A:$A,0),21),""),"")</f>
        <v/>
      </c>
      <c r="Y116">
        <f>IFERROR(IF(ISNUMBER(INDEX(SPPR!$E:$Z,MATCH($A116,SPPR!$A:$A,0),22)),$C116*INDEX(SPPR!$E:$Z,MATCH($A116,SPPR!$A:$A,0),22),""),"")</f>
        <v/>
      </c>
    </row>
    <row r="117">
      <c r="A117" t="inlineStr">
        <is>
          <t>Bothidae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IFERROR(IF(ISNUMBER(INDEX(SPPR!$E:$Z,MATCH($A117,SPPR!$A:$A,0),1)),$C117*INDEX(SPPR!$E:$Z,MATCH($A117,SPPR!$A:$A,0),1),""),"")</f>
        <v/>
      </c>
      <c r="E117">
        <f>IFERROR(IF(ISNUMBER(INDEX(SPPR!$E:$Z,MATCH($A117,SPPR!$A:$A,0),2)),$C117*INDEX(SPPR!$E:$Z,MATCH($A117,SPPR!$A:$A,0),2),""),"")</f>
        <v/>
      </c>
      <c r="F117">
        <f>IFERROR(IF(ISNUMBER(INDEX(SPPR!$E:$Z,MATCH($A117,SPPR!$A:$A,0),3)),$C117*INDEX(SPPR!$E:$Z,MATCH($A117,SPPR!$A:$A,0),3),""),"")</f>
        <v/>
      </c>
      <c r="G117">
        <f>IFERROR(IF(ISNUMBER(INDEX(SPPR!$E:$Z,MATCH($A117,SPPR!$A:$A,0),4)),$C117*INDEX(SPPR!$E:$Z,MATCH($A117,SPPR!$A:$A,0),4),""),"")</f>
        <v/>
      </c>
      <c r="H117">
        <f>IFERROR(IF(ISNUMBER(INDEX(SPPR!$E:$Z,MATCH($A117,SPPR!$A:$A,0),5)),$C117*INDEX(SPPR!$E:$Z,MATCH($A117,SPPR!$A:$A,0),5),""),"")</f>
        <v/>
      </c>
      <c r="I117">
        <f>IFERROR(IF(ISNUMBER(INDEX(SPPR!$E:$Z,MATCH($A117,SPPR!$A:$A,0),6)),$C117*INDEX(SPPR!$E:$Z,MATCH($A117,SPPR!$A:$A,0),6),""),"")</f>
        <v/>
      </c>
      <c r="J117">
        <f>IFERROR(IF(ISNUMBER(INDEX(SPPR!$E:$Z,MATCH($A117,SPPR!$A:$A,0),7)),$C117*INDEX(SPPR!$E:$Z,MATCH($A117,SPPR!$A:$A,0),7),""),"")</f>
        <v/>
      </c>
      <c r="K117">
        <f>IFERROR(IF(ISNUMBER(INDEX(SPPR!$E:$Z,MATCH($A117,SPPR!$A:$A,0),8)),$C117*INDEX(SPPR!$E:$Z,MATCH($A117,SPPR!$A:$A,0),8),""),"")</f>
        <v/>
      </c>
      <c r="L117">
        <f>IFERROR(IF(ISNUMBER(INDEX(SPPR!$E:$Z,MATCH($A117,SPPR!$A:$A,0),9)),$C117*INDEX(SPPR!$E:$Z,MATCH($A117,SPPR!$A:$A,0),9),""),"")</f>
        <v/>
      </c>
      <c r="M117">
        <f>IFERROR(IF(ISNUMBER(INDEX(SPPR!$E:$Z,MATCH($A117,SPPR!$A:$A,0),10)),$C117*INDEX(SPPR!$E:$Z,MATCH($A117,SPPR!$A:$A,0),10),""),"")</f>
        <v/>
      </c>
      <c r="N117">
        <f>IFERROR(IF(ISNUMBER(INDEX(SPPR!$E:$Z,MATCH($A117,SPPR!$A:$A,0),11)),$C117*INDEX(SPPR!$E:$Z,MATCH($A117,SPPR!$A:$A,0),11),""),"")</f>
        <v/>
      </c>
      <c r="O117">
        <f>IFERROR(IF(ISNUMBER(INDEX(SPPR!$E:$Z,MATCH($A117,SPPR!$A:$A,0),12)),$C117*INDEX(SPPR!$E:$Z,MATCH($A117,SPPR!$A:$A,0),12),""),"")</f>
        <v/>
      </c>
      <c r="P117">
        <f>IFERROR(IF(ISNUMBER(INDEX(SPPR!$E:$Z,MATCH($A117,SPPR!$A:$A,0),13)),$C117*INDEX(SPPR!$E:$Z,MATCH($A117,SPPR!$A:$A,0),13),""),"")</f>
        <v/>
      </c>
      <c r="Q117">
        <f>IFERROR(IF(ISNUMBER(INDEX(SPPR!$E:$Z,MATCH($A117,SPPR!$A:$A,0),14)),$C117*INDEX(SPPR!$E:$Z,MATCH($A117,SPPR!$A:$A,0),14),""),"")</f>
        <v/>
      </c>
      <c r="R117">
        <f>IFERROR(IF(ISNUMBER(INDEX(SPPR!$E:$Z,MATCH($A117,SPPR!$A:$A,0),15)),$C117*INDEX(SPPR!$E:$Z,MATCH($A117,SPPR!$A:$A,0),15),""),"")</f>
        <v/>
      </c>
      <c r="S117">
        <f>IFERROR(IF(ISNUMBER(INDEX(SPPR!$E:$Z,MATCH($A117,SPPR!$A:$A,0),16)),$C117*INDEX(SPPR!$E:$Z,MATCH($A117,SPPR!$A:$A,0),16),""),"")</f>
        <v/>
      </c>
      <c r="T117">
        <f>IFERROR(IF(ISNUMBER(INDEX(SPPR!$E:$Z,MATCH($A117,SPPR!$A:$A,0),17)),$C117*INDEX(SPPR!$E:$Z,MATCH($A117,SPPR!$A:$A,0),17),""),"")</f>
        <v/>
      </c>
      <c r="U117">
        <f>IFERROR(IF(ISNUMBER(INDEX(SPPR!$E:$Z,MATCH($A117,SPPR!$A:$A,0),18)),$C117*INDEX(SPPR!$E:$Z,MATCH($A117,SPPR!$A:$A,0),18),""),"")</f>
        <v/>
      </c>
      <c r="V117">
        <f>IFERROR(IF(ISNUMBER(INDEX(SPPR!$E:$Z,MATCH($A117,SPPR!$A:$A,0),19)),$C117*INDEX(SPPR!$E:$Z,MATCH($A117,SPPR!$A:$A,0),19),""),"")</f>
        <v/>
      </c>
      <c r="W117">
        <f>IFERROR(IF(ISNUMBER(INDEX(SPPR!$E:$Z,MATCH($A117,SPPR!$A:$A,0),20)),$C117*INDEX(SPPR!$E:$Z,MATCH($A117,SPPR!$A:$A,0),20),""),"")</f>
        <v/>
      </c>
      <c r="X117">
        <f>IFERROR(IF(ISNUMBER(INDEX(SPPR!$E:$Z,MATCH($A117,SPPR!$A:$A,0),21)),$C117*INDEX(SPPR!$E:$Z,MATCH($A117,SPPR!$A:$A,0),21),""),"")</f>
        <v/>
      </c>
      <c r="Y117">
        <f>IFERROR(IF(ISNUMBER(INDEX(SPPR!$E:$Z,MATCH($A117,SPPR!$A:$A,0),22)),$C117*INDEX(SPPR!$E:$Z,MATCH($A117,SPPR!$A:$A,0),22),""),"")</f>
        <v/>
      </c>
    </row>
    <row r="118">
      <c r="A118" t="inlineStr">
        <is>
          <t>Thunnus albacares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IFERROR(IF(ISNUMBER(INDEX(SPPR!$E:$Z,MATCH($A118,SPPR!$A:$A,0),1)),$C118*INDEX(SPPR!$E:$Z,MATCH($A118,SPPR!$A:$A,0),1),""),"")</f>
        <v/>
      </c>
      <c r="E118">
        <f>IFERROR(IF(ISNUMBER(INDEX(SPPR!$E:$Z,MATCH($A118,SPPR!$A:$A,0),2)),$C118*INDEX(SPPR!$E:$Z,MATCH($A118,SPPR!$A:$A,0),2),""),"")</f>
        <v/>
      </c>
      <c r="F118">
        <f>IFERROR(IF(ISNUMBER(INDEX(SPPR!$E:$Z,MATCH($A118,SPPR!$A:$A,0),3)),$C118*INDEX(SPPR!$E:$Z,MATCH($A118,SPPR!$A:$A,0),3),""),"")</f>
        <v/>
      </c>
      <c r="G118">
        <f>IFERROR(IF(ISNUMBER(INDEX(SPPR!$E:$Z,MATCH($A118,SPPR!$A:$A,0),4)),$C118*INDEX(SPPR!$E:$Z,MATCH($A118,SPPR!$A:$A,0),4),""),"")</f>
        <v/>
      </c>
      <c r="H118">
        <f>IFERROR(IF(ISNUMBER(INDEX(SPPR!$E:$Z,MATCH($A118,SPPR!$A:$A,0),5)),$C118*INDEX(SPPR!$E:$Z,MATCH($A118,SPPR!$A:$A,0),5),""),"")</f>
        <v/>
      </c>
      <c r="I118">
        <f>IFERROR(IF(ISNUMBER(INDEX(SPPR!$E:$Z,MATCH($A118,SPPR!$A:$A,0),6)),$C118*INDEX(SPPR!$E:$Z,MATCH($A118,SPPR!$A:$A,0),6),""),"")</f>
        <v/>
      </c>
      <c r="J118">
        <f>IFERROR(IF(ISNUMBER(INDEX(SPPR!$E:$Z,MATCH($A118,SPPR!$A:$A,0),7)),$C118*INDEX(SPPR!$E:$Z,MATCH($A118,SPPR!$A:$A,0),7),""),"")</f>
        <v/>
      </c>
      <c r="K118">
        <f>IFERROR(IF(ISNUMBER(INDEX(SPPR!$E:$Z,MATCH($A118,SPPR!$A:$A,0),8)),$C118*INDEX(SPPR!$E:$Z,MATCH($A118,SPPR!$A:$A,0),8),""),"")</f>
        <v/>
      </c>
      <c r="L118">
        <f>IFERROR(IF(ISNUMBER(INDEX(SPPR!$E:$Z,MATCH($A118,SPPR!$A:$A,0),9)),$C118*INDEX(SPPR!$E:$Z,MATCH($A118,SPPR!$A:$A,0),9),""),"")</f>
        <v/>
      </c>
      <c r="M118">
        <f>IFERROR(IF(ISNUMBER(INDEX(SPPR!$E:$Z,MATCH($A118,SPPR!$A:$A,0),10)),$C118*INDEX(SPPR!$E:$Z,MATCH($A118,SPPR!$A:$A,0),10),""),"")</f>
        <v/>
      </c>
      <c r="N118">
        <f>IFERROR(IF(ISNUMBER(INDEX(SPPR!$E:$Z,MATCH($A118,SPPR!$A:$A,0),11)),$C118*INDEX(SPPR!$E:$Z,MATCH($A118,SPPR!$A:$A,0),11),""),"")</f>
        <v/>
      </c>
      <c r="O118">
        <f>IFERROR(IF(ISNUMBER(INDEX(SPPR!$E:$Z,MATCH($A118,SPPR!$A:$A,0),12)),$C118*INDEX(SPPR!$E:$Z,MATCH($A118,SPPR!$A:$A,0),12),""),"")</f>
        <v/>
      </c>
      <c r="P118">
        <f>IFERROR(IF(ISNUMBER(INDEX(SPPR!$E:$Z,MATCH($A118,SPPR!$A:$A,0),13)),$C118*INDEX(SPPR!$E:$Z,MATCH($A118,SPPR!$A:$A,0),13),""),"")</f>
        <v/>
      </c>
      <c r="Q118">
        <f>IFERROR(IF(ISNUMBER(INDEX(SPPR!$E:$Z,MATCH($A118,SPPR!$A:$A,0),14)),$C118*INDEX(SPPR!$E:$Z,MATCH($A118,SPPR!$A:$A,0),14),""),"")</f>
        <v/>
      </c>
      <c r="R118">
        <f>IFERROR(IF(ISNUMBER(INDEX(SPPR!$E:$Z,MATCH($A118,SPPR!$A:$A,0),15)),$C118*INDEX(SPPR!$E:$Z,MATCH($A118,SPPR!$A:$A,0),15),""),"")</f>
        <v/>
      </c>
      <c r="S118">
        <f>IFERROR(IF(ISNUMBER(INDEX(SPPR!$E:$Z,MATCH($A118,SPPR!$A:$A,0),16)),$C118*INDEX(SPPR!$E:$Z,MATCH($A118,SPPR!$A:$A,0),16),""),"")</f>
        <v/>
      </c>
      <c r="T118">
        <f>IFERROR(IF(ISNUMBER(INDEX(SPPR!$E:$Z,MATCH($A118,SPPR!$A:$A,0),17)),$C118*INDEX(SPPR!$E:$Z,MATCH($A118,SPPR!$A:$A,0),17),""),"")</f>
        <v/>
      </c>
      <c r="U118">
        <f>IFERROR(IF(ISNUMBER(INDEX(SPPR!$E:$Z,MATCH($A118,SPPR!$A:$A,0),18)),$C118*INDEX(SPPR!$E:$Z,MATCH($A118,SPPR!$A:$A,0),18),""),"")</f>
        <v/>
      </c>
      <c r="V118">
        <f>IFERROR(IF(ISNUMBER(INDEX(SPPR!$E:$Z,MATCH($A118,SPPR!$A:$A,0),19)),$C118*INDEX(SPPR!$E:$Z,MATCH($A118,SPPR!$A:$A,0),19),""),"")</f>
        <v/>
      </c>
      <c r="W118">
        <f>IFERROR(IF(ISNUMBER(INDEX(SPPR!$E:$Z,MATCH($A118,SPPR!$A:$A,0),20)),$C118*INDEX(SPPR!$E:$Z,MATCH($A118,SPPR!$A:$A,0),20),""),"")</f>
        <v/>
      </c>
      <c r="X118">
        <f>IFERROR(IF(ISNUMBER(INDEX(SPPR!$E:$Z,MATCH($A118,SPPR!$A:$A,0),21)),$C118*INDEX(SPPR!$E:$Z,MATCH($A118,SPPR!$A:$A,0),21),""),"")</f>
        <v/>
      </c>
      <c r="Y118">
        <f>IFERROR(IF(ISNUMBER(INDEX(SPPR!$E:$Z,MATCH($A118,SPPR!$A:$A,0),22)),$C118*INDEX(SPPR!$E:$Z,MATCH($A118,SPPR!$A:$A,0),22),""),"")</f>
        <v/>
      </c>
    </row>
    <row r="119">
      <c r="A119" t="inlineStr">
        <is>
          <t>Rachycentron canadum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IFERROR(IF(ISNUMBER(INDEX(SPPR!$E:$Z,MATCH($A119,SPPR!$A:$A,0),1)),$C119*INDEX(SPPR!$E:$Z,MATCH($A119,SPPR!$A:$A,0),1),""),"")</f>
        <v/>
      </c>
      <c r="E119">
        <f>IFERROR(IF(ISNUMBER(INDEX(SPPR!$E:$Z,MATCH($A119,SPPR!$A:$A,0),2)),$C119*INDEX(SPPR!$E:$Z,MATCH($A119,SPPR!$A:$A,0),2),""),"")</f>
        <v/>
      </c>
      <c r="F119">
        <f>IFERROR(IF(ISNUMBER(INDEX(SPPR!$E:$Z,MATCH($A119,SPPR!$A:$A,0),3)),$C119*INDEX(SPPR!$E:$Z,MATCH($A119,SPPR!$A:$A,0),3),""),"")</f>
        <v/>
      </c>
      <c r="G119">
        <f>IFERROR(IF(ISNUMBER(INDEX(SPPR!$E:$Z,MATCH($A119,SPPR!$A:$A,0),4)),$C119*INDEX(SPPR!$E:$Z,MATCH($A119,SPPR!$A:$A,0),4),""),"")</f>
        <v/>
      </c>
      <c r="H119">
        <f>IFERROR(IF(ISNUMBER(INDEX(SPPR!$E:$Z,MATCH($A119,SPPR!$A:$A,0),5)),$C119*INDEX(SPPR!$E:$Z,MATCH($A119,SPPR!$A:$A,0),5),""),"")</f>
        <v/>
      </c>
      <c r="I119">
        <f>IFERROR(IF(ISNUMBER(INDEX(SPPR!$E:$Z,MATCH($A119,SPPR!$A:$A,0),6)),$C119*INDEX(SPPR!$E:$Z,MATCH($A119,SPPR!$A:$A,0),6),""),"")</f>
        <v/>
      </c>
      <c r="J119">
        <f>IFERROR(IF(ISNUMBER(INDEX(SPPR!$E:$Z,MATCH($A119,SPPR!$A:$A,0),7)),$C119*INDEX(SPPR!$E:$Z,MATCH($A119,SPPR!$A:$A,0),7),""),"")</f>
        <v/>
      </c>
      <c r="K119">
        <f>IFERROR(IF(ISNUMBER(INDEX(SPPR!$E:$Z,MATCH($A119,SPPR!$A:$A,0),8)),$C119*INDEX(SPPR!$E:$Z,MATCH($A119,SPPR!$A:$A,0),8),""),"")</f>
        <v/>
      </c>
      <c r="L119">
        <f>IFERROR(IF(ISNUMBER(INDEX(SPPR!$E:$Z,MATCH($A119,SPPR!$A:$A,0),9)),$C119*INDEX(SPPR!$E:$Z,MATCH($A119,SPPR!$A:$A,0),9),""),"")</f>
        <v/>
      </c>
      <c r="M119">
        <f>IFERROR(IF(ISNUMBER(INDEX(SPPR!$E:$Z,MATCH($A119,SPPR!$A:$A,0),10)),$C119*INDEX(SPPR!$E:$Z,MATCH($A119,SPPR!$A:$A,0),10),""),"")</f>
        <v/>
      </c>
      <c r="N119">
        <f>IFERROR(IF(ISNUMBER(INDEX(SPPR!$E:$Z,MATCH($A119,SPPR!$A:$A,0),11)),$C119*INDEX(SPPR!$E:$Z,MATCH($A119,SPPR!$A:$A,0),11),""),"")</f>
        <v/>
      </c>
      <c r="O119">
        <f>IFERROR(IF(ISNUMBER(INDEX(SPPR!$E:$Z,MATCH($A119,SPPR!$A:$A,0),12)),$C119*INDEX(SPPR!$E:$Z,MATCH($A119,SPPR!$A:$A,0),12),""),"")</f>
        <v/>
      </c>
      <c r="P119">
        <f>IFERROR(IF(ISNUMBER(INDEX(SPPR!$E:$Z,MATCH($A119,SPPR!$A:$A,0),13)),$C119*INDEX(SPPR!$E:$Z,MATCH($A119,SPPR!$A:$A,0),13),""),"")</f>
        <v/>
      </c>
      <c r="Q119">
        <f>IFERROR(IF(ISNUMBER(INDEX(SPPR!$E:$Z,MATCH($A119,SPPR!$A:$A,0),14)),$C119*INDEX(SPPR!$E:$Z,MATCH($A119,SPPR!$A:$A,0),14),""),"")</f>
        <v/>
      </c>
      <c r="R119">
        <f>IFERROR(IF(ISNUMBER(INDEX(SPPR!$E:$Z,MATCH($A119,SPPR!$A:$A,0),15)),$C119*INDEX(SPPR!$E:$Z,MATCH($A119,SPPR!$A:$A,0),15),""),"")</f>
        <v/>
      </c>
      <c r="S119">
        <f>IFERROR(IF(ISNUMBER(INDEX(SPPR!$E:$Z,MATCH($A119,SPPR!$A:$A,0),16)),$C119*INDEX(SPPR!$E:$Z,MATCH($A119,SPPR!$A:$A,0),16),""),"")</f>
        <v/>
      </c>
      <c r="T119">
        <f>IFERROR(IF(ISNUMBER(INDEX(SPPR!$E:$Z,MATCH($A119,SPPR!$A:$A,0),17)),$C119*INDEX(SPPR!$E:$Z,MATCH($A119,SPPR!$A:$A,0),17),""),"")</f>
        <v/>
      </c>
      <c r="U119">
        <f>IFERROR(IF(ISNUMBER(INDEX(SPPR!$E:$Z,MATCH($A119,SPPR!$A:$A,0),18)),$C119*INDEX(SPPR!$E:$Z,MATCH($A119,SPPR!$A:$A,0),18),""),"")</f>
        <v/>
      </c>
      <c r="V119">
        <f>IFERROR(IF(ISNUMBER(INDEX(SPPR!$E:$Z,MATCH($A119,SPPR!$A:$A,0),19)),$C119*INDEX(SPPR!$E:$Z,MATCH($A119,SPPR!$A:$A,0),19),""),"")</f>
        <v/>
      </c>
      <c r="W119">
        <f>IFERROR(IF(ISNUMBER(INDEX(SPPR!$E:$Z,MATCH($A119,SPPR!$A:$A,0),20)),$C119*INDEX(SPPR!$E:$Z,MATCH($A119,SPPR!$A:$A,0),20),""),"")</f>
        <v/>
      </c>
      <c r="X119">
        <f>IFERROR(IF(ISNUMBER(INDEX(SPPR!$E:$Z,MATCH($A119,SPPR!$A:$A,0),21)),$C119*INDEX(SPPR!$E:$Z,MATCH($A119,SPPR!$A:$A,0),21),""),"")</f>
        <v/>
      </c>
      <c r="Y119">
        <f>IFERROR(IF(ISNUMBER(INDEX(SPPR!$E:$Z,MATCH($A119,SPPR!$A:$A,0),22)),$C119*INDEX(SPPR!$E:$Z,MATCH($A119,SPPR!$A:$A,0),22),""),"")</f>
        <v/>
      </c>
    </row>
    <row r="120">
      <c r="A120" t="inlineStr">
        <is>
          <t>Penaeus japonicus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IFERROR(IF(ISNUMBER(INDEX(SPPR!$E:$Z,MATCH($A120,SPPR!$A:$A,0),1)),$C120*INDEX(SPPR!$E:$Z,MATCH($A120,SPPR!$A:$A,0),1),""),"")</f>
        <v/>
      </c>
      <c r="E120">
        <f>IFERROR(IF(ISNUMBER(INDEX(SPPR!$E:$Z,MATCH($A120,SPPR!$A:$A,0),2)),$C120*INDEX(SPPR!$E:$Z,MATCH($A120,SPPR!$A:$A,0),2),""),"")</f>
        <v/>
      </c>
      <c r="F120">
        <f>IFERROR(IF(ISNUMBER(INDEX(SPPR!$E:$Z,MATCH($A120,SPPR!$A:$A,0),3)),$C120*INDEX(SPPR!$E:$Z,MATCH($A120,SPPR!$A:$A,0),3),""),"")</f>
        <v/>
      </c>
      <c r="G120">
        <f>IFERROR(IF(ISNUMBER(INDEX(SPPR!$E:$Z,MATCH($A120,SPPR!$A:$A,0),4)),$C120*INDEX(SPPR!$E:$Z,MATCH($A120,SPPR!$A:$A,0),4),""),"")</f>
        <v/>
      </c>
      <c r="H120">
        <f>IFERROR(IF(ISNUMBER(INDEX(SPPR!$E:$Z,MATCH($A120,SPPR!$A:$A,0),5)),$C120*INDEX(SPPR!$E:$Z,MATCH($A120,SPPR!$A:$A,0),5),""),"")</f>
        <v/>
      </c>
      <c r="I120">
        <f>IFERROR(IF(ISNUMBER(INDEX(SPPR!$E:$Z,MATCH($A120,SPPR!$A:$A,0),6)),$C120*INDEX(SPPR!$E:$Z,MATCH($A120,SPPR!$A:$A,0),6),""),"")</f>
        <v/>
      </c>
      <c r="J120">
        <f>IFERROR(IF(ISNUMBER(INDEX(SPPR!$E:$Z,MATCH($A120,SPPR!$A:$A,0),7)),$C120*INDEX(SPPR!$E:$Z,MATCH($A120,SPPR!$A:$A,0),7),""),"")</f>
        <v/>
      </c>
      <c r="K120">
        <f>IFERROR(IF(ISNUMBER(INDEX(SPPR!$E:$Z,MATCH($A120,SPPR!$A:$A,0),8)),$C120*INDEX(SPPR!$E:$Z,MATCH($A120,SPPR!$A:$A,0),8),""),"")</f>
        <v/>
      </c>
      <c r="L120">
        <f>IFERROR(IF(ISNUMBER(INDEX(SPPR!$E:$Z,MATCH($A120,SPPR!$A:$A,0),9)),$C120*INDEX(SPPR!$E:$Z,MATCH($A120,SPPR!$A:$A,0),9),""),"")</f>
        <v/>
      </c>
      <c r="M120">
        <f>IFERROR(IF(ISNUMBER(INDEX(SPPR!$E:$Z,MATCH($A120,SPPR!$A:$A,0),10)),$C120*INDEX(SPPR!$E:$Z,MATCH($A120,SPPR!$A:$A,0),10),""),"")</f>
        <v/>
      </c>
      <c r="N120">
        <f>IFERROR(IF(ISNUMBER(INDEX(SPPR!$E:$Z,MATCH($A120,SPPR!$A:$A,0),11)),$C120*INDEX(SPPR!$E:$Z,MATCH($A120,SPPR!$A:$A,0),11),""),"")</f>
        <v/>
      </c>
      <c r="O120">
        <f>IFERROR(IF(ISNUMBER(INDEX(SPPR!$E:$Z,MATCH($A120,SPPR!$A:$A,0),12)),$C120*INDEX(SPPR!$E:$Z,MATCH($A120,SPPR!$A:$A,0),12),""),"")</f>
        <v/>
      </c>
      <c r="P120">
        <f>IFERROR(IF(ISNUMBER(INDEX(SPPR!$E:$Z,MATCH($A120,SPPR!$A:$A,0),13)),$C120*INDEX(SPPR!$E:$Z,MATCH($A120,SPPR!$A:$A,0),13),""),"")</f>
        <v/>
      </c>
      <c r="Q120">
        <f>IFERROR(IF(ISNUMBER(INDEX(SPPR!$E:$Z,MATCH($A120,SPPR!$A:$A,0),14)),$C120*INDEX(SPPR!$E:$Z,MATCH($A120,SPPR!$A:$A,0),14),""),"")</f>
        <v/>
      </c>
      <c r="R120">
        <f>IFERROR(IF(ISNUMBER(INDEX(SPPR!$E:$Z,MATCH($A120,SPPR!$A:$A,0),15)),$C120*INDEX(SPPR!$E:$Z,MATCH($A120,SPPR!$A:$A,0),15),""),"")</f>
        <v/>
      </c>
      <c r="S120">
        <f>IFERROR(IF(ISNUMBER(INDEX(SPPR!$E:$Z,MATCH($A120,SPPR!$A:$A,0),16)),$C120*INDEX(SPPR!$E:$Z,MATCH($A120,SPPR!$A:$A,0),16),""),"")</f>
        <v/>
      </c>
      <c r="T120">
        <f>IFERROR(IF(ISNUMBER(INDEX(SPPR!$E:$Z,MATCH($A120,SPPR!$A:$A,0),17)),$C120*INDEX(SPPR!$E:$Z,MATCH($A120,SPPR!$A:$A,0),17),""),"")</f>
        <v/>
      </c>
      <c r="U120">
        <f>IFERROR(IF(ISNUMBER(INDEX(SPPR!$E:$Z,MATCH($A120,SPPR!$A:$A,0),18)),$C120*INDEX(SPPR!$E:$Z,MATCH($A120,SPPR!$A:$A,0),18),""),"")</f>
        <v/>
      </c>
      <c r="V120">
        <f>IFERROR(IF(ISNUMBER(INDEX(SPPR!$E:$Z,MATCH($A120,SPPR!$A:$A,0),19)),$C120*INDEX(SPPR!$E:$Z,MATCH($A120,SPPR!$A:$A,0),19),""),"")</f>
        <v/>
      </c>
      <c r="W120">
        <f>IFERROR(IF(ISNUMBER(INDEX(SPPR!$E:$Z,MATCH($A120,SPPR!$A:$A,0),20)),$C120*INDEX(SPPR!$E:$Z,MATCH($A120,SPPR!$A:$A,0),20),""),"")</f>
        <v/>
      </c>
      <c r="X120">
        <f>IFERROR(IF(ISNUMBER(INDEX(SPPR!$E:$Z,MATCH($A120,SPPR!$A:$A,0),21)),$C120*INDEX(SPPR!$E:$Z,MATCH($A120,SPPR!$A:$A,0),21),""),"")</f>
        <v/>
      </c>
      <c r="Y120">
        <f>IFERROR(IF(ISNUMBER(INDEX(SPPR!$E:$Z,MATCH($A120,SPPR!$A:$A,0),22)),$C120*INDEX(SPPR!$E:$Z,MATCH($A120,SPPR!$A:$A,0),22),""),"")</f>
        <v/>
      </c>
    </row>
    <row r="121">
      <c r="A121" t="inlineStr">
        <is>
          <t>Melicertus canaliculatus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IFERROR(IF(ISNUMBER(INDEX(SPPR!$E:$Z,MATCH($A121,SPPR!$A:$A,0),1)),$C121*INDEX(SPPR!$E:$Z,MATCH($A121,SPPR!$A:$A,0),1),""),"")</f>
        <v/>
      </c>
      <c r="E121">
        <f>IFERROR(IF(ISNUMBER(INDEX(SPPR!$E:$Z,MATCH($A121,SPPR!$A:$A,0),2)),$C121*INDEX(SPPR!$E:$Z,MATCH($A121,SPPR!$A:$A,0),2),""),"")</f>
        <v/>
      </c>
      <c r="F121">
        <f>IFERROR(IF(ISNUMBER(INDEX(SPPR!$E:$Z,MATCH($A121,SPPR!$A:$A,0),3)),$C121*INDEX(SPPR!$E:$Z,MATCH($A121,SPPR!$A:$A,0),3),""),"")</f>
        <v/>
      </c>
      <c r="G121">
        <f>IFERROR(IF(ISNUMBER(INDEX(SPPR!$E:$Z,MATCH($A121,SPPR!$A:$A,0),4)),$C121*INDEX(SPPR!$E:$Z,MATCH($A121,SPPR!$A:$A,0),4),""),"")</f>
        <v/>
      </c>
      <c r="H121">
        <f>IFERROR(IF(ISNUMBER(INDEX(SPPR!$E:$Z,MATCH($A121,SPPR!$A:$A,0),5)),$C121*INDEX(SPPR!$E:$Z,MATCH($A121,SPPR!$A:$A,0),5),""),"")</f>
        <v/>
      </c>
      <c r="I121">
        <f>IFERROR(IF(ISNUMBER(INDEX(SPPR!$E:$Z,MATCH($A121,SPPR!$A:$A,0),6)),$C121*INDEX(SPPR!$E:$Z,MATCH($A121,SPPR!$A:$A,0),6),""),"")</f>
        <v/>
      </c>
      <c r="J121">
        <f>IFERROR(IF(ISNUMBER(INDEX(SPPR!$E:$Z,MATCH($A121,SPPR!$A:$A,0),7)),$C121*INDEX(SPPR!$E:$Z,MATCH($A121,SPPR!$A:$A,0),7),""),"")</f>
        <v/>
      </c>
      <c r="K121">
        <f>IFERROR(IF(ISNUMBER(INDEX(SPPR!$E:$Z,MATCH($A121,SPPR!$A:$A,0),8)),$C121*INDEX(SPPR!$E:$Z,MATCH($A121,SPPR!$A:$A,0),8),""),"")</f>
        <v/>
      </c>
      <c r="L121">
        <f>IFERROR(IF(ISNUMBER(INDEX(SPPR!$E:$Z,MATCH($A121,SPPR!$A:$A,0),9)),$C121*INDEX(SPPR!$E:$Z,MATCH($A121,SPPR!$A:$A,0),9),""),"")</f>
        <v/>
      </c>
      <c r="M121">
        <f>IFERROR(IF(ISNUMBER(INDEX(SPPR!$E:$Z,MATCH($A121,SPPR!$A:$A,0),10)),$C121*INDEX(SPPR!$E:$Z,MATCH($A121,SPPR!$A:$A,0),10),""),"")</f>
        <v/>
      </c>
      <c r="N121">
        <f>IFERROR(IF(ISNUMBER(INDEX(SPPR!$E:$Z,MATCH($A121,SPPR!$A:$A,0),11)),$C121*INDEX(SPPR!$E:$Z,MATCH($A121,SPPR!$A:$A,0),11),""),"")</f>
        <v/>
      </c>
      <c r="O121">
        <f>IFERROR(IF(ISNUMBER(INDEX(SPPR!$E:$Z,MATCH($A121,SPPR!$A:$A,0),12)),$C121*INDEX(SPPR!$E:$Z,MATCH($A121,SPPR!$A:$A,0),12),""),"")</f>
        <v/>
      </c>
      <c r="P121">
        <f>IFERROR(IF(ISNUMBER(INDEX(SPPR!$E:$Z,MATCH($A121,SPPR!$A:$A,0),13)),$C121*INDEX(SPPR!$E:$Z,MATCH($A121,SPPR!$A:$A,0),13),""),"")</f>
        <v/>
      </c>
      <c r="Q121">
        <f>IFERROR(IF(ISNUMBER(INDEX(SPPR!$E:$Z,MATCH($A121,SPPR!$A:$A,0),14)),$C121*INDEX(SPPR!$E:$Z,MATCH($A121,SPPR!$A:$A,0),14),""),"")</f>
        <v/>
      </c>
      <c r="R121">
        <f>IFERROR(IF(ISNUMBER(INDEX(SPPR!$E:$Z,MATCH($A121,SPPR!$A:$A,0),15)),$C121*INDEX(SPPR!$E:$Z,MATCH($A121,SPPR!$A:$A,0),15),""),"")</f>
        <v/>
      </c>
      <c r="S121">
        <f>IFERROR(IF(ISNUMBER(INDEX(SPPR!$E:$Z,MATCH($A121,SPPR!$A:$A,0),16)),$C121*INDEX(SPPR!$E:$Z,MATCH($A121,SPPR!$A:$A,0),16),""),"")</f>
        <v/>
      </c>
      <c r="T121">
        <f>IFERROR(IF(ISNUMBER(INDEX(SPPR!$E:$Z,MATCH($A121,SPPR!$A:$A,0),17)),$C121*INDEX(SPPR!$E:$Z,MATCH($A121,SPPR!$A:$A,0),17),""),"")</f>
        <v/>
      </c>
      <c r="U121">
        <f>IFERROR(IF(ISNUMBER(INDEX(SPPR!$E:$Z,MATCH($A121,SPPR!$A:$A,0),18)),$C121*INDEX(SPPR!$E:$Z,MATCH($A121,SPPR!$A:$A,0),18),""),"")</f>
        <v/>
      </c>
      <c r="V121">
        <f>IFERROR(IF(ISNUMBER(INDEX(SPPR!$E:$Z,MATCH($A121,SPPR!$A:$A,0),19)),$C121*INDEX(SPPR!$E:$Z,MATCH($A121,SPPR!$A:$A,0),19),""),"")</f>
        <v/>
      </c>
      <c r="W121">
        <f>IFERROR(IF(ISNUMBER(INDEX(SPPR!$E:$Z,MATCH($A121,SPPR!$A:$A,0),20)),$C121*INDEX(SPPR!$E:$Z,MATCH($A121,SPPR!$A:$A,0),20),""),"")</f>
        <v/>
      </c>
      <c r="X121">
        <f>IFERROR(IF(ISNUMBER(INDEX(SPPR!$E:$Z,MATCH($A121,SPPR!$A:$A,0),21)),$C121*INDEX(SPPR!$E:$Z,MATCH($A121,SPPR!$A:$A,0),21),""),"")</f>
        <v/>
      </c>
      <c r="Y121">
        <f>IFERROR(IF(ISNUMBER(INDEX(SPPR!$E:$Z,MATCH($A121,SPPR!$A:$A,0),22)),$C121*INDEX(SPPR!$E:$Z,MATCH($A121,SPPR!$A:$A,0),22),""),"")</f>
        <v/>
      </c>
    </row>
    <row r="122">
      <c r="A122" t="inlineStr">
        <is>
          <t>Plectorhinchus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IFERROR(IF(ISNUMBER(INDEX(SPPR!$E:$Z,MATCH($A122,SPPR!$A:$A,0),1)),$C122*INDEX(SPPR!$E:$Z,MATCH($A122,SPPR!$A:$A,0),1),""),"")</f>
        <v/>
      </c>
      <c r="E122">
        <f>IFERROR(IF(ISNUMBER(INDEX(SPPR!$E:$Z,MATCH($A122,SPPR!$A:$A,0),2)),$C122*INDEX(SPPR!$E:$Z,MATCH($A122,SPPR!$A:$A,0),2),""),"")</f>
        <v/>
      </c>
      <c r="F122">
        <f>IFERROR(IF(ISNUMBER(INDEX(SPPR!$E:$Z,MATCH($A122,SPPR!$A:$A,0),3)),$C122*INDEX(SPPR!$E:$Z,MATCH($A122,SPPR!$A:$A,0),3),""),"")</f>
        <v/>
      </c>
      <c r="G122">
        <f>IFERROR(IF(ISNUMBER(INDEX(SPPR!$E:$Z,MATCH($A122,SPPR!$A:$A,0),4)),$C122*INDEX(SPPR!$E:$Z,MATCH($A122,SPPR!$A:$A,0),4),""),"")</f>
        <v/>
      </c>
      <c r="H122">
        <f>IFERROR(IF(ISNUMBER(INDEX(SPPR!$E:$Z,MATCH($A122,SPPR!$A:$A,0),5)),$C122*INDEX(SPPR!$E:$Z,MATCH($A122,SPPR!$A:$A,0),5),""),"")</f>
        <v/>
      </c>
      <c r="I122">
        <f>IFERROR(IF(ISNUMBER(INDEX(SPPR!$E:$Z,MATCH($A122,SPPR!$A:$A,0),6)),$C122*INDEX(SPPR!$E:$Z,MATCH($A122,SPPR!$A:$A,0),6),""),"")</f>
        <v/>
      </c>
      <c r="J122">
        <f>IFERROR(IF(ISNUMBER(INDEX(SPPR!$E:$Z,MATCH($A122,SPPR!$A:$A,0),7)),$C122*INDEX(SPPR!$E:$Z,MATCH($A122,SPPR!$A:$A,0),7),""),"")</f>
        <v/>
      </c>
      <c r="K122">
        <f>IFERROR(IF(ISNUMBER(INDEX(SPPR!$E:$Z,MATCH($A122,SPPR!$A:$A,0),8)),$C122*INDEX(SPPR!$E:$Z,MATCH($A122,SPPR!$A:$A,0),8),""),"")</f>
        <v/>
      </c>
      <c r="L122">
        <f>IFERROR(IF(ISNUMBER(INDEX(SPPR!$E:$Z,MATCH($A122,SPPR!$A:$A,0),9)),$C122*INDEX(SPPR!$E:$Z,MATCH($A122,SPPR!$A:$A,0),9),""),"")</f>
        <v/>
      </c>
      <c r="M122">
        <f>IFERROR(IF(ISNUMBER(INDEX(SPPR!$E:$Z,MATCH($A122,SPPR!$A:$A,0),10)),$C122*INDEX(SPPR!$E:$Z,MATCH($A122,SPPR!$A:$A,0),10),""),"")</f>
        <v/>
      </c>
      <c r="N122">
        <f>IFERROR(IF(ISNUMBER(INDEX(SPPR!$E:$Z,MATCH($A122,SPPR!$A:$A,0),11)),$C122*INDEX(SPPR!$E:$Z,MATCH($A122,SPPR!$A:$A,0),11),""),"")</f>
        <v/>
      </c>
      <c r="O122">
        <f>IFERROR(IF(ISNUMBER(INDEX(SPPR!$E:$Z,MATCH($A122,SPPR!$A:$A,0),12)),$C122*INDEX(SPPR!$E:$Z,MATCH($A122,SPPR!$A:$A,0),12),""),"")</f>
        <v/>
      </c>
      <c r="P122">
        <f>IFERROR(IF(ISNUMBER(INDEX(SPPR!$E:$Z,MATCH($A122,SPPR!$A:$A,0),13)),$C122*INDEX(SPPR!$E:$Z,MATCH($A122,SPPR!$A:$A,0),13),""),"")</f>
        <v/>
      </c>
      <c r="Q122">
        <f>IFERROR(IF(ISNUMBER(INDEX(SPPR!$E:$Z,MATCH($A122,SPPR!$A:$A,0),14)),$C122*INDEX(SPPR!$E:$Z,MATCH($A122,SPPR!$A:$A,0),14),""),"")</f>
        <v/>
      </c>
      <c r="R122">
        <f>IFERROR(IF(ISNUMBER(INDEX(SPPR!$E:$Z,MATCH($A122,SPPR!$A:$A,0),15)),$C122*INDEX(SPPR!$E:$Z,MATCH($A122,SPPR!$A:$A,0),15),""),"")</f>
        <v/>
      </c>
      <c r="S122">
        <f>IFERROR(IF(ISNUMBER(INDEX(SPPR!$E:$Z,MATCH($A122,SPPR!$A:$A,0),16)),$C122*INDEX(SPPR!$E:$Z,MATCH($A122,SPPR!$A:$A,0),16),""),"")</f>
        <v/>
      </c>
      <c r="T122">
        <f>IFERROR(IF(ISNUMBER(INDEX(SPPR!$E:$Z,MATCH($A122,SPPR!$A:$A,0),17)),$C122*INDEX(SPPR!$E:$Z,MATCH($A122,SPPR!$A:$A,0),17),""),"")</f>
        <v/>
      </c>
      <c r="U122">
        <f>IFERROR(IF(ISNUMBER(INDEX(SPPR!$E:$Z,MATCH($A122,SPPR!$A:$A,0),18)),$C122*INDEX(SPPR!$E:$Z,MATCH($A122,SPPR!$A:$A,0),18),""),"")</f>
        <v/>
      </c>
      <c r="V122">
        <f>IFERROR(IF(ISNUMBER(INDEX(SPPR!$E:$Z,MATCH($A122,SPPR!$A:$A,0),19)),$C122*INDEX(SPPR!$E:$Z,MATCH($A122,SPPR!$A:$A,0),19),""),"")</f>
        <v/>
      </c>
      <c r="W122">
        <f>IFERROR(IF(ISNUMBER(INDEX(SPPR!$E:$Z,MATCH($A122,SPPR!$A:$A,0),20)),$C122*INDEX(SPPR!$E:$Z,MATCH($A122,SPPR!$A:$A,0),20),""),"")</f>
        <v/>
      </c>
      <c r="X122">
        <f>IFERROR(IF(ISNUMBER(INDEX(SPPR!$E:$Z,MATCH($A122,SPPR!$A:$A,0),21)),$C122*INDEX(SPPR!$E:$Z,MATCH($A122,SPPR!$A:$A,0),21),""),"")</f>
        <v/>
      </c>
      <c r="Y122">
        <f>IFERROR(IF(ISNUMBER(INDEX(SPPR!$E:$Z,MATCH($A122,SPPR!$A:$A,0),22)),$C122*INDEX(SPPR!$E:$Z,MATCH($A122,SPPR!$A:$A,0),22),""),"")</f>
        <v/>
      </c>
    </row>
    <row r="123">
      <c r="A123" t="inlineStr">
        <is>
          <t>Pampus argenteus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IFERROR(IF(ISNUMBER(INDEX(SPPR!$E:$Z,MATCH($A123,SPPR!$A:$A,0),1)),$C123*INDEX(SPPR!$E:$Z,MATCH($A123,SPPR!$A:$A,0),1),""),"")</f>
        <v/>
      </c>
      <c r="E123">
        <f>IFERROR(IF(ISNUMBER(INDEX(SPPR!$E:$Z,MATCH($A123,SPPR!$A:$A,0),2)),$C123*INDEX(SPPR!$E:$Z,MATCH($A123,SPPR!$A:$A,0),2),""),"")</f>
        <v/>
      </c>
      <c r="F123">
        <f>IFERROR(IF(ISNUMBER(INDEX(SPPR!$E:$Z,MATCH($A123,SPPR!$A:$A,0),3)),$C123*INDEX(SPPR!$E:$Z,MATCH($A123,SPPR!$A:$A,0),3),""),"")</f>
        <v/>
      </c>
      <c r="G123">
        <f>IFERROR(IF(ISNUMBER(INDEX(SPPR!$E:$Z,MATCH($A123,SPPR!$A:$A,0),4)),$C123*INDEX(SPPR!$E:$Z,MATCH($A123,SPPR!$A:$A,0),4),""),"")</f>
        <v/>
      </c>
      <c r="H123">
        <f>IFERROR(IF(ISNUMBER(INDEX(SPPR!$E:$Z,MATCH($A123,SPPR!$A:$A,0),5)),$C123*INDEX(SPPR!$E:$Z,MATCH($A123,SPPR!$A:$A,0),5),""),"")</f>
        <v/>
      </c>
      <c r="I123">
        <f>IFERROR(IF(ISNUMBER(INDEX(SPPR!$E:$Z,MATCH($A123,SPPR!$A:$A,0),6)),$C123*INDEX(SPPR!$E:$Z,MATCH($A123,SPPR!$A:$A,0),6),""),"")</f>
        <v/>
      </c>
      <c r="J123">
        <f>IFERROR(IF(ISNUMBER(INDEX(SPPR!$E:$Z,MATCH($A123,SPPR!$A:$A,0),7)),$C123*INDEX(SPPR!$E:$Z,MATCH($A123,SPPR!$A:$A,0),7),""),"")</f>
        <v/>
      </c>
      <c r="K123">
        <f>IFERROR(IF(ISNUMBER(INDEX(SPPR!$E:$Z,MATCH($A123,SPPR!$A:$A,0),8)),$C123*INDEX(SPPR!$E:$Z,MATCH($A123,SPPR!$A:$A,0),8),""),"")</f>
        <v/>
      </c>
      <c r="L123">
        <f>IFERROR(IF(ISNUMBER(INDEX(SPPR!$E:$Z,MATCH($A123,SPPR!$A:$A,0),9)),$C123*INDEX(SPPR!$E:$Z,MATCH($A123,SPPR!$A:$A,0),9),""),"")</f>
        <v/>
      </c>
      <c r="M123">
        <f>IFERROR(IF(ISNUMBER(INDEX(SPPR!$E:$Z,MATCH($A123,SPPR!$A:$A,0),10)),$C123*INDEX(SPPR!$E:$Z,MATCH($A123,SPPR!$A:$A,0),10),""),"")</f>
        <v/>
      </c>
      <c r="N123">
        <f>IFERROR(IF(ISNUMBER(INDEX(SPPR!$E:$Z,MATCH($A123,SPPR!$A:$A,0),11)),$C123*INDEX(SPPR!$E:$Z,MATCH($A123,SPPR!$A:$A,0),11),""),"")</f>
        <v/>
      </c>
      <c r="O123">
        <f>IFERROR(IF(ISNUMBER(INDEX(SPPR!$E:$Z,MATCH($A123,SPPR!$A:$A,0),12)),$C123*INDEX(SPPR!$E:$Z,MATCH($A123,SPPR!$A:$A,0),12),""),"")</f>
        <v/>
      </c>
      <c r="P123">
        <f>IFERROR(IF(ISNUMBER(INDEX(SPPR!$E:$Z,MATCH($A123,SPPR!$A:$A,0),13)),$C123*INDEX(SPPR!$E:$Z,MATCH($A123,SPPR!$A:$A,0),13),""),"")</f>
        <v/>
      </c>
      <c r="Q123">
        <f>IFERROR(IF(ISNUMBER(INDEX(SPPR!$E:$Z,MATCH($A123,SPPR!$A:$A,0),14)),$C123*INDEX(SPPR!$E:$Z,MATCH($A123,SPPR!$A:$A,0),14),""),"")</f>
        <v/>
      </c>
      <c r="R123">
        <f>IFERROR(IF(ISNUMBER(INDEX(SPPR!$E:$Z,MATCH($A123,SPPR!$A:$A,0),15)),$C123*INDEX(SPPR!$E:$Z,MATCH($A123,SPPR!$A:$A,0),15),""),"")</f>
        <v/>
      </c>
      <c r="S123">
        <f>IFERROR(IF(ISNUMBER(INDEX(SPPR!$E:$Z,MATCH($A123,SPPR!$A:$A,0),16)),$C123*INDEX(SPPR!$E:$Z,MATCH($A123,SPPR!$A:$A,0),16),""),"")</f>
        <v/>
      </c>
      <c r="T123">
        <f>IFERROR(IF(ISNUMBER(INDEX(SPPR!$E:$Z,MATCH($A123,SPPR!$A:$A,0),17)),$C123*INDEX(SPPR!$E:$Z,MATCH($A123,SPPR!$A:$A,0),17),""),"")</f>
        <v/>
      </c>
      <c r="U123">
        <f>IFERROR(IF(ISNUMBER(INDEX(SPPR!$E:$Z,MATCH($A123,SPPR!$A:$A,0),18)),$C123*INDEX(SPPR!$E:$Z,MATCH($A123,SPPR!$A:$A,0),18),""),"")</f>
        <v/>
      </c>
      <c r="V123">
        <f>IFERROR(IF(ISNUMBER(INDEX(SPPR!$E:$Z,MATCH($A123,SPPR!$A:$A,0),19)),$C123*INDEX(SPPR!$E:$Z,MATCH($A123,SPPR!$A:$A,0),19),""),"")</f>
        <v/>
      </c>
      <c r="W123">
        <f>IFERROR(IF(ISNUMBER(INDEX(SPPR!$E:$Z,MATCH($A123,SPPR!$A:$A,0),20)),$C123*INDEX(SPPR!$E:$Z,MATCH($A123,SPPR!$A:$A,0),20),""),"")</f>
        <v/>
      </c>
      <c r="X123">
        <f>IFERROR(IF(ISNUMBER(INDEX(SPPR!$E:$Z,MATCH($A123,SPPR!$A:$A,0),21)),$C123*INDEX(SPPR!$E:$Z,MATCH($A123,SPPR!$A:$A,0),21),""),"")</f>
        <v/>
      </c>
      <c r="Y123">
        <f>IFERROR(IF(ISNUMBER(INDEX(SPPR!$E:$Z,MATCH($A123,SPPR!$A:$A,0),22)),$C123*INDEX(SPPR!$E:$Z,MATCH($A123,SPPR!$A:$A,0),22),""),"")</f>
        <v/>
      </c>
    </row>
    <row r="124">
      <c r="A124" t="inlineStr">
        <is>
          <t>Muraenesox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IFERROR(IF(ISNUMBER(INDEX(SPPR!$E:$Z,MATCH($A124,SPPR!$A:$A,0),1)),$C124*INDEX(SPPR!$E:$Z,MATCH($A124,SPPR!$A:$A,0),1),""),"")</f>
        <v/>
      </c>
      <c r="E124">
        <f>IFERROR(IF(ISNUMBER(INDEX(SPPR!$E:$Z,MATCH($A124,SPPR!$A:$A,0),2)),$C124*INDEX(SPPR!$E:$Z,MATCH($A124,SPPR!$A:$A,0),2),""),"")</f>
        <v/>
      </c>
      <c r="F124">
        <f>IFERROR(IF(ISNUMBER(INDEX(SPPR!$E:$Z,MATCH($A124,SPPR!$A:$A,0),3)),$C124*INDEX(SPPR!$E:$Z,MATCH($A124,SPPR!$A:$A,0),3),""),"")</f>
        <v/>
      </c>
      <c r="G124">
        <f>IFERROR(IF(ISNUMBER(INDEX(SPPR!$E:$Z,MATCH($A124,SPPR!$A:$A,0),4)),$C124*INDEX(SPPR!$E:$Z,MATCH($A124,SPPR!$A:$A,0),4),""),"")</f>
        <v/>
      </c>
      <c r="H124">
        <f>IFERROR(IF(ISNUMBER(INDEX(SPPR!$E:$Z,MATCH($A124,SPPR!$A:$A,0),5)),$C124*INDEX(SPPR!$E:$Z,MATCH($A124,SPPR!$A:$A,0),5),""),"")</f>
        <v/>
      </c>
      <c r="I124">
        <f>IFERROR(IF(ISNUMBER(INDEX(SPPR!$E:$Z,MATCH($A124,SPPR!$A:$A,0),6)),$C124*INDEX(SPPR!$E:$Z,MATCH($A124,SPPR!$A:$A,0),6),""),"")</f>
        <v/>
      </c>
      <c r="J124">
        <f>IFERROR(IF(ISNUMBER(INDEX(SPPR!$E:$Z,MATCH($A124,SPPR!$A:$A,0),7)),$C124*INDEX(SPPR!$E:$Z,MATCH($A124,SPPR!$A:$A,0),7),""),"")</f>
        <v/>
      </c>
      <c r="K124">
        <f>IFERROR(IF(ISNUMBER(INDEX(SPPR!$E:$Z,MATCH($A124,SPPR!$A:$A,0),8)),$C124*INDEX(SPPR!$E:$Z,MATCH($A124,SPPR!$A:$A,0),8),""),"")</f>
        <v/>
      </c>
      <c r="L124">
        <f>IFERROR(IF(ISNUMBER(INDEX(SPPR!$E:$Z,MATCH($A124,SPPR!$A:$A,0),9)),$C124*INDEX(SPPR!$E:$Z,MATCH($A124,SPPR!$A:$A,0),9),""),"")</f>
        <v/>
      </c>
      <c r="M124">
        <f>IFERROR(IF(ISNUMBER(INDEX(SPPR!$E:$Z,MATCH($A124,SPPR!$A:$A,0),10)),$C124*INDEX(SPPR!$E:$Z,MATCH($A124,SPPR!$A:$A,0),10),""),"")</f>
        <v/>
      </c>
      <c r="N124">
        <f>IFERROR(IF(ISNUMBER(INDEX(SPPR!$E:$Z,MATCH($A124,SPPR!$A:$A,0),11)),$C124*INDEX(SPPR!$E:$Z,MATCH($A124,SPPR!$A:$A,0),11),""),"")</f>
        <v/>
      </c>
      <c r="O124">
        <f>IFERROR(IF(ISNUMBER(INDEX(SPPR!$E:$Z,MATCH($A124,SPPR!$A:$A,0),12)),$C124*INDEX(SPPR!$E:$Z,MATCH($A124,SPPR!$A:$A,0),12),""),"")</f>
        <v/>
      </c>
      <c r="P124">
        <f>IFERROR(IF(ISNUMBER(INDEX(SPPR!$E:$Z,MATCH($A124,SPPR!$A:$A,0),13)),$C124*INDEX(SPPR!$E:$Z,MATCH($A124,SPPR!$A:$A,0),13),""),"")</f>
        <v/>
      </c>
      <c r="Q124">
        <f>IFERROR(IF(ISNUMBER(INDEX(SPPR!$E:$Z,MATCH($A124,SPPR!$A:$A,0),14)),$C124*INDEX(SPPR!$E:$Z,MATCH($A124,SPPR!$A:$A,0),14),""),"")</f>
        <v/>
      </c>
      <c r="R124">
        <f>IFERROR(IF(ISNUMBER(INDEX(SPPR!$E:$Z,MATCH($A124,SPPR!$A:$A,0),15)),$C124*INDEX(SPPR!$E:$Z,MATCH($A124,SPPR!$A:$A,0),15),""),"")</f>
        <v/>
      </c>
      <c r="S124">
        <f>IFERROR(IF(ISNUMBER(INDEX(SPPR!$E:$Z,MATCH($A124,SPPR!$A:$A,0),16)),$C124*INDEX(SPPR!$E:$Z,MATCH($A124,SPPR!$A:$A,0),16),""),"")</f>
        <v/>
      </c>
      <c r="T124">
        <f>IFERROR(IF(ISNUMBER(INDEX(SPPR!$E:$Z,MATCH($A124,SPPR!$A:$A,0),17)),$C124*INDEX(SPPR!$E:$Z,MATCH($A124,SPPR!$A:$A,0),17),""),"")</f>
        <v/>
      </c>
      <c r="U124">
        <f>IFERROR(IF(ISNUMBER(INDEX(SPPR!$E:$Z,MATCH($A124,SPPR!$A:$A,0),18)),$C124*INDEX(SPPR!$E:$Z,MATCH($A124,SPPR!$A:$A,0),18),""),"")</f>
        <v/>
      </c>
      <c r="V124">
        <f>IFERROR(IF(ISNUMBER(INDEX(SPPR!$E:$Z,MATCH($A124,SPPR!$A:$A,0),19)),$C124*INDEX(SPPR!$E:$Z,MATCH($A124,SPPR!$A:$A,0),19),""),"")</f>
        <v/>
      </c>
      <c r="W124">
        <f>IFERROR(IF(ISNUMBER(INDEX(SPPR!$E:$Z,MATCH($A124,SPPR!$A:$A,0),20)),$C124*INDEX(SPPR!$E:$Z,MATCH($A124,SPPR!$A:$A,0),20),""),"")</f>
        <v/>
      </c>
      <c r="X124">
        <f>IFERROR(IF(ISNUMBER(INDEX(SPPR!$E:$Z,MATCH($A124,SPPR!$A:$A,0),21)),$C124*INDEX(SPPR!$E:$Z,MATCH($A124,SPPR!$A:$A,0),21),""),"")</f>
        <v/>
      </c>
      <c r="Y124">
        <f>IFERROR(IF(ISNUMBER(INDEX(SPPR!$E:$Z,MATCH($A124,SPPR!$A:$A,0),22)),$C124*INDEX(SPPR!$E:$Z,MATCH($A124,SPPR!$A:$A,0),22),""),"")</f>
        <v/>
      </c>
    </row>
    <row r="125">
      <c r="A125" t="inlineStr">
        <is>
          <t>Scomberomorus commerson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IFERROR(IF(ISNUMBER(INDEX(SPPR!$E:$Z,MATCH($A125,SPPR!$A:$A,0),1)),$C125*INDEX(SPPR!$E:$Z,MATCH($A125,SPPR!$A:$A,0),1),""),"")</f>
        <v/>
      </c>
      <c r="E125">
        <f>IFERROR(IF(ISNUMBER(INDEX(SPPR!$E:$Z,MATCH($A125,SPPR!$A:$A,0),2)),$C125*INDEX(SPPR!$E:$Z,MATCH($A125,SPPR!$A:$A,0),2),""),"")</f>
        <v/>
      </c>
      <c r="F125">
        <f>IFERROR(IF(ISNUMBER(INDEX(SPPR!$E:$Z,MATCH($A125,SPPR!$A:$A,0),3)),$C125*INDEX(SPPR!$E:$Z,MATCH($A125,SPPR!$A:$A,0),3),""),"")</f>
        <v/>
      </c>
      <c r="G125">
        <f>IFERROR(IF(ISNUMBER(INDEX(SPPR!$E:$Z,MATCH($A125,SPPR!$A:$A,0),4)),$C125*INDEX(SPPR!$E:$Z,MATCH($A125,SPPR!$A:$A,0),4),""),"")</f>
        <v/>
      </c>
      <c r="H125">
        <f>IFERROR(IF(ISNUMBER(INDEX(SPPR!$E:$Z,MATCH($A125,SPPR!$A:$A,0),5)),$C125*INDEX(SPPR!$E:$Z,MATCH($A125,SPPR!$A:$A,0),5),""),"")</f>
        <v/>
      </c>
      <c r="I125">
        <f>IFERROR(IF(ISNUMBER(INDEX(SPPR!$E:$Z,MATCH($A125,SPPR!$A:$A,0),6)),$C125*INDEX(SPPR!$E:$Z,MATCH($A125,SPPR!$A:$A,0),6),""),"")</f>
        <v/>
      </c>
      <c r="J125">
        <f>IFERROR(IF(ISNUMBER(INDEX(SPPR!$E:$Z,MATCH($A125,SPPR!$A:$A,0),7)),$C125*INDEX(SPPR!$E:$Z,MATCH($A125,SPPR!$A:$A,0),7),""),"")</f>
        <v/>
      </c>
      <c r="K125">
        <f>IFERROR(IF(ISNUMBER(INDEX(SPPR!$E:$Z,MATCH($A125,SPPR!$A:$A,0),8)),$C125*INDEX(SPPR!$E:$Z,MATCH($A125,SPPR!$A:$A,0),8),""),"")</f>
        <v/>
      </c>
      <c r="L125">
        <f>IFERROR(IF(ISNUMBER(INDEX(SPPR!$E:$Z,MATCH($A125,SPPR!$A:$A,0),9)),$C125*INDEX(SPPR!$E:$Z,MATCH($A125,SPPR!$A:$A,0),9),""),"")</f>
        <v/>
      </c>
      <c r="M125">
        <f>IFERROR(IF(ISNUMBER(INDEX(SPPR!$E:$Z,MATCH($A125,SPPR!$A:$A,0),10)),$C125*INDEX(SPPR!$E:$Z,MATCH($A125,SPPR!$A:$A,0),10),""),"")</f>
        <v/>
      </c>
      <c r="N125">
        <f>IFERROR(IF(ISNUMBER(INDEX(SPPR!$E:$Z,MATCH($A125,SPPR!$A:$A,0),11)),$C125*INDEX(SPPR!$E:$Z,MATCH($A125,SPPR!$A:$A,0),11),""),"")</f>
        <v/>
      </c>
      <c r="O125">
        <f>IFERROR(IF(ISNUMBER(INDEX(SPPR!$E:$Z,MATCH($A125,SPPR!$A:$A,0),12)),$C125*INDEX(SPPR!$E:$Z,MATCH($A125,SPPR!$A:$A,0),12),""),"")</f>
        <v/>
      </c>
      <c r="P125">
        <f>IFERROR(IF(ISNUMBER(INDEX(SPPR!$E:$Z,MATCH($A125,SPPR!$A:$A,0),13)),$C125*INDEX(SPPR!$E:$Z,MATCH($A125,SPPR!$A:$A,0),13),""),"")</f>
        <v/>
      </c>
      <c r="Q125">
        <f>IFERROR(IF(ISNUMBER(INDEX(SPPR!$E:$Z,MATCH($A125,SPPR!$A:$A,0),14)),$C125*INDEX(SPPR!$E:$Z,MATCH($A125,SPPR!$A:$A,0),14),""),"")</f>
        <v/>
      </c>
      <c r="R125">
        <f>IFERROR(IF(ISNUMBER(INDEX(SPPR!$E:$Z,MATCH($A125,SPPR!$A:$A,0),15)),$C125*INDEX(SPPR!$E:$Z,MATCH($A125,SPPR!$A:$A,0),15),""),"")</f>
        <v/>
      </c>
      <c r="S125">
        <f>IFERROR(IF(ISNUMBER(INDEX(SPPR!$E:$Z,MATCH($A125,SPPR!$A:$A,0),16)),$C125*INDEX(SPPR!$E:$Z,MATCH($A125,SPPR!$A:$A,0),16),""),"")</f>
        <v/>
      </c>
      <c r="T125">
        <f>IFERROR(IF(ISNUMBER(INDEX(SPPR!$E:$Z,MATCH($A125,SPPR!$A:$A,0),17)),$C125*INDEX(SPPR!$E:$Z,MATCH($A125,SPPR!$A:$A,0),17),""),"")</f>
        <v/>
      </c>
      <c r="U125">
        <f>IFERROR(IF(ISNUMBER(INDEX(SPPR!$E:$Z,MATCH($A125,SPPR!$A:$A,0),18)),$C125*INDEX(SPPR!$E:$Z,MATCH($A125,SPPR!$A:$A,0),18),""),"")</f>
        <v/>
      </c>
      <c r="V125">
        <f>IFERROR(IF(ISNUMBER(INDEX(SPPR!$E:$Z,MATCH($A125,SPPR!$A:$A,0),19)),$C125*INDEX(SPPR!$E:$Z,MATCH($A125,SPPR!$A:$A,0),19),""),"")</f>
        <v/>
      </c>
      <c r="W125">
        <f>IFERROR(IF(ISNUMBER(INDEX(SPPR!$E:$Z,MATCH($A125,SPPR!$A:$A,0),20)),$C125*INDEX(SPPR!$E:$Z,MATCH($A125,SPPR!$A:$A,0),20),""),"")</f>
        <v/>
      </c>
      <c r="X125">
        <f>IFERROR(IF(ISNUMBER(INDEX(SPPR!$E:$Z,MATCH($A125,SPPR!$A:$A,0),21)),$C125*INDEX(SPPR!$E:$Z,MATCH($A125,SPPR!$A:$A,0),21),""),"")</f>
        <v/>
      </c>
      <c r="Y125">
        <f>IFERROR(IF(ISNUMBER(INDEX(SPPR!$E:$Z,MATCH($A125,SPPR!$A:$A,0),22)),$C125*INDEX(SPPR!$E:$Z,MATCH($A125,SPPR!$A:$A,0),22),""),"")</f>
        <v/>
      </c>
    </row>
    <row r="126">
      <c r="A126" t="inlineStr">
        <is>
          <t>Clupeiformes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IFERROR(IF(ISNUMBER(INDEX(SPPR!$E:$Z,MATCH($A126,SPPR!$A:$A,0),1)),$C126*INDEX(SPPR!$E:$Z,MATCH($A126,SPPR!$A:$A,0),1),""),"")</f>
        <v/>
      </c>
      <c r="E126">
        <f>IFERROR(IF(ISNUMBER(INDEX(SPPR!$E:$Z,MATCH($A126,SPPR!$A:$A,0),2)),$C126*INDEX(SPPR!$E:$Z,MATCH($A126,SPPR!$A:$A,0),2),""),"")</f>
        <v/>
      </c>
      <c r="F126">
        <f>IFERROR(IF(ISNUMBER(INDEX(SPPR!$E:$Z,MATCH($A126,SPPR!$A:$A,0),3)),$C126*INDEX(SPPR!$E:$Z,MATCH($A126,SPPR!$A:$A,0),3),""),"")</f>
        <v/>
      </c>
      <c r="G126">
        <f>IFERROR(IF(ISNUMBER(INDEX(SPPR!$E:$Z,MATCH($A126,SPPR!$A:$A,0),4)),$C126*INDEX(SPPR!$E:$Z,MATCH($A126,SPPR!$A:$A,0),4),""),"")</f>
        <v/>
      </c>
      <c r="H126">
        <f>IFERROR(IF(ISNUMBER(INDEX(SPPR!$E:$Z,MATCH($A126,SPPR!$A:$A,0),5)),$C126*INDEX(SPPR!$E:$Z,MATCH($A126,SPPR!$A:$A,0),5),""),"")</f>
        <v/>
      </c>
      <c r="I126">
        <f>IFERROR(IF(ISNUMBER(INDEX(SPPR!$E:$Z,MATCH($A126,SPPR!$A:$A,0),6)),$C126*INDEX(SPPR!$E:$Z,MATCH($A126,SPPR!$A:$A,0),6),""),"")</f>
        <v/>
      </c>
      <c r="J126">
        <f>IFERROR(IF(ISNUMBER(INDEX(SPPR!$E:$Z,MATCH($A126,SPPR!$A:$A,0),7)),$C126*INDEX(SPPR!$E:$Z,MATCH($A126,SPPR!$A:$A,0),7),""),"")</f>
        <v/>
      </c>
      <c r="K126">
        <f>IFERROR(IF(ISNUMBER(INDEX(SPPR!$E:$Z,MATCH($A126,SPPR!$A:$A,0),8)),$C126*INDEX(SPPR!$E:$Z,MATCH($A126,SPPR!$A:$A,0),8),""),"")</f>
        <v/>
      </c>
      <c r="L126">
        <f>IFERROR(IF(ISNUMBER(INDEX(SPPR!$E:$Z,MATCH($A126,SPPR!$A:$A,0),9)),$C126*INDEX(SPPR!$E:$Z,MATCH($A126,SPPR!$A:$A,0),9),""),"")</f>
        <v/>
      </c>
      <c r="M126">
        <f>IFERROR(IF(ISNUMBER(INDEX(SPPR!$E:$Z,MATCH($A126,SPPR!$A:$A,0),10)),$C126*INDEX(SPPR!$E:$Z,MATCH($A126,SPPR!$A:$A,0),10),""),"")</f>
        <v/>
      </c>
      <c r="N126">
        <f>IFERROR(IF(ISNUMBER(INDEX(SPPR!$E:$Z,MATCH($A126,SPPR!$A:$A,0),11)),$C126*INDEX(SPPR!$E:$Z,MATCH($A126,SPPR!$A:$A,0),11),""),"")</f>
        <v/>
      </c>
      <c r="O126">
        <f>IFERROR(IF(ISNUMBER(INDEX(SPPR!$E:$Z,MATCH($A126,SPPR!$A:$A,0),12)),$C126*INDEX(SPPR!$E:$Z,MATCH($A126,SPPR!$A:$A,0),12),""),"")</f>
        <v/>
      </c>
      <c r="P126">
        <f>IFERROR(IF(ISNUMBER(INDEX(SPPR!$E:$Z,MATCH($A126,SPPR!$A:$A,0),13)),$C126*INDEX(SPPR!$E:$Z,MATCH($A126,SPPR!$A:$A,0),13),""),"")</f>
        <v/>
      </c>
      <c r="Q126">
        <f>IFERROR(IF(ISNUMBER(INDEX(SPPR!$E:$Z,MATCH($A126,SPPR!$A:$A,0),14)),$C126*INDEX(SPPR!$E:$Z,MATCH($A126,SPPR!$A:$A,0),14),""),"")</f>
        <v/>
      </c>
      <c r="R126">
        <f>IFERROR(IF(ISNUMBER(INDEX(SPPR!$E:$Z,MATCH($A126,SPPR!$A:$A,0),15)),$C126*INDEX(SPPR!$E:$Z,MATCH($A126,SPPR!$A:$A,0),15),""),"")</f>
        <v/>
      </c>
      <c r="S126">
        <f>IFERROR(IF(ISNUMBER(INDEX(SPPR!$E:$Z,MATCH($A126,SPPR!$A:$A,0),16)),$C126*INDEX(SPPR!$E:$Z,MATCH($A126,SPPR!$A:$A,0),16),""),"")</f>
        <v/>
      </c>
      <c r="T126">
        <f>IFERROR(IF(ISNUMBER(INDEX(SPPR!$E:$Z,MATCH($A126,SPPR!$A:$A,0),17)),$C126*INDEX(SPPR!$E:$Z,MATCH($A126,SPPR!$A:$A,0),17),""),"")</f>
        <v/>
      </c>
      <c r="U126">
        <f>IFERROR(IF(ISNUMBER(INDEX(SPPR!$E:$Z,MATCH($A126,SPPR!$A:$A,0),18)),$C126*INDEX(SPPR!$E:$Z,MATCH($A126,SPPR!$A:$A,0),18),""),"")</f>
        <v/>
      </c>
      <c r="V126">
        <f>IFERROR(IF(ISNUMBER(INDEX(SPPR!$E:$Z,MATCH($A126,SPPR!$A:$A,0),19)),$C126*INDEX(SPPR!$E:$Z,MATCH($A126,SPPR!$A:$A,0),19),""),"")</f>
        <v/>
      </c>
      <c r="W126">
        <f>IFERROR(IF(ISNUMBER(INDEX(SPPR!$E:$Z,MATCH($A126,SPPR!$A:$A,0),20)),$C126*INDEX(SPPR!$E:$Z,MATCH($A126,SPPR!$A:$A,0),20),""),"")</f>
        <v/>
      </c>
      <c r="X126">
        <f>IFERROR(IF(ISNUMBER(INDEX(SPPR!$E:$Z,MATCH($A126,SPPR!$A:$A,0),21)),$C126*INDEX(SPPR!$E:$Z,MATCH($A126,SPPR!$A:$A,0),21),""),"")</f>
        <v/>
      </c>
      <c r="Y126">
        <f>IFERROR(IF(ISNUMBER(INDEX(SPPR!$E:$Z,MATCH($A126,SPPR!$A:$A,0),22)),$C126*INDEX(SPPR!$E:$Z,MATCH($A126,SPPR!$A:$A,0),22),""),"")</f>
        <v/>
      </c>
    </row>
    <row r="127">
      <c r="A127" t="inlineStr">
        <is>
          <t>Sphyraena obtusata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IFERROR(IF(ISNUMBER(INDEX(SPPR!$E:$Z,MATCH($A127,SPPR!$A:$A,0),1)),$C127*INDEX(SPPR!$E:$Z,MATCH($A127,SPPR!$A:$A,0),1),""),"")</f>
        <v/>
      </c>
      <c r="E127">
        <f>IFERROR(IF(ISNUMBER(INDEX(SPPR!$E:$Z,MATCH($A127,SPPR!$A:$A,0),2)),$C127*INDEX(SPPR!$E:$Z,MATCH($A127,SPPR!$A:$A,0),2),""),"")</f>
        <v/>
      </c>
      <c r="F127">
        <f>IFERROR(IF(ISNUMBER(INDEX(SPPR!$E:$Z,MATCH($A127,SPPR!$A:$A,0),3)),$C127*INDEX(SPPR!$E:$Z,MATCH($A127,SPPR!$A:$A,0),3),""),"")</f>
        <v/>
      </c>
      <c r="G127">
        <f>IFERROR(IF(ISNUMBER(INDEX(SPPR!$E:$Z,MATCH($A127,SPPR!$A:$A,0),4)),$C127*INDEX(SPPR!$E:$Z,MATCH($A127,SPPR!$A:$A,0),4),""),"")</f>
        <v/>
      </c>
      <c r="H127">
        <f>IFERROR(IF(ISNUMBER(INDEX(SPPR!$E:$Z,MATCH($A127,SPPR!$A:$A,0),5)),$C127*INDEX(SPPR!$E:$Z,MATCH($A127,SPPR!$A:$A,0),5),""),"")</f>
        <v/>
      </c>
      <c r="I127">
        <f>IFERROR(IF(ISNUMBER(INDEX(SPPR!$E:$Z,MATCH($A127,SPPR!$A:$A,0),6)),$C127*INDEX(SPPR!$E:$Z,MATCH($A127,SPPR!$A:$A,0),6),""),"")</f>
        <v/>
      </c>
      <c r="J127">
        <f>IFERROR(IF(ISNUMBER(INDEX(SPPR!$E:$Z,MATCH($A127,SPPR!$A:$A,0),7)),$C127*INDEX(SPPR!$E:$Z,MATCH($A127,SPPR!$A:$A,0),7),""),"")</f>
        <v/>
      </c>
      <c r="K127">
        <f>IFERROR(IF(ISNUMBER(INDEX(SPPR!$E:$Z,MATCH($A127,SPPR!$A:$A,0),8)),$C127*INDEX(SPPR!$E:$Z,MATCH($A127,SPPR!$A:$A,0),8),""),"")</f>
        <v/>
      </c>
      <c r="L127">
        <f>IFERROR(IF(ISNUMBER(INDEX(SPPR!$E:$Z,MATCH($A127,SPPR!$A:$A,0),9)),$C127*INDEX(SPPR!$E:$Z,MATCH($A127,SPPR!$A:$A,0),9),""),"")</f>
        <v/>
      </c>
      <c r="M127">
        <f>IFERROR(IF(ISNUMBER(INDEX(SPPR!$E:$Z,MATCH($A127,SPPR!$A:$A,0),10)),$C127*INDEX(SPPR!$E:$Z,MATCH($A127,SPPR!$A:$A,0),10),""),"")</f>
        <v/>
      </c>
      <c r="N127">
        <f>IFERROR(IF(ISNUMBER(INDEX(SPPR!$E:$Z,MATCH($A127,SPPR!$A:$A,0),11)),$C127*INDEX(SPPR!$E:$Z,MATCH($A127,SPPR!$A:$A,0),11),""),"")</f>
        <v/>
      </c>
      <c r="O127">
        <f>IFERROR(IF(ISNUMBER(INDEX(SPPR!$E:$Z,MATCH($A127,SPPR!$A:$A,0),12)),$C127*INDEX(SPPR!$E:$Z,MATCH($A127,SPPR!$A:$A,0),12),""),"")</f>
        <v/>
      </c>
      <c r="P127">
        <f>IFERROR(IF(ISNUMBER(INDEX(SPPR!$E:$Z,MATCH($A127,SPPR!$A:$A,0),13)),$C127*INDEX(SPPR!$E:$Z,MATCH($A127,SPPR!$A:$A,0),13),""),"")</f>
        <v/>
      </c>
      <c r="Q127">
        <f>IFERROR(IF(ISNUMBER(INDEX(SPPR!$E:$Z,MATCH($A127,SPPR!$A:$A,0),14)),$C127*INDEX(SPPR!$E:$Z,MATCH($A127,SPPR!$A:$A,0),14),""),"")</f>
        <v/>
      </c>
      <c r="R127">
        <f>IFERROR(IF(ISNUMBER(INDEX(SPPR!$E:$Z,MATCH($A127,SPPR!$A:$A,0),15)),$C127*INDEX(SPPR!$E:$Z,MATCH($A127,SPPR!$A:$A,0),15),""),"")</f>
        <v/>
      </c>
      <c r="S127">
        <f>IFERROR(IF(ISNUMBER(INDEX(SPPR!$E:$Z,MATCH($A127,SPPR!$A:$A,0),16)),$C127*INDEX(SPPR!$E:$Z,MATCH($A127,SPPR!$A:$A,0),16),""),"")</f>
        <v/>
      </c>
      <c r="T127">
        <f>IFERROR(IF(ISNUMBER(INDEX(SPPR!$E:$Z,MATCH($A127,SPPR!$A:$A,0),17)),$C127*INDEX(SPPR!$E:$Z,MATCH($A127,SPPR!$A:$A,0),17),""),"")</f>
        <v/>
      </c>
      <c r="U127">
        <f>IFERROR(IF(ISNUMBER(INDEX(SPPR!$E:$Z,MATCH($A127,SPPR!$A:$A,0),18)),$C127*INDEX(SPPR!$E:$Z,MATCH($A127,SPPR!$A:$A,0),18),""),"")</f>
        <v/>
      </c>
      <c r="V127">
        <f>IFERROR(IF(ISNUMBER(INDEX(SPPR!$E:$Z,MATCH($A127,SPPR!$A:$A,0),19)),$C127*INDEX(SPPR!$E:$Z,MATCH($A127,SPPR!$A:$A,0),19),""),"")</f>
        <v/>
      </c>
      <c r="W127">
        <f>IFERROR(IF(ISNUMBER(INDEX(SPPR!$E:$Z,MATCH($A127,SPPR!$A:$A,0),20)),$C127*INDEX(SPPR!$E:$Z,MATCH($A127,SPPR!$A:$A,0),20),""),"")</f>
        <v/>
      </c>
      <c r="X127">
        <f>IFERROR(IF(ISNUMBER(INDEX(SPPR!$E:$Z,MATCH($A127,SPPR!$A:$A,0),21)),$C127*INDEX(SPPR!$E:$Z,MATCH($A127,SPPR!$A:$A,0),21),""),"")</f>
        <v/>
      </c>
      <c r="Y127">
        <f>IFERROR(IF(ISNUMBER(INDEX(SPPR!$E:$Z,MATCH($A127,SPPR!$A:$A,0),22)),$C127*INDEX(SPPR!$E:$Z,MATCH($A127,SPPR!$A:$A,0),22),""),"")</f>
        <v/>
      </c>
    </row>
    <row r="128">
      <c r="A128" t="inlineStr">
        <is>
          <t>Scyris indica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IFERROR(IF(ISNUMBER(INDEX(SPPR!$E:$Z,MATCH($A128,SPPR!$A:$A,0),1)),$C128*INDEX(SPPR!$E:$Z,MATCH($A128,SPPR!$A:$A,0),1),""),"")</f>
        <v/>
      </c>
      <c r="E128">
        <f>IFERROR(IF(ISNUMBER(INDEX(SPPR!$E:$Z,MATCH($A128,SPPR!$A:$A,0),2)),$C128*INDEX(SPPR!$E:$Z,MATCH($A128,SPPR!$A:$A,0),2),""),"")</f>
        <v/>
      </c>
      <c r="F128">
        <f>IFERROR(IF(ISNUMBER(INDEX(SPPR!$E:$Z,MATCH($A128,SPPR!$A:$A,0),3)),$C128*INDEX(SPPR!$E:$Z,MATCH($A128,SPPR!$A:$A,0),3),""),"")</f>
        <v/>
      </c>
      <c r="G128">
        <f>IFERROR(IF(ISNUMBER(INDEX(SPPR!$E:$Z,MATCH($A128,SPPR!$A:$A,0),4)),$C128*INDEX(SPPR!$E:$Z,MATCH($A128,SPPR!$A:$A,0),4),""),"")</f>
        <v/>
      </c>
      <c r="H128">
        <f>IFERROR(IF(ISNUMBER(INDEX(SPPR!$E:$Z,MATCH($A128,SPPR!$A:$A,0),5)),$C128*INDEX(SPPR!$E:$Z,MATCH($A128,SPPR!$A:$A,0),5),""),"")</f>
        <v/>
      </c>
      <c r="I128">
        <f>IFERROR(IF(ISNUMBER(INDEX(SPPR!$E:$Z,MATCH($A128,SPPR!$A:$A,0),6)),$C128*INDEX(SPPR!$E:$Z,MATCH($A128,SPPR!$A:$A,0),6),""),"")</f>
        <v/>
      </c>
      <c r="J128">
        <f>IFERROR(IF(ISNUMBER(INDEX(SPPR!$E:$Z,MATCH($A128,SPPR!$A:$A,0),7)),$C128*INDEX(SPPR!$E:$Z,MATCH($A128,SPPR!$A:$A,0),7),""),"")</f>
        <v/>
      </c>
      <c r="K128">
        <f>IFERROR(IF(ISNUMBER(INDEX(SPPR!$E:$Z,MATCH($A128,SPPR!$A:$A,0),8)),$C128*INDEX(SPPR!$E:$Z,MATCH($A128,SPPR!$A:$A,0),8),""),"")</f>
        <v/>
      </c>
      <c r="L128">
        <f>IFERROR(IF(ISNUMBER(INDEX(SPPR!$E:$Z,MATCH($A128,SPPR!$A:$A,0),9)),$C128*INDEX(SPPR!$E:$Z,MATCH($A128,SPPR!$A:$A,0),9),""),"")</f>
        <v/>
      </c>
      <c r="M128">
        <f>IFERROR(IF(ISNUMBER(INDEX(SPPR!$E:$Z,MATCH($A128,SPPR!$A:$A,0),10)),$C128*INDEX(SPPR!$E:$Z,MATCH($A128,SPPR!$A:$A,0),10),""),"")</f>
        <v/>
      </c>
      <c r="N128">
        <f>IFERROR(IF(ISNUMBER(INDEX(SPPR!$E:$Z,MATCH($A128,SPPR!$A:$A,0),11)),$C128*INDEX(SPPR!$E:$Z,MATCH($A128,SPPR!$A:$A,0),11),""),"")</f>
        <v/>
      </c>
      <c r="O128">
        <f>IFERROR(IF(ISNUMBER(INDEX(SPPR!$E:$Z,MATCH($A128,SPPR!$A:$A,0),12)),$C128*INDEX(SPPR!$E:$Z,MATCH($A128,SPPR!$A:$A,0),12),""),"")</f>
        <v/>
      </c>
      <c r="P128">
        <f>IFERROR(IF(ISNUMBER(INDEX(SPPR!$E:$Z,MATCH($A128,SPPR!$A:$A,0),13)),$C128*INDEX(SPPR!$E:$Z,MATCH($A128,SPPR!$A:$A,0),13),""),"")</f>
        <v/>
      </c>
      <c r="Q128">
        <f>IFERROR(IF(ISNUMBER(INDEX(SPPR!$E:$Z,MATCH($A128,SPPR!$A:$A,0),14)),$C128*INDEX(SPPR!$E:$Z,MATCH($A128,SPPR!$A:$A,0),14),""),"")</f>
        <v/>
      </c>
      <c r="R128">
        <f>IFERROR(IF(ISNUMBER(INDEX(SPPR!$E:$Z,MATCH($A128,SPPR!$A:$A,0),15)),$C128*INDEX(SPPR!$E:$Z,MATCH($A128,SPPR!$A:$A,0),15),""),"")</f>
        <v/>
      </c>
      <c r="S128">
        <f>IFERROR(IF(ISNUMBER(INDEX(SPPR!$E:$Z,MATCH($A128,SPPR!$A:$A,0),16)),$C128*INDEX(SPPR!$E:$Z,MATCH($A128,SPPR!$A:$A,0),16),""),"")</f>
        <v/>
      </c>
      <c r="T128">
        <f>IFERROR(IF(ISNUMBER(INDEX(SPPR!$E:$Z,MATCH($A128,SPPR!$A:$A,0),17)),$C128*INDEX(SPPR!$E:$Z,MATCH($A128,SPPR!$A:$A,0),17),""),"")</f>
        <v/>
      </c>
      <c r="U128">
        <f>IFERROR(IF(ISNUMBER(INDEX(SPPR!$E:$Z,MATCH($A128,SPPR!$A:$A,0),18)),$C128*INDEX(SPPR!$E:$Z,MATCH($A128,SPPR!$A:$A,0),18),""),"")</f>
        <v/>
      </c>
      <c r="V128">
        <f>IFERROR(IF(ISNUMBER(INDEX(SPPR!$E:$Z,MATCH($A128,SPPR!$A:$A,0),19)),$C128*INDEX(SPPR!$E:$Z,MATCH($A128,SPPR!$A:$A,0),19),""),"")</f>
        <v/>
      </c>
      <c r="W128">
        <f>IFERROR(IF(ISNUMBER(INDEX(SPPR!$E:$Z,MATCH($A128,SPPR!$A:$A,0),20)),$C128*INDEX(SPPR!$E:$Z,MATCH($A128,SPPR!$A:$A,0),20),""),"")</f>
        <v/>
      </c>
      <c r="X128">
        <f>IFERROR(IF(ISNUMBER(INDEX(SPPR!$E:$Z,MATCH($A128,SPPR!$A:$A,0),21)),$C128*INDEX(SPPR!$E:$Z,MATCH($A128,SPPR!$A:$A,0),21),""),"")</f>
        <v/>
      </c>
      <c r="Y128">
        <f>IFERROR(IF(ISNUMBER(INDEX(SPPR!$E:$Z,MATCH($A128,SPPR!$A:$A,0),22)),$C128*INDEX(SPPR!$E:$Z,MATCH($A128,SPPR!$A:$A,0),22),""),"")</f>
        <v/>
      </c>
    </row>
    <row r="129">
      <c r="A129" t="inlineStr">
        <is>
          <t>Anodontostoma chacunda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IFERROR(IF(ISNUMBER(INDEX(SPPR!$E:$Z,MATCH($A129,SPPR!$A:$A,0),1)),$C129*INDEX(SPPR!$E:$Z,MATCH($A129,SPPR!$A:$A,0),1),""),"")</f>
        <v/>
      </c>
      <c r="E129">
        <f>IFERROR(IF(ISNUMBER(INDEX(SPPR!$E:$Z,MATCH($A129,SPPR!$A:$A,0),2)),$C129*INDEX(SPPR!$E:$Z,MATCH($A129,SPPR!$A:$A,0),2),""),"")</f>
        <v/>
      </c>
      <c r="F129">
        <f>IFERROR(IF(ISNUMBER(INDEX(SPPR!$E:$Z,MATCH($A129,SPPR!$A:$A,0),3)),$C129*INDEX(SPPR!$E:$Z,MATCH($A129,SPPR!$A:$A,0),3),""),"")</f>
        <v/>
      </c>
      <c r="G129">
        <f>IFERROR(IF(ISNUMBER(INDEX(SPPR!$E:$Z,MATCH($A129,SPPR!$A:$A,0),4)),$C129*INDEX(SPPR!$E:$Z,MATCH($A129,SPPR!$A:$A,0),4),""),"")</f>
        <v/>
      </c>
      <c r="H129">
        <f>IFERROR(IF(ISNUMBER(INDEX(SPPR!$E:$Z,MATCH($A129,SPPR!$A:$A,0),5)),$C129*INDEX(SPPR!$E:$Z,MATCH($A129,SPPR!$A:$A,0),5),""),"")</f>
        <v/>
      </c>
      <c r="I129">
        <f>IFERROR(IF(ISNUMBER(INDEX(SPPR!$E:$Z,MATCH($A129,SPPR!$A:$A,0),6)),$C129*INDEX(SPPR!$E:$Z,MATCH($A129,SPPR!$A:$A,0),6),""),"")</f>
        <v/>
      </c>
      <c r="J129">
        <f>IFERROR(IF(ISNUMBER(INDEX(SPPR!$E:$Z,MATCH($A129,SPPR!$A:$A,0),7)),$C129*INDEX(SPPR!$E:$Z,MATCH($A129,SPPR!$A:$A,0),7),""),"")</f>
        <v/>
      </c>
      <c r="K129">
        <f>IFERROR(IF(ISNUMBER(INDEX(SPPR!$E:$Z,MATCH($A129,SPPR!$A:$A,0),8)),$C129*INDEX(SPPR!$E:$Z,MATCH($A129,SPPR!$A:$A,0),8),""),"")</f>
        <v/>
      </c>
      <c r="L129">
        <f>IFERROR(IF(ISNUMBER(INDEX(SPPR!$E:$Z,MATCH($A129,SPPR!$A:$A,0),9)),$C129*INDEX(SPPR!$E:$Z,MATCH($A129,SPPR!$A:$A,0),9),""),"")</f>
        <v/>
      </c>
      <c r="M129">
        <f>IFERROR(IF(ISNUMBER(INDEX(SPPR!$E:$Z,MATCH($A129,SPPR!$A:$A,0),10)),$C129*INDEX(SPPR!$E:$Z,MATCH($A129,SPPR!$A:$A,0),10),""),"")</f>
        <v/>
      </c>
      <c r="N129">
        <f>IFERROR(IF(ISNUMBER(INDEX(SPPR!$E:$Z,MATCH($A129,SPPR!$A:$A,0),11)),$C129*INDEX(SPPR!$E:$Z,MATCH($A129,SPPR!$A:$A,0),11),""),"")</f>
        <v/>
      </c>
      <c r="O129">
        <f>IFERROR(IF(ISNUMBER(INDEX(SPPR!$E:$Z,MATCH($A129,SPPR!$A:$A,0),12)),$C129*INDEX(SPPR!$E:$Z,MATCH($A129,SPPR!$A:$A,0),12),""),"")</f>
        <v/>
      </c>
      <c r="P129">
        <f>IFERROR(IF(ISNUMBER(INDEX(SPPR!$E:$Z,MATCH($A129,SPPR!$A:$A,0),13)),$C129*INDEX(SPPR!$E:$Z,MATCH($A129,SPPR!$A:$A,0),13),""),"")</f>
        <v/>
      </c>
      <c r="Q129">
        <f>IFERROR(IF(ISNUMBER(INDEX(SPPR!$E:$Z,MATCH($A129,SPPR!$A:$A,0),14)),$C129*INDEX(SPPR!$E:$Z,MATCH($A129,SPPR!$A:$A,0),14),""),"")</f>
        <v/>
      </c>
      <c r="R129">
        <f>IFERROR(IF(ISNUMBER(INDEX(SPPR!$E:$Z,MATCH($A129,SPPR!$A:$A,0),15)),$C129*INDEX(SPPR!$E:$Z,MATCH($A129,SPPR!$A:$A,0),15),""),"")</f>
        <v/>
      </c>
      <c r="S129">
        <f>IFERROR(IF(ISNUMBER(INDEX(SPPR!$E:$Z,MATCH($A129,SPPR!$A:$A,0),16)),$C129*INDEX(SPPR!$E:$Z,MATCH($A129,SPPR!$A:$A,0),16),""),"")</f>
        <v/>
      </c>
      <c r="T129">
        <f>IFERROR(IF(ISNUMBER(INDEX(SPPR!$E:$Z,MATCH($A129,SPPR!$A:$A,0),17)),$C129*INDEX(SPPR!$E:$Z,MATCH($A129,SPPR!$A:$A,0),17),""),"")</f>
        <v/>
      </c>
      <c r="U129">
        <f>IFERROR(IF(ISNUMBER(INDEX(SPPR!$E:$Z,MATCH($A129,SPPR!$A:$A,0),18)),$C129*INDEX(SPPR!$E:$Z,MATCH($A129,SPPR!$A:$A,0),18),""),"")</f>
        <v/>
      </c>
      <c r="V129">
        <f>IFERROR(IF(ISNUMBER(INDEX(SPPR!$E:$Z,MATCH($A129,SPPR!$A:$A,0),19)),$C129*INDEX(SPPR!$E:$Z,MATCH($A129,SPPR!$A:$A,0),19),""),"")</f>
        <v/>
      </c>
      <c r="W129">
        <f>IFERROR(IF(ISNUMBER(INDEX(SPPR!$E:$Z,MATCH($A129,SPPR!$A:$A,0),20)),$C129*INDEX(SPPR!$E:$Z,MATCH($A129,SPPR!$A:$A,0),20),""),"")</f>
        <v/>
      </c>
      <c r="X129">
        <f>IFERROR(IF(ISNUMBER(INDEX(SPPR!$E:$Z,MATCH($A129,SPPR!$A:$A,0),21)),$C129*INDEX(SPPR!$E:$Z,MATCH($A129,SPPR!$A:$A,0),21),""),"")</f>
        <v/>
      </c>
      <c r="Y129">
        <f>IFERROR(IF(ISNUMBER(INDEX(SPPR!$E:$Z,MATCH($A129,SPPR!$A:$A,0),22)),$C129*INDEX(SPPR!$E:$Z,MATCH($A129,SPPR!$A:$A,0),22),""),"")</f>
        <v/>
      </c>
    </row>
    <row r="130">
      <c r="A130" t="inlineStr">
        <is>
          <t>Auxis thazard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IFERROR(IF(ISNUMBER(INDEX(SPPR!$E:$Z,MATCH($A130,SPPR!$A:$A,0),1)),$C130*INDEX(SPPR!$E:$Z,MATCH($A130,SPPR!$A:$A,0),1),""),"")</f>
        <v/>
      </c>
      <c r="E130">
        <f>IFERROR(IF(ISNUMBER(INDEX(SPPR!$E:$Z,MATCH($A130,SPPR!$A:$A,0),2)),$C130*INDEX(SPPR!$E:$Z,MATCH($A130,SPPR!$A:$A,0),2),""),"")</f>
        <v/>
      </c>
      <c r="F130">
        <f>IFERROR(IF(ISNUMBER(INDEX(SPPR!$E:$Z,MATCH($A130,SPPR!$A:$A,0),3)),$C130*INDEX(SPPR!$E:$Z,MATCH($A130,SPPR!$A:$A,0),3),""),"")</f>
        <v/>
      </c>
      <c r="G130">
        <f>IFERROR(IF(ISNUMBER(INDEX(SPPR!$E:$Z,MATCH($A130,SPPR!$A:$A,0),4)),$C130*INDEX(SPPR!$E:$Z,MATCH($A130,SPPR!$A:$A,0),4),""),"")</f>
        <v/>
      </c>
      <c r="H130">
        <f>IFERROR(IF(ISNUMBER(INDEX(SPPR!$E:$Z,MATCH($A130,SPPR!$A:$A,0),5)),$C130*INDEX(SPPR!$E:$Z,MATCH($A130,SPPR!$A:$A,0),5),""),"")</f>
        <v/>
      </c>
      <c r="I130">
        <f>IFERROR(IF(ISNUMBER(INDEX(SPPR!$E:$Z,MATCH($A130,SPPR!$A:$A,0),6)),$C130*INDEX(SPPR!$E:$Z,MATCH($A130,SPPR!$A:$A,0),6),""),"")</f>
        <v/>
      </c>
      <c r="J130">
        <f>IFERROR(IF(ISNUMBER(INDEX(SPPR!$E:$Z,MATCH($A130,SPPR!$A:$A,0),7)),$C130*INDEX(SPPR!$E:$Z,MATCH($A130,SPPR!$A:$A,0),7),""),"")</f>
        <v/>
      </c>
      <c r="K130">
        <f>IFERROR(IF(ISNUMBER(INDEX(SPPR!$E:$Z,MATCH($A130,SPPR!$A:$A,0),8)),$C130*INDEX(SPPR!$E:$Z,MATCH($A130,SPPR!$A:$A,0),8),""),"")</f>
        <v/>
      </c>
      <c r="L130">
        <f>IFERROR(IF(ISNUMBER(INDEX(SPPR!$E:$Z,MATCH($A130,SPPR!$A:$A,0),9)),$C130*INDEX(SPPR!$E:$Z,MATCH($A130,SPPR!$A:$A,0),9),""),"")</f>
        <v/>
      </c>
      <c r="M130">
        <f>IFERROR(IF(ISNUMBER(INDEX(SPPR!$E:$Z,MATCH($A130,SPPR!$A:$A,0),10)),$C130*INDEX(SPPR!$E:$Z,MATCH($A130,SPPR!$A:$A,0),10),""),"")</f>
        <v/>
      </c>
      <c r="N130">
        <f>IFERROR(IF(ISNUMBER(INDEX(SPPR!$E:$Z,MATCH($A130,SPPR!$A:$A,0),11)),$C130*INDEX(SPPR!$E:$Z,MATCH($A130,SPPR!$A:$A,0),11),""),"")</f>
        <v/>
      </c>
      <c r="O130">
        <f>IFERROR(IF(ISNUMBER(INDEX(SPPR!$E:$Z,MATCH($A130,SPPR!$A:$A,0),12)),$C130*INDEX(SPPR!$E:$Z,MATCH($A130,SPPR!$A:$A,0),12),""),"")</f>
        <v/>
      </c>
      <c r="P130">
        <f>IFERROR(IF(ISNUMBER(INDEX(SPPR!$E:$Z,MATCH($A130,SPPR!$A:$A,0),13)),$C130*INDEX(SPPR!$E:$Z,MATCH($A130,SPPR!$A:$A,0),13),""),"")</f>
        <v/>
      </c>
      <c r="Q130">
        <f>IFERROR(IF(ISNUMBER(INDEX(SPPR!$E:$Z,MATCH($A130,SPPR!$A:$A,0),14)),$C130*INDEX(SPPR!$E:$Z,MATCH($A130,SPPR!$A:$A,0),14),""),"")</f>
        <v/>
      </c>
      <c r="R130">
        <f>IFERROR(IF(ISNUMBER(INDEX(SPPR!$E:$Z,MATCH($A130,SPPR!$A:$A,0),15)),$C130*INDEX(SPPR!$E:$Z,MATCH($A130,SPPR!$A:$A,0),15),""),"")</f>
        <v/>
      </c>
      <c r="S130">
        <f>IFERROR(IF(ISNUMBER(INDEX(SPPR!$E:$Z,MATCH($A130,SPPR!$A:$A,0),16)),$C130*INDEX(SPPR!$E:$Z,MATCH($A130,SPPR!$A:$A,0),16),""),"")</f>
        <v/>
      </c>
      <c r="T130">
        <f>IFERROR(IF(ISNUMBER(INDEX(SPPR!$E:$Z,MATCH($A130,SPPR!$A:$A,0),17)),$C130*INDEX(SPPR!$E:$Z,MATCH($A130,SPPR!$A:$A,0),17),""),"")</f>
        <v/>
      </c>
      <c r="U130">
        <f>IFERROR(IF(ISNUMBER(INDEX(SPPR!$E:$Z,MATCH($A130,SPPR!$A:$A,0),18)),$C130*INDEX(SPPR!$E:$Z,MATCH($A130,SPPR!$A:$A,0),18),""),"")</f>
        <v/>
      </c>
      <c r="V130">
        <f>IFERROR(IF(ISNUMBER(INDEX(SPPR!$E:$Z,MATCH($A130,SPPR!$A:$A,0),19)),$C130*INDEX(SPPR!$E:$Z,MATCH($A130,SPPR!$A:$A,0),19),""),"")</f>
        <v/>
      </c>
      <c r="W130">
        <f>IFERROR(IF(ISNUMBER(INDEX(SPPR!$E:$Z,MATCH($A130,SPPR!$A:$A,0),20)),$C130*INDEX(SPPR!$E:$Z,MATCH($A130,SPPR!$A:$A,0),20),""),"")</f>
        <v/>
      </c>
      <c r="X130">
        <f>IFERROR(IF(ISNUMBER(INDEX(SPPR!$E:$Z,MATCH($A130,SPPR!$A:$A,0),21)),$C130*INDEX(SPPR!$E:$Z,MATCH($A130,SPPR!$A:$A,0),21),""),"")</f>
        <v/>
      </c>
      <c r="Y130">
        <f>IFERROR(IF(ISNUMBER(INDEX(SPPR!$E:$Z,MATCH($A130,SPPR!$A:$A,0),22)),$C130*INDEX(SPPR!$E:$Z,MATCH($A130,SPPR!$A:$A,0),22),""),"")</f>
        <v/>
      </c>
    </row>
    <row r="131">
      <c r="A131" t="inlineStr">
        <is>
          <t>Malacostraca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IFERROR(IF(ISNUMBER(INDEX(SPPR!$E:$Z,MATCH($A131,SPPR!$A:$A,0),1)),$C131*INDEX(SPPR!$E:$Z,MATCH($A131,SPPR!$A:$A,0),1),""),"")</f>
        <v/>
      </c>
      <c r="E131">
        <f>IFERROR(IF(ISNUMBER(INDEX(SPPR!$E:$Z,MATCH($A131,SPPR!$A:$A,0),2)),$C131*INDEX(SPPR!$E:$Z,MATCH($A131,SPPR!$A:$A,0),2),""),"")</f>
        <v/>
      </c>
      <c r="F131">
        <f>IFERROR(IF(ISNUMBER(INDEX(SPPR!$E:$Z,MATCH($A131,SPPR!$A:$A,0),3)),$C131*INDEX(SPPR!$E:$Z,MATCH($A131,SPPR!$A:$A,0),3),""),"")</f>
        <v/>
      </c>
      <c r="G131">
        <f>IFERROR(IF(ISNUMBER(INDEX(SPPR!$E:$Z,MATCH($A131,SPPR!$A:$A,0),4)),$C131*INDEX(SPPR!$E:$Z,MATCH($A131,SPPR!$A:$A,0),4),""),"")</f>
        <v/>
      </c>
      <c r="H131">
        <f>IFERROR(IF(ISNUMBER(INDEX(SPPR!$E:$Z,MATCH($A131,SPPR!$A:$A,0),5)),$C131*INDEX(SPPR!$E:$Z,MATCH($A131,SPPR!$A:$A,0),5),""),"")</f>
        <v/>
      </c>
      <c r="I131">
        <f>IFERROR(IF(ISNUMBER(INDEX(SPPR!$E:$Z,MATCH($A131,SPPR!$A:$A,0),6)),$C131*INDEX(SPPR!$E:$Z,MATCH($A131,SPPR!$A:$A,0),6),""),"")</f>
        <v/>
      </c>
      <c r="J131">
        <f>IFERROR(IF(ISNUMBER(INDEX(SPPR!$E:$Z,MATCH($A131,SPPR!$A:$A,0),7)),$C131*INDEX(SPPR!$E:$Z,MATCH($A131,SPPR!$A:$A,0),7),""),"")</f>
        <v/>
      </c>
      <c r="K131">
        <f>IFERROR(IF(ISNUMBER(INDEX(SPPR!$E:$Z,MATCH($A131,SPPR!$A:$A,0),8)),$C131*INDEX(SPPR!$E:$Z,MATCH($A131,SPPR!$A:$A,0),8),""),"")</f>
        <v/>
      </c>
      <c r="L131">
        <f>IFERROR(IF(ISNUMBER(INDEX(SPPR!$E:$Z,MATCH($A131,SPPR!$A:$A,0),9)),$C131*INDEX(SPPR!$E:$Z,MATCH($A131,SPPR!$A:$A,0),9),""),"")</f>
        <v/>
      </c>
      <c r="M131">
        <f>IFERROR(IF(ISNUMBER(INDEX(SPPR!$E:$Z,MATCH($A131,SPPR!$A:$A,0),10)),$C131*INDEX(SPPR!$E:$Z,MATCH($A131,SPPR!$A:$A,0),10),""),"")</f>
        <v/>
      </c>
      <c r="N131">
        <f>IFERROR(IF(ISNUMBER(INDEX(SPPR!$E:$Z,MATCH($A131,SPPR!$A:$A,0),11)),$C131*INDEX(SPPR!$E:$Z,MATCH($A131,SPPR!$A:$A,0),11),""),"")</f>
        <v/>
      </c>
      <c r="O131">
        <f>IFERROR(IF(ISNUMBER(INDEX(SPPR!$E:$Z,MATCH($A131,SPPR!$A:$A,0),12)),$C131*INDEX(SPPR!$E:$Z,MATCH($A131,SPPR!$A:$A,0),12),""),"")</f>
        <v/>
      </c>
      <c r="P131">
        <f>IFERROR(IF(ISNUMBER(INDEX(SPPR!$E:$Z,MATCH($A131,SPPR!$A:$A,0),13)),$C131*INDEX(SPPR!$E:$Z,MATCH($A131,SPPR!$A:$A,0),13),""),"")</f>
        <v/>
      </c>
      <c r="Q131">
        <f>IFERROR(IF(ISNUMBER(INDEX(SPPR!$E:$Z,MATCH($A131,SPPR!$A:$A,0),14)),$C131*INDEX(SPPR!$E:$Z,MATCH($A131,SPPR!$A:$A,0),14),""),"")</f>
        <v/>
      </c>
      <c r="R131">
        <f>IFERROR(IF(ISNUMBER(INDEX(SPPR!$E:$Z,MATCH($A131,SPPR!$A:$A,0),15)),$C131*INDEX(SPPR!$E:$Z,MATCH($A131,SPPR!$A:$A,0),15),""),"")</f>
        <v/>
      </c>
      <c r="S131">
        <f>IFERROR(IF(ISNUMBER(INDEX(SPPR!$E:$Z,MATCH($A131,SPPR!$A:$A,0),16)),$C131*INDEX(SPPR!$E:$Z,MATCH($A131,SPPR!$A:$A,0),16),""),"")</f>
        <v/>
      </c>
      <c r="T131">
        <f>IFERROR(IF(ISNUMBER(INDEX(SPPR!$E:$Z,MATCH($A131,SPPR!$A:$A,0),17)),$C131*INDEX(SPPR!$E:$Z,MATCH($A131,SPPR!$A:$A,0),17),""),"")</f>
        <v/>
      </c>
      <c r="U131">
        <f>IFERROR(IF(ISNUMBER(INDEX(SPPR!$E:$Z,MATCH($A131,SPPR!$A:$A,0),18)),$C131*INDEX(SPPR!$E:$Z,MATCH($A131,SPPR!$A:$A,0),18),""),"")</f>
        <v/>
      </c>
      <c r="V131">
        <f>IFERROR(IF(ISNUMBER(INDEX(SPPR!$E:$Z,MATCH($A131,SPPR!$A:$A,0),19)),$C131*INDEX(SPPR!$E:$Z,MATCH($A131,SPPR!$A:$A,0),19),""),"")</f>
        <v/>
      </c>
      <c r="W131">
        <f>IFERROR(IF(ISNUMBER(INDEX(SPPR!$E:$Z,MATCH($A131,SPPR!$A:$A,0),20)),$C131*INDEX(SPPR!$E:$Z,MATCH($A131,SPPR!$A:$A,0),20),""),"")</f>
        <v/>
      </c>
      <c r="X131">
        <f>IFERROR(IF(ISNUMBER(INDEX(SPPR!$E:$Z,MATCH($A131,SPPR!$A:$A,0),21)),$C131*INDEX(SPPR!$E:$Z,MATCH($A131,SPPR!$A:$A,0),21),""),"")</f>
        <v/>
      </c>
      <c r="Y131">
        <f>IFERROR(IF(ISNUMBER(INDEX(SPPR!$E:$Z,MATCH($A131,SPPR!$A:$A,0),22)),$C131*INDEX(SPPR!$E:$Z,MATCH($A131,SPPR!$A:$A,0),22),""),"")</f>
        <v/>
      </c>
    </row>
    <row r="132">
      <c r="A132" t="inlineStr">
        <is>
          <t>Lutjanus johnii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IFERROR(IF(ISNUMBER(INDEX(SPPR!$E:$Z,MATCH($A132,SPPR!$A:$A,0),1)),$C132*INDEX(SPPR!$E:$Z,MATCH($A132,SPPR!$A:$A,0),1),""),"")</f>
        <v/>
      </c>
      <c r="E132">
        <f>IFERROR(IF(ISNUMBER(INDEX(SPPR!$E:$Z,MATCH($A132,SPPR!$A:$A,0),2)),$C132*INDEX(SPPR!$E:$Z,MATCH($A132,SPPR!$A:$A,0),2),""),"")</f>
        <v/>
      </c>
      <c r="F132">
        <f>IFERROR(IF(ISNUMBER(INDEX(SPPR!$E:$Z,MATCH($A132,SPPR!$A:$A,0),3)),$C132*INDEX(SPPR!$E:$Z,MATCH($A132,SPPR!$A:$A,0),3),""),"")</f>
        <v/>
      </c>
      <c r="G132">
        <f>IFERROR(IF(ISNUMBER(INDEX(SPPR!$E:$Z,MATCH($A132,SPPR!$A:$A,0),4)),$C132*INDEX(SPPR!$E:$Z,MATCH($A132,SPPR!$A:$A,0),4),""),"")</f>
        <v/>
      </c>
      <c r="H132">
        <f>IFERROR(IF(ISNUMBER(INDEX(SPPR!$E:$Z,MATCH($A132,SPPR!$A:$A,0),5)),$C132*INDEX(SPPR!$E:$Z,MATCH($A132,SPPR!$A:$A,0),5),""),"")</f>
        <v/>
      </c>
      <c r="I132">
        <f>IFERROR(IF(ISNUMBER(INDEX(SPPR!$E:$Z,MATCH($A132,SPPR!$A:$A,0),6)),$C132*INDEX(SPPR!$E:$Z,MATCH($A132,SPPR!$A:$A,0),6),""),"")</f>
        <v/>
      </c>
      <c r="J132">
        <f>IFERROR(IF(ISNUMBER(INDEX(SPPR!$E:$Z,MATCH($A132,SPPR!$A:$A,0),7)),$C132*INDEX(SPPR!$E:$Z,MATCH($A132,SPPR!$A:$A,0),7),""),"")</f>
        <v/>
      </c>
      <c r="K132">
        <f>IFERROR(IF(ISNUMBER(INDEX(SPPR!$E:$Z,MATCH($A132,SPPR!$A:$A,0),8)),$C132*INDEX(SPPR!$E:$Z,MATCH($A132,SPPR!$A:$A,0),8),""),"")</f>
        <v/>
      </c>
      <c r="L132">
        <f>IFERROR(IF(ISNUMBER(INDEX(SPPR!$E:$Z,MATCH($A132,SPPR!$A:$A,0),9)),$C132*INDEX(SPPR!$E:$Z,MATCH($A132,SPPR!$A:$A,0),9),""),"")</f>
        <v/>
      </c>
      <c r="M132">
        <f>IFERROR(IF(ISNUMBER(INDEX(SPPR!$E:$Z,MATCH($A132,SPPR!$A:$A,0),10)),$C132*INDEX(SPPR!$E:$Z,MATCH($A132,SPPR!$A:$A,0),10),""),"")</f>
        <v/>
      </c>
      <c r="N132">
        <f>IFERROR(IF(ISNUMBER(INDEX(SPPR!$E:$Z,MATCH($A132,SPPR!$A:$A,0),11)),$C132*INDEX(SPPR!$E:$Z,MATCH($A132,SPPR!$A:$A,0),11),""),"")</f>
        <v/>
      </c>
      <c r="O132">
        <f>IFERROR(IF(ISNUMBER(INDEX(SPPR!$E:$Z,MATCH($A132,SPPR!$A:$A,0),12)),$C132*INDEX(SPPR!$E:$Z,MATCH($A132,SPPR!$A:$A,0),12),""),"")</f>
        <v/>
      </c>
      <c r="P132">
        <f>IFERROR(IF(ISNUMBER(INDEX(SPPR!$E:$Z,MATCH($A132,SPPR!$A:$A,0),13)),$C132*INDEX(SPPR!$E:$Z,MATCH($A132,SPPR!$A:$A,0),13),""),"")</f>
        <v/>
      </c>
      <c r="Q132">
        <f>IFERROR(IF(ISNUMBER(INDEX(SPPR!$E:$Z,MATCH($A132,SPPR!$A:$A,0),14)),$C132*INDEX(SPPR!$E:$Z,MATCH($A132,SPPR!$A:$A,0),14),""),"")</f>
        <v/>
      </c>
      <c r="R132">
        <f>IFERROR(IF(ISNUMBER(INDEX(SPPR!$E:$Z,MATCH($A132,SPPR!$A:$A,0),15)),$C132*INDEX(SPPR!$E:$Z,MATCH($A132,SPPR!$A:$A,0),15),""),"")</f>
        <v/>
      </c>
      <c r="S132">
        <f>IFERROR(IF(ISNUMBER(INDEX(SPPR!$E:$Z,MATCH($A132,SPPR!$A:$A,0),16)),$C132*INDEX(SPPR!$E:$Z,MATCH($A132,SPPR!$A:$A,0),16),""),"")</f>
        <v/>
      </c>
      <c r="T132">
        <f>IFERROR(IF(ISNUMBER(INDEX(SPPR!$E:$Z,MATCH($A132,SPPR!$A:$A,0),17)),$C132*INDEX(SPPR!$E:$Z,MATCH($A132,SPPR!$A:$A,0),17),""),"")</f>
        <v/>
      </c>
      <c r="U132">
        <f>IFERROR(IF(ISNUMBER(INDEX(SPPR!$E:$Z,MATCH($A132,SPPR!$A:$A,0),18)),$C132*INDEX(SPPR!$E:$Z,MATCH($A132,SPPR!$A:$A,0),18),""),"")</f>
        <v/>
      </c>
      <c r="V132">
        <f>IFERROR(IF(ISNUMBER(INDEX(SPPR!$E:$Z,MATCH($A132,SPPR!$A:$A,0),19)),$C132*INDEX(SPPR!$E:$Z,MATCH($A132,SPPR!$A:$A,0),19),""),"")</f>
        <v/>
      </c>
      <c r="W132">
        <f>IFERROR(IF(ISNUMBER(INDEX(SPPR!$E:$Z,MATCH($A132,SPPR!$A:$A,0),20)),$C132*INDEX(SPPR!$E:$Z,MATCH($A132,SPPR!$A:$A,0),20),""),"")</f>
        <v/>
      </c>
      <c r="X132">
        <f>IFERROR(IF(ISNUMBER(INDEX(SPPR!$E:$Z,MATCH($A132,SPPR!$A:$A,0),21)),$C132*INDEX(SPPR!$E:$Z,MATCH($A132,SPPR!$A:$A,0),21),""),"")</f>
        <v/>
      </c>
      <c r="Y132">
        <f>IFERROR(IF(ISNUMBER(INDEX(SPPR!$E:$Z,MATCH($A132,SPPR!$A:$A,0),22)),$C132*INDEX(SPPR!$E:$Z,MATCH($A132,SPPR!$A:$A,0),22),""),"")</f>
        <v/>
      </c>
    </row>
    <row r="133">
      <c r="A133" t="inlineStr">
        <is>
          <t>Gerreidae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IFERROR(IF(ISNUMBER(INDEX(SPPR!$E:$Z,MATCH($A133,SPPR!$A:$A,0),1)),$C133*INDEX(SPPR!$E:$Z,MATCH($A133,SPPR!$A:$A,0),1),""),"")</f>
        <v/>
      </c>
      <c r="E133">
        <f>IFERROR(IF(ISNUMBER(INDEX(SPPR!$E:$Z,MATCH($A133,SPPR!$A:$A,0),2)),$C133*INDEX(SPPR!$E:$Z,MATCH($A133,SPPR!$A:$A,0),2),""),"")</f>
        <v/>
      </c>
      <c r="F133">
        <f>IFERROR(IF(ISNUMBER(INDEX(SPPR!$E:$Z,MATCH($A133,SPPR!$A:$A,0),3)),$C133*INDEX(SPPR!$E:$Z,MATCH($A133,SPPR!$A:$A,0),3),""),"")</f>
        <v/>
      </c>
      <c r="G133">
        <f>IFERROR(IF(ISNUMBER(INDEX(SPPR!$E:$Z,MATCH($A133,SPPR!$A:$A,0),4)),$C133*INDEX(SPPR!$E:$Z,MATCH($A133,SPPR!$A:$A,0),4),""),"")</f>
        <v/>
      </c>
      <c r="H133">
        <f>IFERROR(IF(ISNUMBER(INDEX(SPPR!$E:$Z,MATCH($A133,SPPR!$A:$A,0),5)),$C133*INDEX(SPPR!$E:$Z,MATCH($A133,SPPR!$A:$A,0),5),""),"")</f>
        <v/>
      </c>
      <c r="I133">
        <f>IFERROR(IF(ISNUMBER(INDEX(SPPR!$E:$Z,MATCH($A133,SPPR!$A:$A,0),6)),$C133*INDEX(SPPR!$E:$Z,MATCH($A133,SPPR!$A:$A,0),6),""),"")</f>
        <v/>
      </c>
      <c r="J133">
        <f>IFERROR(IF(ISNUMBER(INDEX(SPPR!$E:$Z,MATCH($A133,SPPR!$A:$A,0),7)),$C133*INDEX(SPPR!$E:$Z,MATCH($A133,SPPR!$A:$A,0),7),""),"")</f>
        <v/>
      </c>
      <c r="K133">
        <f>IFERROR(IF(ISNUMBER(INDEX(SPPR!$E:$Z,MATCH($A133,SPPR!$A:$A,0),8)),$C133*INDEX(SPPR!$E:$Z,MATCH($A133,SPPR!$A:$A,0),8),""),"")</f>
        <v/>
      </c>
      <c r="L133">
        <f>IFERROR(IF(ISNUMBER(INDEX(SPPR!$E:$Z,MATCH($A133,SPPR!$A:$A,0),9)),$C133*INDEX(SPPR!$E:$Z,MATCH($A133,SPPR!$A:$A,0),9),""),"")</f>
        <v/>
      </c>
      <c r="M133">
        <f>IFERROR(IF(ISNUMBER(INDEX(SPPR!$E:$Z,MATCH($A133,SPPR!$A:$A,0),10)),$C133*INDEX(SPPR!$E:$Z,MATCH($A133,SPPR!$A:$A,0),10),""),"")</f>
        <v/>
      </c>
      <c r="N133">
        <f>IFERROR(IF(ISNUMBER(INDEX(SPPR!$E:$Z,MATCH($A133,SPPR!$A:$A,0),11)),$C133*INDEX(SPPR!$E:$Z,MATCH($A133,SPPR!$A:$A,0),11),""),"")</f>
        <v/>
      </c>
      <c r="O133">
        <f>IFERROR(IF(ISNUMBER(INDEX(SPPR!$E:$Z,MATCH($A133,SPPR!$A:$A,0),12)),$C133*INDEX(SPPR!$E:$Z,MATCH($A133,SPPR!$A:$A,0),12),""),"")</f>
        <v/>
      </c>
      <c r="P133">
        <f>IFERROR(IF(ISNUMBER(INDEX(SPPR!$E:$Z,MATCH($A133,SPPR!$A:$A,0),13)),$C133*INDEX(SPPR!$E:$Z,MATCH($A133,SPPR!$A:$A,0),13),""),"")</f>
        <v/>
      </c>
      <c r="Q133">
        <f>IFERROR(IF(ISNUMBER(INDEX(SPPR!$E:$Z,MATCH($A133,SPPR!$A:$A,0),14)),$C133*INDEX(SPPR!$E:$Z,MATCH($A133,SPPR!$A:$A,0),14),""),"")</f>
        <v/>
      </c>
      <c r="R133">
        <f>IFERROR(IF(ISNUMBER(INDEX(SPPR!$E:$Z,MATCH($A133,SPPR!$A:$A,0),15)),$C133*INDEX(SPPR!$E:$Z,MATCH($A133,SPPR!$A:$A,0),15),""),"")</f>
        <v/>
      </c>
      <c r="S133">
        <f>IFERROR(IF(ISNUMBER(INDEX(SPPR!$E:$Z,MATCH($A133,SPPR!$A:$A,0),16)),$C133*INDEX(SPPR!$E:$Z,MATCH($A133,SPPR!$A:$A,0),16),""),"")</f>
        <v/>
      </c>
      <c r="T133">
        <f>IFERROR(IF(ISNUMBER(INDEX(SPPR!$E:$Z,MATCH($A133,SPPR!$A:$A,0),17)),$C133*INDEX(SPPR!$E:$Z,MATCH($A133,SPPR!$A:$A,0),17),""),"")</f>
        <v/>
      </c>
      <c r="U133">
        <f>IFERROR(IF(ISNUMBER(INDEX(SPPR!$E:$Z,MATCH($A133,SPPR!$A:$A,0),18)),$C133*INDEX(SPPR!$E:$Z,MATCH($A133,SPPR!$A:$A,0),18),""),"")</f>
        <v/>
      </c>
      <c r="V133">
        <f>IFERROR(IF(ISNUMBER(INDEX(SPPR!$E:$Z,MATCH($A133,SPPR!$A:$A,0),19)),$C133*INDEX(SPPR!$E:$Z,MATCH($A133,SPPR!$A:$A,0),19),""),"")</f>
        <v/>
      </c>
      <c r="W133">
        <f>IFERROR(IF(ISNUMBER(INDEX(SPPR!$E:$Z,MATCH($A133,SPPR!$A:$A,0),20)),$C133*INDEX(SPPR!$E:$Z,MATCH($A133,SPPR!$A:$A,0),20),""),"")</f>
        <v/>
      </c>
      <c r="X133">
        <f>IFERROR(IF(ISNUMBER(INDEX(SPPR!$E:$Z,MATCH($A133,SPPR!$A:$A,0),21)),$C133*INDEX(SPPR!$E:$Z,MATCH($A133,SPPR!$A:$A,0),21),""),"")</f>
        <v/>
      </c>
      <c r="Y133">
        <f>IFERROR(IF(ISNUMBER(INDEX(SPPR!$E:$Z,MATCH($A133,SPPR!$A:$A,0),22)),$C133*INDEX(SPPR!$E:$Z,MATCH($A133,SPPR!$A:$A,0),22),""),"")</f>
        <v/>
      </c>
    </row>
    <row r="134">
      <c r="A134" t="inlineStr">
        <is>
          <t>Caesionidae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IFERROR(IF(ISNUMBER(INDEX(SPPR!$E:$Z,MATCH($A134,SPPR!$A:$A,0),1)),$C134*INDEX(SPPR!$E:$Z,MATCH($A134,SPPR!$A:$A,0),1),""),"")</f>
        <v/>
      </c>
      <c r="E134">
        <f>IFERROR(IF(ISNUMBER(INDEX(SPPR!$E:$Z,MATCH($A134,SPPR!$A:$A,0),2)),$C134*INDEX(SPPR!$E:$Z,MATCH($A134,SPPR!$A:$A,0),2),""),"")</f>
        <v/>
      </c>
      <c r="F134">
        <f>IFERROR(IF(ISNUMBER(INDEX(SPPR!$E:$Z,MATCH($A134,SPPR!$A:$A,0),3)),$C134*INDEX(SPPR!$E:$Z,MATCH($A134,SPPR!$A:$A,0),3),""),"")</f>
        <v/>
      </c>
      <c r="G134">
        <f>IFERROR(IF(ISNUMBER(INDEX(SPPR!$E:$Z,MATCH($A134,SPPR!$A:$A,0),4)),$C134*INDEX(SPPR!$E:$Z,MATCH($A134,SPPR!$A:$A,0),4),""),"")</f>
        <v/>
      </c>
      <c r="H134">
        <f>IFERROR(IF(ISNUMBER(INDEX(SPPR!$E:$Z,MATCH($A134,SPPR!$A:$A,0),5)),$C134*INDEX(SPPR!$E:$Z,MATCH($A134,SPPR!$A:$A,0),5),""),"")</f>
        <v/>
      </c>
      <c r="I134">
        <f>IFERROR(IF(ISNUMBER(INDEX(SPPR!$E:$Z,MATCH($A134,SPPR!$A:$A,0),6)),$C134*INDEX(SPPR!$E:$Z,MATCH($A134,SPPR!$A:$A,0),6),""),"")</f>
        <v/>
      </c>
      <c r="J134">
        <f>IFERROR(IF(ISNUMBER(INDEX(SPPR!$E:$Z,MATCH($A134,SPPR!$A:$A,0),7)),$C134*INDEX(SPPR!$E:$Z,MATCH($A134,SPPR!$A:$A,0),7),""),"")</f>
        <v/>
      </c>
      <c r="K134">
        <f>IFERROR(IF(ISNUMBER(INDEX(SPPR!$E:$Z,MATCH($A134,SPPR!$A:$A,0),8)),$C134*INDEX(SPPR!$E:$Z,MATCH($A134,SPPR!$A:$A,0),8),""),"")</f>
        <v/>
      </c>
      <c r="L134">
        <f>IFERROR(IF(ISNUMBER(INDEX(SPPR!$E:$Z,MATCH($A134,SPPR!$A:$A,0),9)),$C134*INDEX(SPPR!$E:$Z,MATCH($A134,SPPR!$A:$A,0),9),""),"")</f>
        <v/>
      </c>
      <c r="M134">
        <f>IFERROR(IF(ISNUMBER(INDEX(SPPR!$E:$Z,MATCH($A134,SPPR!$A:$A,0),10)),$C134*INDEX(SPPR!$E:$Z,MATCH($A134,SPPR!$A:$A,0),10),""),"")</f>
        <v/>
      </c>
      <c r="N134">
        <f>IFERROR(IF(ISNUMBER(INDEX(SPPR!$E:$Z,MATCH($A134,SPPR!$A:$A,0),11)),$C134*INDEX(SPPR!$E:$Z,MATCH($A134,SPPR!$A:$A,0),11),""),"")</f>
        <v/>
      </c>
      <c r="O134">
        <f>IFERROR(IF(ISNUMBER(INDEX(SPPR!$E:$Z,MATCH($A134,SPPR!$A:$A,0),12)),$C134*INDEX(SPPR!$E:$Z,MATCH($A134,SPPR!$A:$A,0),12),""),"")</f>
        <v/>
      </c>
      <c r="P134">
        <f>IFERROR(IF(ISNUMBER(INDEX(SPPR!$E:$Z,MATCH($A134,SPPR!$A:$A,0),13)),$C134*INDEX(SPPR!$E:$Z,MATCH($A134,SPPR!$A:$A,0),13),""),"")</f>
        <v/>
      </c>
      <c r="Q134">
        <f>IFERROR(IF(ISNUMBER(INDEX(SPPR!$E:$Z,MATCH($A134,SPPR!$A:$A,0),14)),$C134*INDEX(SPPR!$E:$Z,MATCH($A134,SPPR!$A:$A,0),14),""),"")</f>
        <v/>
      </c>
      <c r="R134">
        <f>IFERROR(IF(ISNUMBER(INDEX(SPPR!$E:$Z,MATCH($A134,SPPR!$A:$A,0),15)),$C134*INDEX(SPPR!$E:$Z,MATCH($A134,SPPR!$A:$A,0),15),""),"")</f>
        <v/>
      </c>
      <c r="S134">
        <f>IFERROR(IF(ISNUMBER(INDEX(SPPR!$E:$Z,MATCH($A134,SPPR!$A:$A,0),16)),$C134*INDEX(SPPR!$E:$Z,MATCH($A134,SPPR!$A:$A,0),16),""),"")</f>
        <v/>
      </c>
      <c r="T134">
        <f>IFERROR(IF(ISNUMBER(INDEX(SPPR!$E:$Z,MATCH($A134,SPPR!$A:$A,0),17)),$C134*INDEX(SPPR!$E:$Z,MATCH($A134,SPPR!$A:$A,0),17),""),"")</f>
        <v/>
      </c>
      <c r="U134">
        <f>IFERROR(IF(ISNUMBER(INDEX(SPPR!$E:$Z,MATCH($A134,SPPR!$A:$A,0),18)),$C134*INDEX(SPPR!$E:$Z,MATCH($A134,SPPR!$A:$A,0),18),""),"")</f>
        <v/>
      </c>
      <c r="V134">
        <f>IFERROR(IF(ISNUMBER(INDEX(SPPR!$E:$Z,MATCH($A134,SPPR!$A:$A,0),19)),$C134*INDEX(SPPR!$E:$Z,MATCH($A134,SPPR!$A:$A,0),19),""),"")</f>
        <v/>
      </c>
      <c r="W134">
        <f>IFERROR(IF(ISNUMBER(INDEX(SPPR!$E:$Z,MATCH($A134,SPPR!$A:$A,0),20)),$C134*INDEX(SPPR!$E:$Z,MATCH($A134,SPPR!$A:$A,0),20),""),"")</f>
        <v/>
      </c>
      <c r="X134">
        <f>IFERROR(IF(ISNUMBER(INDEX(SPPR!$E:$Z,MATCH($A134,SPPR!$A:$A,0),21)),$C134*INDEX(SPPR!$E:$Z,MATCH($A134,SPPR!$A:$A,0),21),""),"")</f>
        <v/>
      </c>
      <c r="Y134">
        <f>IFERROR(IF(ISNUMBER(INDEX(SPPR!$E:$Z,MATCH($A134,SPPR!$A:$A,0),22)),$C134*INDEX(SPPR!$E:$Z,MATCH($A134,SPPR!$A:$A,0),22),""),"")</f>
        <v/>
      </c>
    </row>
    <row r="135">
      <c r="A135" t="inlineStr">
        <is>
          <t>Charybdis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IFERROR(IF(ISNUMBER(INDEX(SPPR!$E:$Z,MATCH($A135,SPPR!$A:$A,0),1)),$C135*INDEX(SPPR!$E:$Z,MATCH($A135,SPPR!$A:$A,0),1),""),"")</f>
        <v/>
      </c>
      <c r="E135">
        <f>IFERROR(IF(ISNUMBER(INDEX(SPPR!$E:$Z,MATCH($A135,SPPR!$A:$A,0),2)),$C135*INDEX(SPPR!$E:$Z,MATCH($A135,SPPR!$A:$A,0),2),""),"")</f>
        <v/>
      </c>
      <c r="F135">
        <f>IFERROR(IF(ISNUMBER(INDEX(SPPR!$E:$Z,MATCH($A135,SPPR!$A:$A,0),3)),$C135*INDEX(SPPR!$E:$Z,MATCH($A135,SPPR!$A:$A,0),3),""),"")</f>
        <v/>
      </c>
      <c r="G135">
        <f>IFERROR(IF(ISNUMBER(INDEX(SPPR!$E:$Z,MATCH($A135,SPPR!$A:$A,0),4)),$C135*INDEX(SPPR!$E:$Z,MATCH($A135,SPPR!$A:$A,0),4),""),"")</f>
        <v/>
      </c>
      <c r="H135">
        <f>IFERROR(IF(ISNUMBER(INDEX(SPPR!$E:$Z,MATCH($A135,SPPR!$A:$A,0),5)),$C135*INDEX(SPPR!$E:$Z,MATCH($A135,SPPR!$A:$A,0),5),""),"")</f>
        <v/>
      </c>
      <c r="I135">
        <f>IFERROR(IF(ISNUMBER(INDEX(SPPR!$E:$Z,MATCH($A135,SPPR!$A:$A,0),6)),$C135*INDEX(SPPR!$E:$Z,MATCH($A135,SPPR!$A:$A,0),6),""),"")</f>
        <v/>
      </c>
      <c r="J135">
        <f>IFERROR(IF(ISNUMBER(INDEX(SPPR!$E:$Z,MATCH($A135,SPPR!$A:$A,0),7)),$C135*INDEX(SPPR!$E:$Z,MATCH($A135,SPPR!$A:$A,0),7),""),"")</f>
        <v/>
      </c>
      <c r="K135">
        <f>IFERROR(IF(ISNUMBER(INDEX(SPPR!$E:$Z,MATCH($A135,SPPR!$A:$A,0),8)),$C135*INDEX(SPPR!$E:$Z,MATCH($A135,SPPR!$A:$A,0),8),""),"")</f>
        <v/>
      </c>
      <c r="L135">
        <f>IFERROR(IF(ISNUMBER(INDEX(SPPR!$E:$Z,MATCH($A135,SPPR!$A:$A,0),9)),$C135*INDEX(SPPR!$E:$Z,MATCH($A135,SPPR!$A:$A,0),9),""),"")</f>
        <v/>
      </c>
      <c r="M135">
        <f>IFERROR(IF(ISNUMBER(INDEX(SPPR!$E:$Z,MATCH($A135,SPPR!$A:$A,0),10)),$C135*INDEX(SPPR!$E:$Z,MATCH($A135,SPPR!$A:$A,0),10),""),"")</f>
        <v/>
      </c>
      <c r="N135">
        <f>IFERROR(IF(ISNUMBER(INDEX(SPPR!$E:$Z,MATCH($A135,SPPR!$A:$A,0),11)),$C135*INDEX(SPPR!$E:$Z,MATCH($A135,SPPR!$A:$A,0),11),""),"")</f>
        <v/>
      </c>
      <c r="O135">
        <f>IFERROR(IF(ISNUMBER(INDEX(SPPR!$E:$Z,MATCH($A135,SPPR!$A:$A,0),12)),$C135*INDEX(SPPR!$E:$Z,MATCH($A135,SPPR!$A:$A,0),12),""),"")</f>
        <v/>
      </c>
      <c r="P135">
        <f>IFERROR(IF(ISNUMBER(INDEX(SPPR!$E:$Z,MATCH($A135,SPPR!$A:$A,0),13)),$C135*INDEX(SPPR!$E:$Z,MATCH($A135,SPPR!$A:$A,0),13),""),"")</f>
        <v/>
      </c>
      <c r="Q135">
        <f>IFERROR(IF(ISNUMBER(INDEX(SPPR!$E:$Z,MATCH($A135,SPPR!$A:$A,0),14)),$C135*INDEX(SPPR!$E:$Z,MATCH($A135,SPPR!$A:$A,0),14),""),"")</f>
        <v/>
      </c>
      <c r="R135">
        <f>IFERROR(IF(ISNUMBER(INDEX(SPPR!$E:$Z,MATCH($A135,SPPR!$A:$A,0),15)),$C135*INDEX(SPPR!$E:$Z,MATCH($A135,SPPR!$A:$A,0),15),""),"")</f>
        <v/>
      </c>
      <c r="S135">
        <f>IFERROR(IF(ISNUMBER(INDEX(SPPR!$E:$Z,MATCH($A135,SPPR!$A:$A,0),16)),$C135*INDEX(SPPR!$E:$Z,MATCH($A135,SPPR!$A:$A,0),16),""),"")</f>
        <v/>
      </c>
      <c r="T135">
        <f>IFERROR(IF(ISNUMBER(INDEX(SPPR!$E:$Z,MATCH($A135,SPPR!$A:$A,0),17)),$C135*INDEX(SPPR!$E:$Z,MATCH($A135,SPPR!$A:$A,0),17),""),"")</f>
        <v/>
      </c>
      <c r="U135">
        <f>IFERROR(IF(ISNUMBER(INDEX(SPPR!$E:$Z,MATCH($A135,SPPR!$A:$A,0),18)),$C135*INDEX(SPPR!$E:$Z,MATCH($A135,SPPR!$A:$A,0),18),""),"")</f>
        <v/>
      </c>
      <c r="V135">
        <f>IFERROR(IF(ISNUMBER(INDEX(SPPR!$E:$Z,MATCH($A135,SPPR!$A:$A,0),19)),$C135*INDEX(SPPR!$E:$Z,MATCH($A135,SPPR!$A:$A,0),19),""),"")</f>
        <v/>
      </c>
      <c r="W135">
        <f>IFERROR(IF(ISNUMBER(INDEX(SPPR!$E:$Z,MATCH($A135,SPPR!$A:$A,0),20)),$C135*INDEX(SPPR!$E:$Z,MATCH($A135,SPPR!$A:$A,0),20),""),"")</f>
        <v/>
      </c>
      <c r="X135">
        <f>IFERROR(IF(ISNUMBER(INDEX(SPPR!$E:$Z,MATCH($A135,SPPR!$A:$A,0),21)),$C135*INDEX(SPPR!$E:$Z,MATCH($A135,SPPR!$A:$A,0),21),""),"")</f>
        <v/>
      </c>
      <c r="Y135">
        <f>IFERROR(IF(ISNUMBER(INDEX(SPPR!$E:$Z,MATCH($A135,SPPR!$A:$A,0),22)),$C135*INDEX(SPPR!$E:$Z,MATCH($A135,SPPR!$A:$A,0),22),""),"")</f>
        <v/>
      </c>
    </row>
    <row r="136">
      <c r="A136" t="inlineStr">
        <is>
          <t>Scorpaenidae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IFERROR(IF(ISNUMBER(INDEX(SPPR!$E:$Z,MATCH($A136,SPPR!$A:$A,0),1)),$C136*INDEX(SPPR!$E:$Z,MATCH($A136,SPPR!$A:$A,0),1),""),"")</f>
        <v/>
      </c>
      <c r="E136">
        <f>IFERROR(IF(ISNUMBER(INDEX(SPPR!$E:$Z,MATCH($A136,SPPR!$A:$A,0),2)),$C136*INDEX(SPPR!$E:$Z,MATCH($A136,SPPR!$A:$A,0),2),""),"")</f>
        <v/>
      </c>
      <c r="F136">
        <f>IFERROR(IF(ISNUMBER(INDEX(SPPR!$E:$Z,MATCH($A136,SPPR!$A:$A,0),3)),$C136*INDEX(SPPR!$E:$Z,MATCH($A136,SPPR!$A:$A,0),3),""),"")</f>
        <v/>
      </c>
      <c r="G136">
        <f>IFERROR(IF(ISNUMBER(INDEX(SPPR!$E:$Z,MATCH($A136,SPPR!$A:$A,0),4)),$C136*INDEX(SPPR!$E:$Z,MATCH($A136,SPPR!$A:$A,0),4),""),"")</f>
        <v/>
      </c>
      <c r="H136">
        <f>IFERROR(IF(ISNUMBER(INDEX(SPPR!$E:$Z,MATCH($A136,SPPR!$A:$A,0),5)),$C136*INDEX(SPPR!$E:$Z,MATCH($A136,SPPR!$A:$A,0),5),""),"")</f>
        <v/>
      </c>
      <c r="I136">
        <f>IFERROR(IF(ISNUMBER(INDEX(SPPR!$E:$Z,MATCH($A136,SPPR!$A:$A,0),6)),$C136*INDEX(SPPR!$E:$Z,MATCH($A136,SPPR!$A:$A,0),6),""),"")</f>
        <v/>
      </c>
      <c r="J136">
        <f>IFERROR(IF(ISNUMBER(INDEX(SPPR!$E:$Z,MATCH($A136,SPPR!$A:$A,0),7)),$C136*INDEX(SPPR!$E:$Z,MATCH($A136,SPPR!$A:$A,0),7),""),"")</f>
        <v/>
      </c>
      <c r="K136">
        <f>IFERROR(IF(ISNUMBER(INDEX(SPPR!$E:$Z,MATCH($A136,SPPR!$A:$A,0),8)),$C136*INDEX(SPPR!$E:$Z,MATCH($A136,SPPR!$A:$A,0),8),""),"")</f>
        <v/>
      </c>
      <c r="L136">
        <f>IFERROR(IF(ISNUMBER(INDEX(SPPR!$E:$Z,MATCH($A136,SPPR!$A:$A,0),9)),$C136*INDEX(SPPR!$E:$Z,MATCH($A136,SPPR!$A:$A,0),9),""),"")</f>
        <v/>
      </c>
      <c r="M136">
        <f>IFERROR(IF(ISNUMBER(INDEX(SPPR!$E:$Z,MATCH($A136,SPPR!$A:$A,0),10)),$C136*INDEX(SPPR!$E:$Z,MATCH($A136,SPPR!$A:$A,0),10),""),"")</f>
        <v/>
      </c>
      <c r="N136">
        <f>IFERROR(IF(ISNUMBER(INDEX(SPPR!$E:$Z,MATCH($A136,SPPR!$A:$A,0),11)),$C136*INDEX(SPPR!$E:$Z,MATCH($A136,SPPR!$A:$A,0),11),""),"")</f>
        <v/>
      </c>
      <c r="O136">
        <f>IFERROR(IF(ISNUMBER(INDEX(SPPR!$E:$Z,MATCH($A136,SPPR!$A:$A,0),12)),$C136*INDEX(SPPR!$E:$Z,MATCH($A136,SPPR!$A:$A,0),12),""),"")</f>
        <v/>
      </c>
      <c r="P136">
        <f>IFERROR(IF(ISNUMBER(INDEX(SPPR!$E:$Z,MATCH($A136,SPPR!$A:$A,0),13)),$C136*INDEX(SPPR!$E:$Z,MATCH($A136,SPPR!$A:$A,0),13),""),"")</f>
        <v/>
      </c>
      <c r="Q136">
        <f>IFERROR(IF(ISNUMBER(INDEX(SPPR!$E:$Z,MATCH($A136,SPPR!$A:$A,0),14)),$C136*INDEX(SPPR!$E:$Z,MATCH($A136,SPPR!$A:$A,0),14),""),"")</f>
        <v/>
      </c>
      <c r="R136">
        <f>IFERROR(IF(ISNUMBER(INDEX(SPPR!$E:$Z,MATCH($A136,SPPR!$A:$A,0),15)),$C136*INDEX(SPPR!$E:$Z,MATCH($A136,SPPR!$A:$A,0),15),""),"")</f>
        <v/>
      </c>
      <c r="S136">
        <f>IFERROR(IF(ISNUMBER(INDEX(SPPR!$E:$Z,MATCH($A136,SPPR!$A:$A,0),16)),$C136*INDEX(SPPR!$E:$Z,MATCH($A136,SPPR!$A:$A,0),16),""),"")</f>
        <v/>
      </c>
      <c r="T136">
        <f>IFERROR(IF(ISNUMBER(INDEX(SPPR!$E:$Z,MATCH($A136,SPPR!$A:$A,0),17)),$C136*INDEX(SPPR!$E:$Z,MATCH($A136,SPPR!$A:$A,0),17),""),"")</f>
        <v/>
      </c>
      <c r="U136">
        <f>IFERROR(IF(ISNUMBER(INDEX(SPPR!$E:$Z,MATCH($A136,SPPR!$A:$A,0),18)),$C136*INDEX(SPPR!$E:$Z,MATCH($A136,SPPR!$A:$A,0),18),""),"")</f>
        <v/>
      </c>
      <c r="V136">
        <f>IFERROR(IF(ISNUMBER(INDEX(SPPR!$E:$Z,MATCH($A136,SPPR!$A:$A,0),19)),$C136*INDEX(SPPR!$E:$Z,MATCH($A136,SPPR!$A:$A,0),19),""),"")</f>
        <v/>
      </c>
      <c r="W136">
        <f>IFERROR(IF(ISNUMBER(INDEX(SPPR!$E:$Z,MATCH($A136,SPPR!$A:$A,0),20)),$C136*INDEX(SPPR!$E:$Z,MATCH($A136,SPPR!$A:$A,0),20),""),"")</f>
        <v/>
      </c>
      <c r="X136">
        <f>IFERROR(IF(ISNUMBER(INDEX(SPPR!$E:$Z,MATCH($A136,SPPR!$A:$A,0),21)),$C136*INDEX(SPPR!$E:$Z,MATCH($A136,SPPR!$A:$A,0),21),""),"")</f>
        <v/>
      </c>
      <c r="Y136">
        <f>IFERROR(IF(ISNUMBER(INDEX(SPPR!$E:$Z,MATCH($A136,SPPR!$A:$A,0),22)),$C136*INDEX(SPPR!$E:$Z,MATCH($A136,SPPR!$A:$A,0),22),""),"")</f>
        <v/>
      </c>
    </row>
    <row r="137">
      <c r="A137" t="inlineStr">
        <is>
          <t>Podophthalmus vigil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IFERROR(IF(ISNUMBER(INDEX(SPPR!$E:$Z,MATCH($A137,SPPR!$A:$A,0),1)),$C137*INDEX(SPPR!$E:$Z,MATCH($A137,SPPR!$A:$A,0),1),""),"")</f>
        <v/>
      </c>
      <c r="E137">
        <f>IFERROR(IF(ISNUMBER(INDEX(SPPR!$E:$Z,MATCH($A137,SPPR!$A:$A,0),2)),$C137*INDEX(SPPR!$E:$Z,MATCH($A137,SPPR!$A:$A,0),2),""),"")</f>
        <v/>
      </c>
      <c r="F137">
        <f>IFERROR(IF(ISNUMBER(INDEX(SPPR!$E:$Z,MATCH($A137,SPPR!$A:$A,0),3)),$C137*INDEX(SPPR!$E:$Z,MATCH($A137,SPPR!$A:$A,0),3),""),"")</f>
        <v/>
      </c>
      <c r="G137">
        <f>IFERROR(IF(ISNUMBER(INDEX(SPPR!$E:$Z,MATCH($A137,SPPR!$A:$A,0),4)),$C137*INDEX(SPPR!$E:$Z,MATCH($A137,SPPR!$A:$A,0),4),""),"")</f>
        <v/>
      </c>
      <c r="H137">
        <f>IFERROR(IF(ISNUMBER(INDEX(SPPR!$E:$Z,MATCH($A137,SPPR!$A:$A,0),5)),$C137*INDEX(SPPR!$E:$Z,MATCH($A137,SPPR!$A:$A,0),5),""),"")</f>
        <v/>
      </c>
      <c r="I137">
        <f>IFERROR(IF(ISNUMBER(INDEX(SPPR!$E:$Z,MATCH($A137,SPPR!$A:$A,0),6)),$C137*INDEX(SPPR!$E:$Z,MATCH($A137,SPPR!$A:$A,0),6),""),"")</f>
        <v/>
      </c>
      <c r="J137">
        <f>IFERROR(IF(ISNUMBER(INDEX(SPPR!$E:$Z,MATCH($A137,SPPR!$A:$A,0),7)),$C137*INDEX(SPPR!$E:$Z,MATCH($A137,SPPR!$A:$A,0),7),""),"")</f>
        <v/>
      </c>
      <c r="K137">
        <f>IFERROR(IF(ISNUMBER(INDEX(SPPR!$E:$Z,MATCH($A137,SPPR!$A:$A,0),8)),$C137*INDEX(SPPR!$E:$Z,MATCH($A137,SPPR!$A:$A,0),8),""),"")</f>
        <v/>
      </c>
      <c r="L137">
        <f>IFERROR(IF(ISNUMBER(INDEX(SPPR!$E:$Z,MATCH($A137,SPPR!$A:$A,0),9)),$C137*INDEX(SPPR!$E:$Z,MATCH($A137,SPPR!$A:$A,0),9),""),"")</f>
        <v/>
      </c>
      <c r="M137">
        <f>IFERROR(IF(ISNUMBER(INDEX(SPPR!$E:$Z,MATCH($A137,SPPR!$A:$A,0),10)),$C137*INDEX(SPPR!$E:$Z,MATCH($A137,SPPR!$A:$A,0),10),""),"")</f>
        <v/>
      </c>
      <c r="N137">
        <f>IFERROR(IF(ISNUMBER(INDEX(SPPR!$E:$Z,MATCH($A137,SPPR!$A:$A,0),11)),$C137*INDEX(SPPR!$E:$Z,MATCH($A137,SPPR!$A:$A,0),11),""),"")</f>
        <v/>
      </c>
      <c r="O137">
        <f>IFERROR(IF(ISNUMBER(INDEX(SPPR!$E:$Z,MATCH($A137,SPPR!$A:$A,0),12)),$C137*INDEX(SPPR!$E:$Z,MATCH($A137,SPPR!$A:$A,0),12),""),"")</f>
        <v/>
      </c>
      <c r="P137">
        <f>IFERROR(IF(ISNUMBER(INDEX(SPPR!$E:$Z,MATCH($A137,SPPR!$A:$A,0),13)),$C137*INDEX(SPPR!$E:$Z,MATCH($A137,SPPR!$A:$A,0),13),""),"")</f>
        <v/>
      </c>
      <c r="Q137">
        <f>IFERROR(IF(ISNUMBER(INDEX(SPPR!$E:$Z,MATCH($A137,SPPR!$A:$A,0),14)),$C137*INDEX(SPPR!$E:$Z,MATCH($A137,SPPR!$A:$A,0),14),""),"")</f>
        <v/>
      </c>
      <c r="R137">
        <f>IFERROR(IF(ISNUMBER(INDEX(SPPR!$E:$Z,MATCH($A137,SPPR!$A:$A,0),15)),$C137*INDEX(SPPR!$E:$Z,MATCH($A137,SPPR!$A:$A,0),15),""),"")</f>
        <v/>
      </c>
      <c r="S137">
        <f>IFERROR(IF(ISNUMBER(INDEX(SPPR!$E:$Z,MATCH($A137,SPPR!$A:$A,0),16)),$C137*INDEX(SPPR!$E:$Z,MATCH($A137,SPPR!$A:$A,0),16),""),"")</f>
        <v/>
      </c>
      <c r="T137">
        <f>IFERROR(IF(ISNUMBER(INDEX(SPPR!$E:$Z,MATCH($A137,SPPR!$A:$A,0),17)),$C137*INDEX(SPPR!$E:$Z,MATCH($A137,SPPR!$A:$A,0),17),""),"")</f>
        <v/>
      </c>
      <c r="U137">
        <f>IFERROR(IF(ISNUMBER(INDEX(SPPR!$E:$Z,MATCH($A137,SPPR!$A:$A,0),18)),$C137*INDEX(SPPR!$E:$Z,MATCH($A137,SPPR!$A:$A,0),18),""),"")</f>
        <v/>
      </c>
      <c r="V137">
        <f>IFERROR(IF(ISNUMBER(INDEX(SPPR!$E:$Z,MATCH($A137,SPPR!$A:$A,0),19)),$C137*INDEX(SPPR!$E:$Z,MATCH($A137,SPPR!$A:$A,0),19),""),"")</f>
        <v/>
      </c>
      <c r="W137">
        <f>IFERROR(IF(ISNUMBER(INDEX(SPPR!$E:$Z,MATCH($A137,SPPR!$A:$A,0),20)),$C137*INDEX(SPPR!$E:$Z,MATCH($A137,SPPR!$A:$A,0),20),""),"")</f>
        <v/>
      </c>
      <c r="X137">
        <f>IFERROR(IF(ISNUMBER(INDEX(SPPR!$E:$Z,MATCH($A137,SPPR!$A:$A,0),21)),$C137*INDEX(SPPR!$E:$Z,MATCH($A137,SPPR!$A:$A,0),21),""),"")</f>
        <v/>
      </c>
      <c r="Y137">
        <f>IFERROR(IF(ISNUMBER(INDEX(SPPR!$E:$Z,MATCH($A137,SPPR!$A:$A,0),22)),$C137*INDEX(SPPR!$E:$Z,MATCH($A137,SPPR!$A:$A,0),22),""),"")</f>
        <v/>
      </c>
    </row>
    <row r="138">
      <c r="A138" t="inlineStr">
        <is>
          <t>Charybdis feriatus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IFERROR(IF(ISNUMBER(INDEX(SPPR!$E:$Z,MATCH($A138,SPPR!$A:$A,0),1)),$C138*INDEX(SPPR!$E:$Z,MATCH($A138,SPPR!$A:$A,0),1),""),"")</f>
        <v/>
      </c>
      <c r="E138">
        <f>IFERROR(IF(ISNUMBER(INDEX(SPPR!$E:$Z,MATCH($A138,SPPR!$A:$A,0),2)),$C138*INDEX(SPPR!$E:$Z,MATCH($A138,SPPR!$A:$A,0),2),""),"")</f>
        <v/>
      </c>
      <c r="F138">
        <f>IFERROR(IF(ISNUMBER(INDEX(SPPR!$E:$Z,MATCH($A138,SPPR!$A:$A,0),3)),$C138*INDEX(SPPR!$E:$Z,MATCH($A138,SPPR!$A:$A,0),3),""),"")</f>
        <v/>
      </c>
      <c r="G138">
        <f>IFERROR(IF(ISNUMBER(INDEX(SPPR!$E:$Z,MATCH($A138,SPPR!$A:$A,0),4)),$C138*INDEX(SPPR!$E:$Z,MATCH($A138,SPPR!$A:$A,0),4),""),"")</f>
        <v/>
      </c>
      <c r="H138">
        <f>IFERROR(IF(ISNUMBER(INDEX(SPPR!$E:$Z,MATCH($A138,SPPR!$A:$A,0),5)),$C138*INDEX(SPPR!$E:$Z,MATCH($A138,SPPR!$A:$A,0),5),""),"")</f>
        <v/>
      </c>
      <c r="I138">
        <f>IFERROR(IF(ISNUMBER(INDEX(SPPR!$E:$Z,MATCH($A138,SPPR!$A:$A,0),6)),$C138*INDEX(SPPR!$E:$Z,MATCH($A138,SPPR!$A:$A,0),6),""),"")</f>
        <v/>
      </c>
      <c r="J138">
        <f>IFERROR(IF(ISNUMBER(INDEX(SPPR!$E:$Z,MATCH($A138,SPPR!$A:$A,0),7)),$C138*INDEX(SPPR!$E:$Z,MATCH($A138,SPPR!$A:$A,0),7),""),"")</f>
        <v/>
      </c>
      <c r="K138">
        <f>IFERROR(IF(ISNUMBER(INDEX(SPPR!$E:$Z,MATCH($A138,SPPR!$A:$A,0),8)),$C138*INDEX(SPPR!$E:$Z,MATCH($A138,SPPR!$A:$A,0),8),""),"")</f>
        <v/>
      </c>
      <c r="L138">
        <f>IFERROR(IF(ISNUMBER(INDEX(SPPR!$E:$Z,MATCH($A138,SPPR!$A:$A,0),9)),$C138*INDEX(SPPR!$E:$Z,MATCH($A138,SPPR!$A:$A,0),9),""),"")</f>
        <v/>
      </c>
      <c r="M138">
        <f>IFERROR(IF(ISNUMBER(INDEX(SPPR!$E:$Z,MATCH($A138,SPPR!$A:$A,0),10)),$C138*INDEX(SPPR!$E:$Z,MATCH($A138,SPPR!$A:$A,0),10),""),"")</f>
        <v/>
      </c>
      <c r="N138">
        <f>IFERROR(IF(ISNUMBER(INDEX(SPPR!$E:$Z,MATCH($A138,SPPR!$A:$A,0),11)),$C138*INDEX(SPPR!$E:$Z,MATCH($A138,SPPR!$A:$A,0),11),""),"")</f>
        <v/>
      </c>
      <c r="O138">
        <f>IFERROR(IF(ISNUMBER(INDEX(SPPR!$E:$Z,MATCH($A138,SPPR!$A:$A,0),12)),$C138*INDEX(SPPR!$E:$Z,MATCH($A138,SPPR!$A:$A,0),12),""),"")</f>
        <v/>
      </c>
      <c r="P138">
        <f>IFERROR(IF(ISNUMBER(INDEX(SPPR!$E:$Z,MATCH($A138,SPPR!$A:$A,0),13)),$C138*INDEX(SPPR!$E:$Z,MATCH($A138,SPPR!$A:$A,0),13),""),"")</f>
        <v/>
      </c>
      <c r="Q138">
        <f>IFERROR(IF(ISNUMBER(INDEX(SPPR!$E:$Z,MATCH($A138,SPPR!$A:$A,0),14)),$C138*INDEX(SPPR!$E:$Z,MATCH($A138,SPPR!$A:$A,0),14),""),"")</f>
        <v/>
      </c>
      <c r="R138">
        <f>IFERROR(IF(ISNUMBER(INDEX(SPPR!$E:$Z,MATCH($A138,SPPR!$A:$A,0),15)),$C138*INDEX(SPPR!$E:$Z,MATCH($A138,SPPR!$A:$A,0),15),""),"")</f>
        <v/>
      </c>
      <c r="S138">
        <f>IFERROR(IF(ISNUMBER(INDEX(SPPR!$E:$Z,MATCH($A138,SPPR!$A:$A,0),16)),$C138*INDEX(SPPR!$E:$Z,MATCH($A138,SPPR!$A:$A,0),16),""),"")</f>
        <v/>
      </c>
      <c r="T138">
        <f>IFERROR(IF(ISNUMBER(INDEX(SPPR!$E:$Z,MATCH($A138,SPPR!$A:$A,0),17)),$C138*INDEX(SPPR!$E:$Z,MATCH($A138,SPPR!$A:$A,0),17),""),"")</f>
        <v/>
      </c>
      <c r="U138">
        <f>IFERROR(IF(ISNUMBER(INDEX(SPPR!$E:$Z,MATCH($A138,SPPR!$A:$A,0),18)),$C138*INDEX(SPPR!$E:$Z,MATCH($A138,SPPR!$A:$A,0),18),""),"")</f>
        <v/>
      </c>
      <c r="V138">
        <f>IFERROR(IF(ISNUMBER(INDEX(SPPR!$E:$Z,MATCH($A138,SPPR!$A:$A,0),19)),$C138*INDEX(SPPR!$E:$Z,MATCH($A138,SPPR!$A:$A,0),19),""),"")</f>
        <v/>
      </c>
      <c r="W138">
        <f>IFERROR(IF(ISNUMBER(INDEX(SPPR!$E:$Z,MATCH($A138,SPPR!$A:$A,0),20)),$C138*INDEX(SPPR!$E:$Z,MATCH($A138,SPPR!$A:$A,0),20),""),"")</f>
        <v/>
      </c>
      <c r="X138">
        <f>IFERROR(IF(ISNUMBER(INDEX(SPPR!$E:$Z,MATCH($A138,SPPR!$A:$A,0),21)),$C138*INDEX(SPPR!$E:$Z,MATCH($A138,SPPR!$A:$A,0),21),""),"")</f>
        <v/>
      </c>
      <c r="Y138">
        <f>IFERROR(IF(ISNUMBER(INDEX(SPPR!$E:$Z,MATCH($A138,SPPR!$A:$A,0),22)),$C138*INDEX(SPPR!$E:$Z,MATCH($A138,SPPR!$A:$A,0),22),""),"")</f>
        <v/>
      </c>
    </row>
    <row r="139">
      <c r="A139" t="inlineStr">
        <is>
          <t>Scomberoides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IFERROR(IF(ISNUMBER(INDEX(SPPR!$E:$Z,MATCH($A139,SPPR!$A:$A,0),1)),$C139*INDEX(SPPR!$E:$Z,MATCH($A139,SPPR!$A:$A,0),1),""),"")</f>
        <v/>
      </c>
      <c r="E139">
        <f>IFERROR(IF(ISNUMBER(INDEX(SPPR!$E:$Z,MATCH($A139,SPPR!$A:$A,0),2)),$C139*INDEX(SPPR!$E:$Z,MATCH($A139,SPPR!$A:$A,0),2),""),"")</f>
        <v/>
      </c>
      <c r="F139">
        <f>IFERROR(IF(ISNUMBER(INDEX(SPPR!$E:$Z,MATCH($A139,SPPR!$A:$A,0),3)),$C139*INDEX(SPPR!$E:$Z,MATCH($A139,SPPR!$A:$A,0),3),""),"")</f>
        <v/>
      </c>
      <c r="G139">
        <f>IFERROR(IF(ISNUMBER(INDEX(SPPR!$E:$Z,MATCH($A139,SPPR!$A:$A,0),4)),$C139*INDEX(SPPR!$E:$Z,MATCH($A139,SPPR!$A:$A,0),4),""),"")</f>
        <v/>
      </c>
      <c r="H139">
        <f>IFERROR(IF(ISNUMBER(INDEX(SPPR!$E:$Z,MATCH($A139,SPPR!$A:$A,0),5)),$C139*INDEX(SPPR!$E:$Z,MATCH($A139,SPPR!$A:$A,0),5),""),"")</f>
        <v/>
      </c>
      <c r="I139">
        <f>IFERROR(IF(ISNUMBER(INDEX(SPPR!$E:$Z,MATCH($A139,SPPR!$A:$A,0),6)),$C139*INDEX(SPPR!$E:$Z,MATCH($A139,SPPR!$A:$A,0),6),""),"")</f>
        <v/>
      </c>
      <c r="J139">
        <f>IFERROR(IF(ISNUMBER(INDEX(SPPR!$E:$Z,MATCH($A139,SPPR!$A:$A,0),7)),$C139*INDEX(SPPR!$E:$Z,MATCH($A139,SPPR!$A:$A,0),7),""),"")</f>
        <v/>
      </c>
      <c r="K139">
        <f>IFERROR(IF(ISNUMBER(INDEX(SPPR!$E:$Z,MATCH($A139,SPPR!$A:$A,0),8)),$C139*INDEX(SPPR!$E:$Z,MATCH($A139,SPPR!$A:$A,0),8),""),"")</f>
        <v/>
      </c>
      <c r="L139">
        <f>IFERROR(IF(ISNUMBER(INDEX(SPPR!$E:$Z,MATCH($A139,SPPR!$A:$A,0),9)),$C139*INDEX(SPPR!$E:$Z,MATCH($A139,SPPR!$A:$A,0),9),""),"")</f>
        <v/>
      </c>
      <c r="M139">
        <f>IFERROR(IF(ISNUMBER(INDEX(SPPR!$E:$Z,MATCH($A139,SPPR!$A:$A,0),10)),$C139*INDEX(SPPR!$E:$Z,MATCH($A139,SPPR!$A:$A,0),10),""),"")</f>
        <v/>
      </c>
      <c r="N139">
        <f>IFERROR(IF(ISNUMBER(INDEX(SPPR!$E:$Z,MATCH($A139,SPPR!$A:$A,0),11)),$C139*INDEX(SPPR!$E:$Z,MATCH($A139,SPPR!$A:$A,0),11),""),"")</f>
        <v/>
      </c>
      <c r="O139">
        <f>IFERROR(IF(ISNUMBER(INDEX(SPPR!$E:$Z,MATCH($A139,SPPR!$A:$A,0),12)),$C139*INDEX(SPPR!$E:$Z,MATCH($A139,SPPR!$A:$A,0),12),""),"")</f>
        <v/>
      </c>
      <c r="P139">
        <f>IFERROR(IF(ISNUMBER(INDEX(SPPR!$E:$Z,MATCH($A139,SPPR!$A:$A,0),13)),$C139*INDEX(SPPR!$E:$Z,MATCH($A139,SPPR!$A:$A,0),13),""),"")</f>
        <v/>
      </c>
      <c r="Q139">
        <f>IFERROR(IF(ISNUMBER(INDEX(SPPR!$E:$Z,MATCH($A139,SPPR!$A:$A,0),14)),$C139*INDEX(SPPR!$E:$Z,MATCH($A139,SPPR!$A:$A,0),14),""),"")</f>
        <v/>
      </c>
      <c r="R139">
        <f>IFERROR(IF(ISNUMBER(INDEX(SPPR!$E:$Z,MATCH($A139,SPPR!$A:$A,0),15)),$C139*INDEX(SPPR!$E:$Z,MATCH($A139,SPPR!$A:$A,0),15),""),"")</f>
        <v/>
      </c>
      <c r="S139">
        <f>IFERROR(IF(ISNUMBER(INDEX(SPPR!$E:$Z,MATCH($A139,SPPR!$A:$A,0),16)),$C139*INDEX(SPPR!$E:$Z,MATCH($A139,SPPR!$A:$A,0),16),""),"")</f>
        <v/>
      </c>
      <c r="T139">
        <f>IFERROR(IF(ISNUMBER(INDEX(SPPR!$E:$Z,MATCH($A139,SPPR!$A:$A,0),17)),$C139*INDEX(SPPR!$E:$Z,MATCH($A139,SPPR!$A:$A,0),17),""),"")</f>
        <v/>
      </c>
      <c r="U139">
        <f>IFERROR(IF(ISNUMBER(INDEX(SPPR!$E:$Z,MATCH($A139,SPPR!$A:$A,0),18)),$C139*INDEX(SPPR!$E:$Z,MATCH($A139,SPPR!$A:$A,0),18),""),"")</f>
        <v/>
      </c>
      <c r="V139">
        <f>IFERROR(IF(ISNUMBER(INDEX(SPPR!$E:$Z,MATCH($A139,SPPR!$A:$A,0),19)),$C139*INDEX(SPPR!$E:$Z,MATCH($A139,SPPR!$A:$A,0),19),""),"")</f>
        <v/>
      </c>
      <c r="W139">
        <f>IFERROR(IF(ISNUMBER(INDEX(SPPR!$E:$Z,MATCH($A139,SPPR!$A:$A,0),20)),$C139*INDEX(SPPR!$E:$Z,MATCH($A139,SPPR!$A:$A,0),20),""),"")</f>
        <v/>
      </c>
      <c r="X139">
        <f>IFERROR(IF(ISNUMBER(INDEX(SPPR!$E:$Z,MATCH($A139,SPPR!$A:$A,0),21)),$C139*INDEX(SPPR!$E:$Z,MATCH($A139,SPPR!$A:$A,0),21),""),"")</f>
        <v/>
      </c>
      <c r="Y139">
        <f>IFERROR(IF(ISNUMBER(INDEX(SPPR!$E:$Z,MATCH($A139,SPPR!$A:$A,0),22)),$C139*INDEX(SPPR!$E:$Z,MATCH($A139,SPPR!$A:$A,0),22),""),"")</f>
        <v/>
      </c>
    </row>
    <row r="140">
      <c r="A140" t="inlineStr">
        <is>
          <t>Caesio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IFERROR(IF(ISNUMBER(INDEX(SPPR!$E:$Z,MATCH($A140,SPPR!$A:$A,0),1)),$C140*INDEX(SPPR!$E:$Z,MATCH($A140,SPPR!$A:$A,0),1),""),"")</f>
        <v/>
      </c>
      <c r="E140">
        <f>IFERROR(IF(ISNUMBER(INDEX(SPPR!$E:$Z,MATCH($A140,SPPR!$A:$A,0),2)),$C140*INDEX(SPPR!$E:$Z,MATCH($A140,SPPR!$A:$A,0),2),""),"")</f>
        <v/>
      </c>
      <c r="F140">
        <f>IFERROR(IF(ISNUMBER(INDEX(SPPR!$E:$Z,MATCH($A140,SPPR!$A:$A,0),3)),$C140*INDEX(SPPR!$E:$Z,MATCH($A140,SPPR!$A:$A,0),3),""),"")</f>
        <v/>
      </c>
      <c r="G140">
        <f>IFERROR(IF(ISNUMBER(INDEX(SPPR!$E:$Z,MATCH($A140,SPPR!$A:$A,0),4)),$C140*INDEX(SPPR!$E:$Z,MATCH($A140,SPPR!$A:$A,0),4),""),"")</f>
        <v/>
      </c>
      <c r="H140">
        <f>IFERROR(IF(ISNUMBER(INDEX(SPPR!$E:$Z,MATCH($A140,SPPR!$A:$A,0),5)),$C140*INDEX(SPPR!$E:$Z,MATCH($A140,SPPR!$A:$A,0),5),""),"")</f>
        <v/>
      </c>
      <c r="I140">
        <f>IFERROR(IF(ISNUMBER(INDEX(SPPR!$E:$Z,MATCH($A140,SPPR!$A:$A,0),6)),$C140*INDEX(SPPR!$E:$Z,MATCH($A140,SPPR!$A:$A,0),6),""),"")</f>
        <v/>
      </c>
      <c r="J140">
        <f>IFERROR(IF(ISNUMBER(INDEX(SPPR!$E:$Z,MATCH($A140,SPPR!$A:$A,0),7)),$C140*INDEX(SPPR!$E:$Z,MATCH($A140,SPPR!$A:$A,0),7),""),"")</f>
        <v/>
      </c>
      <c r="K140">
        <f>IFERROR(IF(ISNUMBER(INDEX(SPPR!$E:$Z,MATCH($A140,SPPR!$A:$A,0),8)),$C140*INDEX(SPPR!$E:$Z,MATCH($A140,SPPR!$A:$A,0),8),""),"")</f>
        <v/>
      </c>
      <c r="L140">
        <f>IFERROR(IF(ISNUMBER(INDEX(SPPR!$E:$Z,MATCH($A140,SPPR!$A:$A,0),9)),$C140*INDEX(SPPR!$E:$Z,MATCH($A140,SPPR!$A:$A,0),9),""),"")</f>
        <v/>
      </c>
      <c r="M140">
        <f>IFERROR(IF(ISNUMBER(INDEX(SPPR!$E:$Z,MATCH($A140,SPPR!$A:$A,0),10)),$C140*INDEX(SPPR!$E:$Z,MATCH($A140,SPPR!$A:$A,0),10),""),"")</f>
        <v/>
      </c>
      <c r="N140">
        <f>IFERROR(IF(ISNUMBER(INDEX(SPPR!$E:$Z,MATCH($A140,SPPR!$A:$A,0),11)),$C140*INDEX(SPPR!$E:$Z,MATCH($A140,SPPR!$A:$A,0),11),""),"")</f>
        <v/>
      </c>
      <c r="O140">
        <f>IFERROR(IF(ISNUMBER(INDEX(SPPR!$E:$Z,MATCH($A140,SPPR!$A:$A,0),12)),$C140*INDEX(SPPR!$E:$Z,MATCH($A140,SPPR!$A:$A,0),12),""),"")</f>
        <v/>
      </c>
      <c r="P140">
        <f>IFERROR(IF(ISNUMBER(INDEX(SPPR!$E:$Z,MATCH($A140,SPPR!$A:$A,0),13)),$C140*INDEX(SPPR!$E:$Z,MATCH($A140,SPPR!$A:$A,0),13),""),"")</f>
        <v/>
      </c>
      <c r="Q140">
        <f>IFERROR(IF(ISNUMBER(INDEX(SPPR!$E:$Z,MATCH($A140,SPPR!$A:$A,0),14)),$C140*INDEX(SPPR!$E:$Z,MATCH($A140,SPPR!$A:$A,0),14),""),"")</f>
        <v/>
      </c>
      <c r="R140">
        <f>IFERROR(IF(ISNUMBER(INDEX(SPPR!$E:$Z,MATCH($A140,SPPR!$A:$A,0),15)),$C140*INDEX(SPPR!$E:$Z,MATCH($A140,SPPR!$A:$A,0),15),""),"")</f>
        <v/>
      </c>
      <c r="S140">
        <f>IFERROR(IF(ISNUMBER(INDEX(SPPR!$E:$Z,MATCH($A140,SPPR!$A:$A,0),16)),$C140*INDEX(SPPR!$E:$Z,MATCH($A140,SPPR!$A:$A,0),16),""),"")</f>
        <v/>
      </c>
      <c r="T140">
        <f>IFERROR(IF(ISNUMBER(INDEX(SPPR!$E:$Z,MATCH($A140,SPPR!$A:$A,0),17)),$C140*INDEX(SPPR!$E:$Z,MATCH($A140,SPPR!$A:$A,0),17),""),"")</f>
        <v/>
      </c>
      <c r="U140">
        <f>IFERROR(IF(ISNUMBER(INDEX(SPPR!$E:$Z,MATCH($A140,SPPR!$A:$A,0),18)),$C140*INDEX(SPPR!$E:$Z,MATCH($A140,SPPR!$A:$A,0),18),""),"")</f>
        <v/>
      </c>
      <c r="V140">
        <f>IFERROR(IF(ISNUMBER(INDEX(SPPR!$E:$Z,MATCH($A140,SPPR!$A:$A,0),19)),$C140*INDEX(SPPR!$E:$Z,MATCH($A140,SPPR!$A:$A,0),19),""),"")</f>
        <v/>
      </c>
      <c r="W140">
        <f>IFERROR(IF(ISNUMBER(INDEX(SPPR!$E:$Z,MATCH($A140,SPPR!$A:$A,0),20)),$C140*INDEX(SPPR!$E:$Z,MATCH($A140,SPPR!$A:$A,0),20),""),"")</f>
        <v/>
      </c>
      <c r="X140">
        <f>IFERROR(IF(ISNUMBER(INDEX(SPPR!$E:$Z,MATCH($A140,SPPR!$A:$A,0),21)),$C140*INDEX(SPPR!$E:$Z,MATCH($A140,SPPR!$A:$A,0),21),""),"")</f>
        <v/>
      </c>
      <c r="Y140">
        <f>IFERROR(IF(ISNUMBER(INDEX(SPPR!$E:$Z,MATCH($A140,SPPR!$A:$A,0),22)),$C140*INDEX(SPPR!$E:$Z,MATCH($A140,SPPR!$A:$A,0),22),""),"")</f>
        <v/>
      </c>
    </row>
    <row r="141">
      <c r="A141" t="inlineStr">
        <is>
          <t>Charybdis anisodon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IFERROR(IF(ISNUMBER(INDEX(SPPR!$E:$Z,MATCH($A141,SPPR!$A:$A,0),1)),$C141*INDEX(SPPR!$E:$Z,MATCH($A141,SPPR!$A:$A,0),1),""),"")</f>
        <v/>
      </c>
      <c r="E141">
        <f>IFERROR(IF(ISNUMBER(INDEX(SPPR!$E:$Z,MATCH($A141,SPPR!$A:$A,0),2)),$C141*INDEX(SPPR!$E:$Z,MATCH($A141,SPPR!$A:$A,0),2),""),"")</f>
        <v/>
      </c>
      <c r="F141">
        <f>IFERROR(IF(ISNUMBER(INDEX(SPPR!$E:$Z,MATCH($A141,SPPR!$A:$A,0),3)),$C141*INDEX(SPPR!$E:$Z,MATCH($A141,SPPR!$A:$A,0),3),""),"")</f>
        <v/>
      </c>
      <c r="G141">
        <f>IFERROR(IF(ISNUMBER(INDEX(SPPR!$E:$Z,MATCH($A141,SPPR!$A:$A,0),4)),$C141*INDEX(SPPR!$E:$Z,MATCH($A141,SPPR!$A:$A,0),4),""),"")</f>
        <v/>
      </c>
      <c r="H141">
        <f>IFERROR(IF(ISNUMBER(INDEX(SPPR!$E:$Z,MATCH($A141,SPPR!$A:$A,0),5)),$C141*INDEX(SPPR!$E:$Z,MATCH($A141,SPPR!$A:$A,0),5),""),"")</f>
        <v/>
      </c>
      <c r="I141">
        <f>IFERROR(IF(ISNUMBER(INDEX(SPPR!$E:$Z,MATCH($A141,SPPR!$A:$A,0),6)),$C141*INDEX(SPPR!$E:$Z,MATCH($A141,SPPR!$A:$A,0),6),""),"")</f>
        <v/>
      </c>
      <c r="J141">
        <f>IFERROR(IF(ISNUMBER(INDEX(SPPR!$E:$Z,MATCH($A141,SPPR!$A:$A,0),7)),$C141*INDEX(SPPR!$E:$Z,MATCH($A141,SPPR!$A:$A,0),7),""),"")</f>
        <v/>
      </c>
      <c r="K141">
        <f>IFERROR(IF(ISNUMBER(INDEX(SPPR!$E:$Z,MATCH($A141,SPPR!$A:$A,0),8)),$C141*INDEX(SPPR!$E:$Z,MATCH($A141,SPPR!$A:$A,0),8),""),"")</f>
        <v/>
      </c>
      <c r="L141">
        <f>IFERROR(IF(ISNUMBER(INDEX(SPPR!$E:$Z,MATCH($A141,SPPR!$A:$A,0),9)),$C141*INDEX(SPPR!$E:$Z,MATCH($A141,SPPR!$A:$A,0),9),""),"")</f>
        <v/>
      </c>
      <c r="M141">
        <f>IFERROR(IF(ISNUMBER(INDEX(SPPR!$E:$Z,MATCH($A141,SPPR!$A:$A,0),10)),$C141*INDEX(SPPR!$E:$Z,MATCH($A141,SPPR!$A:$A,0),10),""),"")</f>
        <v/>
      </c>
      <c r="N141">
        <f>IFERROR(IF(ISNUMBER(INDEX(SPPR!$E:$Z,MATCH($A141,SPPR!$A:$A,0),11)),$C141*INDEX(SPPR!$E:$Z,MATCH($A141,SPPR!$A:$A,0),11),""),"")</f>
        <v/>
      </c>
      <c r="O141">
        <f>IFERROR(IF(ISNUMBER(INDEX(SPPR!$E:$Z,MATCH($A141,SPPR!$A:$A,0),12)),$C141*INDEX(SPPR!$E:$Z,MATCH($A141,SPPR!$A:$A,0),12),""),"")</f>
        <v/>
      </c>
      <c r="P141">
        <f>IFERROR(IF(ISNUMBER(INDEX(SPPR!$E:$Z,MATCH($A141,SPPR!$A:$A,0),13)),$C141*INDEX(SPPR!$E:$Z,MATCH($A141,SPPR!$A:$A,0),13),""),"")</f>
        <v/>
      </c>
      <c r="Q141">
        <f>IFERROR(IF(ISNUMBER(INDEX(SPPR!$E:$Z,MATCH($A141,SPPR!$A:$A,0),14)),$C141*INDEX(SPPR!$E:$Z,MATCH($A141,SPPR!$A:$A,0),14),""),"")</f>
        <v/>
      </c>
      <c r="R141">
        <f>IFERROR(IF(ISNUMBER(INDEX(SPPR!$E:$Z,MATCH($A141,SPPR!$A:$A,0),15)),$C141*INDEX(SPPR!$E:$Z,MATCH($A141,SPPR!$A:$A,0),15),""),"")</f>
        <v/>
      </c>
      <c r="S141">
        <f>IFERROR(IF(ISNUMBER(INDEX(SPPR!$E:$Z,MATCH($A141,SPPR!$A:$A,0),16)),$C141*INDEX(SPPR!$E:$Z,MATCH($A141,SPPR!$A:$A,0),16),""),"")</f>
        <v/>
      </c>
      <c r="T141">
        <f>IFERROR(IF(ISNUMBER(INDEX(SPPR!$E:$Z,MATCH($A141,SPPR!$A:$A,0),17)),$C141*INDEX(SPPR!$E:$Z,MATCH($A141,SPPR!$A:$A,0),17),""),"")</f>
        <v/>
      </c>
      <c r="U141">
        <f>IFERROR(IF(ISNUMBER(INDEX(SPPR!$E:$Z,MATCH($A141,SPPR!$A:$A,0),18)),$C141*INDEX(SPPR!$E:$Z,MATCH($A141,SPPR!$A:$A,0),18),""),"")</f>
        <v/>
      </c>
      <c r="V141">
        <f>IFERROR(IF(ISNUMBER(INDEX(SPPR!$E:$Z,MATCH($A141,SPPR!$A:$A,0),19)),$C141*INDEX(SPPR!$E:$Z,MATCH($A141,SPPR!$A:$A,0),19),""),"")</f>
        <v/>
      </c>
      <c r="W141">
        <f>IFERROR(IF(ISNUMBER(INDEX(SPPR!$E:$Z,MATCH($A141,SPPR!$A:$A,0),20)),$C141*INDEX(SPPR!$E:$Z,MATCH($A141,SPPR!$A:$A,0),20),""),"")</f>
        <v/>
      </c>
      <c r="X141">
        <f>IFERROR(IF(ISNUMBER(INDEX(SPPR!$E:$Z,MATCH($A141,SPPR!$A:$A,0),21)),$C141*INDEX(SPPR!$E:$Z,MATCH($A141,SPPR!$A:$A,0),21),""),"")</f>
        <v/>
      </c>
      <c r="Y141">
        <f>IFERROR(IF(ISNUMBER(INDEX(SPPR!$E:$Z,MATCH($A141,SPPR!$A:$A,0),22)),$C141*INDEX(SPPR!$E:$Z,MATCH($A141,SPPR!$A:$A,0),22),""),"")</f>
        <v/>
      </c>
    </row>
    <row r="142">
      <c r="A142" t="inlineStr">
        <is>
          <t>Mierspenaeopsis hardwickii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IFERROR(IF(ISNUMBER(INDEX(SPPR!$E:$Z,MATCH($A142,SPPR!$A:$A,0),1)),$C142*INDEX(SPPR!$E:$Z,MATCH($A142,SPPR!$A:$A,0),1),""),"")</f>
        <v/>
      </c>
      <c r="E142">
        <f>IFERROR(IF(ISNUMBER(INDEX(SPPR!$E:$Z,MATCH($A142,SPPR!$A:$A,0),2)),$C142*INDEX(SPPR!$E:$Z,MATCH($A142,SPPR!$A:$A,0),2),""),"")</f>
        <v/>
      </c>
      <c r="F142">
        <f>IFERROR(IF(ISNUMBER(INDEX(SPPR!$E:$Z,MATCH($A142,SPPR!$A:$A,0),3)),$C142*INDEX(SPPR!$E:$Z,MATCH($A142,SPPR!$A:$A,0),3),""),"")</f>
        <v/>
      </c>
      <c r="G142">
        <f>IFERROR(IF(ISNUMBER(INDEX(SPPR!$E:$Z,MATCH($A142,SPPR!$A:$A,0),4)),$C142*INDEX(SPPR!$E:$Z,MATCH($A142,SPPR!$A:$A,0),4),""),"")</f>
        <v/>
      </c>
      <c r="H142">
        <f>IFERROR(IF(ISNUMBER(INDEX(SPPR!$E:$Z,MATCH($A142,SPPR!$A:$A,0),5)),$C142*INDEX(SPPR!$E:$Z,MATCH($A142,SPPR!$A:$A,0),5),""),"")</f>
        <v/>
      </c>
      <c r="I142">
        <f>IFERROR(IF(ISNUMBER(INDEX(SPPR!$E:$Z,MATCH($A142,SPPR!$A:$A,0),6)),$C142*INDEX(SPPR!$E:$Z,MATCH($A142,SPPR!$A:$A,0),6),""),"")</f>
        <v/>
      </c>
      <c r="J142">
        <f>IFERROR(IF(ISNUMBER(INDEX(SPPR!$E:$Z,MATCH($A142,SPPR!$A:$A,0),7)),$C142*INDEX(SPPR!$E:$Z,MATCH($A142,SPPR!$A:$A,0),7),""),"")</f>
        <v/>
      </c>
      <c r="K142">
        <f>IFERROR(IF(ISNUMBER(INDEX(SPPR!$E:$Z,MATCH($A142,SPPR!$A:$A,0),8)),$C142*INDEX(SPPR!$E:$Z,MATCH($A142,SPPR!$A:$A,0),8),""),"")</f>
        <v/>
      </c>
      <c r="L142">
        <f>IFERROR(IF(ISNUMBER(INDEX(SPPR!$E:$Z,MATCH($A142,SPPR!$A:$A,0),9)),$C142*INDEX(SPPR!$E:$Z,MATCH($A142,SPPR!$A:$A,0),9),""),"")</f>
        <v/>
      </c>
      <c r="M142">
        <f>IFERROR(IF(ISNUMBER(INDEX(SPPR!$E:$Z,MATCH($A142,SPPR!$A:$A,0),10)),$C142*INDEX(SPPR!$E:$Z,MATCH($A142,SPPR!$A:$A,0),10),""),"")</f>
        <v/>
      </c>
      <c r="N142">
        <f>IFERROR(IF(ISNUMBER(INDEX(SPPR!$E:$Z,MATCH($A142,SPPR!$A:$A,0),11)),$C142*INDEX(SPPR!$E:$Z,MATCH($A142,SPPR!$A:$A,0),11),""),"")</f>
        <v/>
      </c>
      <c r="O142">
        <f>IFERROR(IF(ISNUMBER(INDEX(SPPR!$E:$Z,MATCH($A142,SPPR!$A:$A,0),12)),$C142*INDEX(SPPR!$E:$Z,MATCH($A142,SPPR!$A:$A,0),12),""),"")</f>
        <v/>
      </c>
      <c r="P142">
        <f>IFERROR(IF(ISNUMBER(INDEX(SPPR!$E:$Z,MATCH($A142,SPPR!$A:$A,0),13)),$C142*INDEX(SPPR!$E:$Z,MATCH($A142,SPPR!$A:$A,0),13),""),"")</f>
        <v/>
      </c>
      <c r="Q142">
        <f>IFERROR(IF(ISNUMBER(INDEX(SPPR!$E:$Z,MATCH($A142,SPPR!$A:$A,0),14)),$C142*INDEX(SPPR!$E:$Z,MATCH($A142,SPPR!$A:$A,0),14),""),"")</f>
        <v/>
      </c>
      <c r="R142">
        <f>IFERROR(IF(ISNUMBER(INDEX(SPPR!$E:$Z,MATCH($A142,SPPR!$A:$A,0),15)),$C142*INDEX(SPPR!$E:$Z,MATCH($A142,SPPR!$A:$A,0),15),""),"")</f>
        <v/>
      </c>
      <c r="S142">
        <f>IFERROR(IF(ISNUMBER(INDEX(SPPR!$E:$Z,MATCH($A142,SPPR!$A:$A,0),16)),$C142*INDEX(SPPR!$E:$Z,MATCH($A142,SPPR!$A:$A,0),16),""),"")</f>
        <v/>
      </c>
      <c r="T142">
        <f>IFERROR(IF(ISNUMBER(INDEX(SPPR!$E:$Z,MATCH($A142,SPPR!$A:$A,0),17)),$C142*INDEX(SPPR!$E:$Z,MATCH($A142,SPPR!$A:$A,0),17),""),"")</f>
        <v/>
      </c>
      <c r="U142">
        <f>IFERROR(IF(ISNUMBER(INDEX(SPPR!$E:$Z,MATCH($A142,SPPR!$A:$A,0),18)),$C142*INDEX(SPPR!$E:$Z,MATCH($A142,SPPR!$A:$A,0),18),""),"")</f>
        <v/>
      </c>
      <c r="V142">
        <f>IFERROR(IF(ISNUMBER(INDEX(SPPR!$E:$Z,MATCH($A142,SPPR!$A:$A,0),19)),$C142*INDEX(SPPR!$E:$Z,MATCH($A142,SPPR!$A:$A,0),19),""),"")</f>
        <v/>
      </c>
      <c r="W142">
        <f>IFERROR(IF(ISNUMBER(INDEX(SPPR!$E:$Z,MATCH($A142,SPPR!$A:$A,0),20)),$C142*INDEX(SPPR!$E:$Z,MATCH($A142,SPPR!$A:$A,0),20),""),"")</f>
        <v/>
      </c>
      <c r="X142">
        <f>IFERROR(IF(ISNUMBER(INDEX(SPPR!$E:$Z,MATCH($A142,SPPR!$A:$A,0),21)),$C142*INDEX(SPPR!$E:$Z,MATCH($A142,SPPR!$A:$A,0),21),""),"")</f>
        <v/>
      </c>
      <c r="Y142">
        <f>IFERROR(IF(ISNUMBER(INDEX(SPPR!$E:$Z,MATCH($A142,SPPR!$A:$A,0),22)),$C142*INDEX(SPPR!$E:$Z,MATCH($A142,SPPR!$A:$A,0),22),""),"")</f>
        <v/>
      </c>
    </row>
    <row r="143">
      <c r="A143" t="inlineStr">
        <is>
          <t>Plotosidae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IFERROR(IF(ISNUMBER(INDEX(SPPR!$E:$Z,MATCH($A143,SPPR!$A:$A,0),1)),$C143*INDEX(SPPR!$E:$Z,MATCH($A143,SPPR!$A:$A,0),1),""),"")</f>
        <v/>
      </c>
      <c r="E143">
        <f>IFERROR(IF(ISNUMBER(INDEX(SPPR!$E:$Z,MATCH($A143,SPPR!$A:$A,0),2)),$C143*INDEX(SPPR!$E:$Z,MATCH($A143,SPPR!$A:$A,0),2),""),"")</f>
        <v/>
      </c>
      <c r="F143">
        <f>IFERROR(IF(ISNUMBER(INDEX(SPPR!$E:$Z,MATCH($A143,SPPR!$A:$A,0),3)),$C143*INDEX(SPPR!$E:$Z,MATCH($A143,SPPR!$A:$A,0),3),""),"")</f>
        <v/>
      </c>
      <c r="G143">
        <f>IFERROR(IF(ISNUMBER(INDEX(SPPR!$E:$Z,MATCH($A143,SPPR!$A:$A,0),4)),$C143*INDEX(SPPR!$E:$Z,MATCH($A143,SPPR!$A:$A,0),4),""),"")</f>
        <v/>
      </c>
      <c r="H143">
        <f>IFERROR(IF(ISNUMBER(INDEX(SPPR!$E:$Z,MATCH($A143,SPPR!$A:$A,0),5)),$C143*INDEX(SPPR!$E:$Z,MATCH($A143,SPPR!$A:$A,0),5),""),"")</f>
        <v/>
      </c>
      <c r="I143">
        <f>IFERROR(IF(ISNUMBER(INDEX(SPPR!$E:$Z,MATCH($A143,SPPR!$A:$A,0),6)),$C143*INDEX(SPPR!$E:$Z,MATCH($A143,SPPR!$A:$A,0),6),""),"")</f>
        <v/>
      </c>
      <c r="J143">
        <f>IFERROR(IF(ISNUMBER(INDEX(SPPR!$E:$Z,MATCH($A143,SPPR!$A:$A,0),7)),$C143*INDEX(SPPR!$E:$Z,MATCH($A143,SPPR!$A:$A,0),7),""),"")</f>
        <v/>
      </c>
      <c r="K143">
        <f>IFERROR(IF(ISNUMBER(INDEX(SPPR!$E:$Z,MATCH($A143,SPPR!$A:$A,0),8)),$C143*INDEX(SPPR!$E:$Z,MATCH($A143,SPPR!$A:$A,0),8),""),"")</f>
        <v/>
      </c>
      <c r="L143">
        <f>IFERROR(IF(ISNUMBER(INDEX(SPPR!$E:$Z,MATCH($A143,SPPR!$A:$A,0),9)),$C143*INDEX(SPPR!$E:$Z,MATCH($A143,SPPR!$A:$A,0),9),""),"")</f>
        <v/>
      </c>
      <c r="M143">
        <f>IFERROR(IF(ISNUMBER(INDEX(SPPR!$E:$Z,MATCH($A143,SPPR!$A:$A,0),10)),$C143*INDEX(SPPR!$E:$Z,MATCH($A143,SPPR!$A:$A,0),10),""),"")</f>
        <v/>
      </c>
      <c r="N143">
        <f>IFERROR(IF(ISNUMBER(INDEX(SPPR!$E:$Z,MATCH($A143,SPPR!$A:$A,0),11)),$C143*INDEX(SPPR!$E:$Z,MATCH($A143,SPPR!$A:$A,0),11),""),"")</f>
        <v/>
      </c>
      <c r="O143">
        <f>IFERROR(IF(ISNUMBER(INDEX(SPPR!$E:$Z,MATCH($A143,SPPR!$A:$A,0),12)),$C143*INDEX(SPPR!$E:$Z,MATCH($A143,SPPR!$A:$A,0),12),""),"")</f>
        <v/>
      </c>
      <c r="P143">
        <f>IFERROR(IF(ISNUMBER(INDEX(SPPR!$E:$Z,MATCH($A143,SPPR!$A:$A,0),13)),$C143*INDEX(SPPR!$E:$Z,MATCH($A143,SPPR!$A:$A,0),13),""),"")</f>
        <v/>
      </c>
      <c r="Q143">
        <f>IFERROR(IF(ISNUMBER(INDEX(SPPR!$E:$Z,MATCH($A143,SPPR!$A:$A,0),14)),$C143*INDEX(SPPR!$E:$Z,MATCH($A143,SPPR!$A:$A,0),14),""),"")</f>
        <v/>
      </c>
      <c r="R143">
        <f>IFERROR(IF(ISNUMBER(INDEX(SPPR!$E:$Z,MATCH($A143,SPPR!$A:$A,0),15)),$C143*INDEX(SPPR!$E:$Z,MATCH($A143,SPPR!$A:$A,0),15),""),"")</f>
        <v/>
      </c>
      <c r="S143">
        <f>IFERROR(IF(ISNUMBER(INDEX(SPPR!$E:$Z,MATCH($A143,SPPR!$A:$A,0),16)),$C143*INDEX(SPPR!$E:$Z,MATCH($A143,SPPR!$A:$A,0),16),""),"")</f>
        <v/>
      </c>
      <c r="T143">
        <f>IFERROR(IF(ISNUMBER(INDEX(SPPR!$E:$Z,MATCH($A143,SPPR!$A:$A,0),17)),$C143*INDEX(SPPR!$E:$Z,MATCH($A143,SPPR!$A:$A,0),17),""),"")</f>
        <v/>
      </c>
      <c r="U143">
        <f>IFERROR(IF(ISNUMBER(INDEX(SPPR!$E:$Z,MATCH($A143,SPPR!$A:$A,0),18)),$C143*INDEX(SPPR!$E:$Z,MATCH($A143,SPPR!$A:$A,0),18),""),"")</f>
        <v/>
      </c>
      <c r="V143">
        <f>IFERROR(IF(ISNUMBER(INDEX(SPPR!$E:$Z,MATCH($A143,SPPR!$A:$A,0),19)),$C143*INDEX(SPPR!$E:$Z,MATCH($A143,SPPR!$A:$A,0),19),""),"")</f>
        <v/>
      </c>
      <c r="W143">
        <f>IFERROR(IF(ISNUMBER(INDEX(SPPR!$E:$Z,MATCH($A143,SPPR!$A:$A,0),20)),$C143*INDEX(SPPR!$E:$Z,MATCH($A143,SPPR!$A:$A,0),20),""),"")</f>
        <v/>
      </c>
      <c r="X143">
        <f>IFERROR(IF(ISNUMBER(INDEX(SPPR!$E:$Z,MATCH($A143,SPPR!$A:$A,0),21)),$C143*INDEX(SPPR!$E:$Z,MATCH($A143,SPPR!$A:$A,0),21),""),"")</f>
        <v/>
      </c>
      <c r="Y143">
        <f>IFERROR(IF(ISNUMBER(INDEX(SPPR!$E:$Z,MATCH($A143,SPPR!$A:$A,0),22)),$C143*INDEX(SPPR!$E:$Z,MATCH($A143,SPPR!$A:$A,0),22),""),"")</f>
        <v/>
      </c>
    </row>
    <row r="144">
      <c r="A144" t="inlineStr">
        <is>
          <t>Dussumieria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IFERROR(IF(ISNUMBER(INDEX(SPPR!$E:$Z,MATCH($A144,SPPR!$A:$A,0),1)),$C144*INDEX(SPPR!$E:$Z,MATCH($A144,SPPR!$A:$A,0),1),""),"")</f>
        <v/>
      </c>
      <c r="E144">
        <f>IFERROR(IF(ISNUMBER(INDEX(SPPR!$E:$Z,MATCH($A144,SPPR!$A:$A,0),2)),$C144*INDEX(SPPR!$E:$Z,MATCH($A144,SPPR!$A:$A,0),2),""),"")</f>
        <v/>
      </c>
      <c r="F144">
        <f>IFERROR(IF(ISNUMBER(INDEX(SPPR!$E:$Z,MATCH($A144,SPPR!$A:$A,0),3)),$C144*INDEX(SPPR!$E:$Z,MATCH($A144,SPPR!$A:$A,0),3),""),"")</f>
        <v/>
      </c>
      <c r="G144">
        <f>IFERROR(IF(ISNUMBER(INDEX(SPPR!$E:$Z,MATCH($A144,SPPR!$A:$A,0),4)),$C144*INDEX(SPPR!$E:$Z,MATCH($A144,SPPR!$A:$A,0),4),""),"")</f>
        <v/>
      </c>
      <c r="H144">
        <f>IFERROR(IF(ISNUMBER(INDEX(SPPR!$E:$Z,MATCH($A144,SPPR!$A:$A,0),5)),$C144*INDEX(SPPR!$E:$Z,MATCH($A144,SPPR!$A:$A,0),5),""),"")</f>
        <v/>
      </c>
      <c r="I144">
        <f>IFERROR(IF(ISNUMBER(INDEX(SPPR!$E:$Z,MATCH($A144,SPPR!$A:$A,0),6)),$C144*INDEX(SPPR!$E:$Z,MATCH($A144,SPPR!$A:$A,0),6),""),"")</f>
        <v/>
      </c>
      <c r="J144">
        <f>IFERROR(IF(ISNUMBER(INDEX(SPPR!$E:$Z,MATCH($A144,SPPR!$A:$A,0),7)),$C144*INDEX(SPPR!$E:$Z,MATCH($A144,SPPR!$A:$A,0),7),""),"")</f>
        <v/>
      </c>
      <c r="K144">
        <f>IFERROR(IF(ISNUMBER(INDEX(SPPR!$E:$Z,MATCH($A144,SPPR!$A:$A,0),8)),$C144*INDEX(SPPR!$E:$Z,MATCH($A144,SPPR!$A:$A,0),8),""),"")</f>
        <v/>
      </c>
      <c r="L144">
        <f>IFERROR(IF(ISNUMBER(INDEX(SPPR!$E:$Z,MATCH($A144,SPPR!$A:$A,0),9)),$C144*INDEX(SPPR!$E:$Z,MATCH($A144,SPPR!$A:$A,0),9),""),"")</f>
        <v/>
      </c>
      <c r="M144">
        <f>IFERROR(IF(ISNUMBER(INDEX(SPPR!$E:$Z,MATCH($A144,SPPR!$A:$A,0),10)),$C144*INDEX(SPPR!$E:$Z,MATCH($A144,SPPR!$A:$A,0),10),""),"")</f>
        <v/>
      </c>
      <c r="N144">
        <f>IFERROR(IF(ISNUMBER(INDEX(SPPR!$E:$Z,MATCH($A144,SPPR!$A:$A,0),11)),$C144*INDEX(SPPR!$E:$Z,MATCH($A144,SPPR!$A:$A,0),11),""),"")</f>
        <v/>
      </c>
      <c r="O144">
        <f>IFERROR(IF(ISNUMBER(INDEX(SPPR!$E:$Z,MATCH($A144,SPPR!$A:$A,0),12)),$C144*INDEX(SPPR!$E:$Z,MATCH($A144,SPPR!$A:$A,0),12),""),"")</f>
        <v/>
      </c>
      <c r="P144">
        <f>IFERROR(IF(ISNUMBER(INDEX(SPPR!$E:$Z,MATCH($A144,SPPR!$A:$A,0),13)),$C144*INDEX(SPPR!$E:$Z,MATCH($A144,SPPR!$A:$A,0),13),""),"")</f>
        <v/>
      </c>
      <c r="Q144">
        <f>IFERROR(IF(ISNUMBER(INDEX(SPPR!$E:$Z,MATCH($A144,SPPR!$A:$A,0),14)),$C144*INDEX(SPPR!$E:$Z,MATCH($A144,SPPR!$A:$A,0),14),""),"")</f>
        <v/>
      </c>
      <c r="R144">
        <f>IFERROR(IF(ISNUMBER(INDEX(SPPR!$E:$Z,MATCH($A144,SPPR!$A:$A,0),15)),$C144*INDEX(SPPR!$E:$Z,MATCH($A144,SPPR!$A:$A,0),15),""),"")</f>
        <v/>
      </c>
      <c r="S144">
        <f>IFERROR(IF(ISNUMBER(INDEX(SPPR!$E:$Z,MATCH($A144,SPPR!$A:$A,0),16)),$C144*INDEX(SPPR!$E:$Z,MATCH($A144,SPPR!$A:$A,0),16),""),"")</f>
        <v/>
      </c>
      <c r="T144">
        <f>IFERROR(IF(ISNUMBER(INDEX(SPPR!$E:$Z,MATCH($A144,SPPR!$A:$A,0),17)),$C144*INDEX(SPPR!$E:$Z,MATCH($A144,SPPR!$A:$A,0),17),""),"")</f>
        <v/>
      </c>
      <c r="U144">
        <f>IFERROR(IF(ISNUMBER(INDEX(SPPR!$E:$Z,MATCH($A144,SPPR!$A:$A,0),18)),$C144*INDEX(SPPR!$E:$Z,MATCH($A144,SPPR!$A:$A,0),18),""),"")</f>
        <v/>
      </c>
      <c r="V144">
        <f>IFERROR(IF(ISNUMBER(INDEX(SPPR!$E:$Z,MATCH($A144,SPPR!$A:$A,0),19)),$C144*INDEX(SPPR!$E:$Z,MATCH($A144,SPPR!$A:$A,0),19),""),"")</f>
        <v/>
      </c>
      <c r="W144">
        <f>IFERROR(IF(ISNUMBER(INDEX(SPPR!$E:$Z,MATCH($A144,SPPR!$A:$A,0),20)),$C144*INDEX(SPPR!$E:$Z,MATCH($A144,SPPR!$A:$A,0),20),""),"")</f>
        <v/>
      </c>
      <c r="X144">
        <f>IFERROR(IF(ISNUMBER(INDEX(SPPR!$E:$Z,MATCH($A144,SPPR!$A:$A,0),21)),$C144*INDEX(SPPR!$E:$Z,MATCH($A144,SPPR!$A:$A,0),21),""),"")</f>
        <v/>
      </c>
      <c r="Y144">
        <f>IFERROR(IF(ISNUMBER(INDEX(SPPR!$E:$Z,MATCH($A144,SPPR!$A:$A,0),22)),$C144*INDEX(SPPR!$E:$Z,MATCH($A144,SPPR!$A:$A,0),22),""),"")</f>
        <v/>
      </c>
    </row>
    <row r="145">
      <c r="A145" t="inlineStr">
        <is>
          <t>Paralichthyidae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IFERROR(IF(ISNUMBER(INDEX(SPPR!$E:$Z,MATCH($A145,SPPR!$A:$A,0),1)),$C145*INDEX(SPPR!$E:$Z,MATCH($A145,SPPR!$A:$A,0),1),""),"")</f>
        <v/>
      </c>
      <c r="E145">
        <f>IFERROR(IF(ISNUMBER(INDEX(SPPR!$E:$Z,MATCH($A145,SPPR!$A:$A,0),2)),$C145*INDEX(SPPR!$E:$Z,MATCH($A145,SPPR!$A:$A,0),2),""),"")</f>
        <v/>
      </c>
      <c r="F145">
        <f>IFERROR(IF(ISNUMBER(INDEX(SPPR!$E:$Z,MATCH($A145,SPPR!$A:$A,0),3)),$C145*INDEX(SPPR!$E:$Z,MATCH($A145,SPPR!$A:$A,0),3),""),"")</f>
        <v/>
      </c>
      <c r="G145">
        <f>IFERROR(IF(ISNUMBER(INDEX(SPPR!$E:$Z,MATCH($A145,SPPR!$A:$A,0),4)),$C145*INDEX(SPPR!$E:$Z,MATCH($A145,SPPR!$A:$A,0),4),""),"")</f>
        <v/>
      </c>
      <c r="H145">
        <f>IFERROR(IF(ISNUMBER(INDEX(SPPR!$E:$Z,MATCH($A145,SPPR!$A:$A,0),5)),$C145*INDEX(SPPR!$E:$Z,MATCH($A145,SPPR!$A:$A,0),5),""),"")</f>
        <v/>
      </c>
      <c r="I145">
        <f>IFERROR(IF(ISNUMBER(INDEX(SPPR!$E:$Z,MATCH($A145,SPPR!$A:$A,0),6)),$C145*INDEX(SPPR!$E:$Z,MATCH($A145,SPPR!$A:$A,0),6),""),"")</f>
        <v/>
      </c>
      <c r="J145">
        <f>IFERROR(IF(ISNUMBER(INDEX(SPPR!$E:$Z,MATCH($A145,SPPR!$A:$A,0),7)),$C145*INDEX(SPPR!$E:$Z,MATCH($A145,SPPR!$A:$A,0),7),""),"")</f>
        <v/>
      </c>
      <c r="K145">
        <f>IFERROR(IF(ISNUMBER(INDEX(SPPR!$E:$Z,MATCH($A145,SPPR!$A:$A,0),8)),$C145*INDEX(SPPR!$E:$Z,MATCH($A145,SPPR!$A:$A,0),8),""),"")</f>
        <v/>
      </c>
      <c r="L145">
        <f>IFERROR(IF(ISNUMBER(INDEX(SPPR!$E:$Z,MATCH($A145,SPPR!$A:$A,0),9)),$C145*INDEX(SPPR!$E:$Z,MATCH($A145,SPPR!$A:$A,0),9),""),"")</f>
        <v/>
      </c>
      <c r="M145">
        <f>IFERROR(IF(ISNUMBER(INDEX(SPPR!$E:$Z,MATCH($A145,SPPR!$A:$A,0),10)),$C145*INDEX(SPPR!$E:$Z,MATCH($A145,SPPR!$A:$A,0),10),""),"")</f>
        <v/>
      </c>
      <c r="N145">
        <f>IFERROR(IF(ISNUMBER(INDEX(SPPR!$E:$Z,MATCH($A145,SPPR!$A:$A,0),11)),$C145*INDEX(SPPR!$E:$Z,MATCH($A145,SPPR!$A:$A,0),11),""),"")</f>
        <v/>
      </c>
      <c r="O145">
        <f>IFERROR(IF(ISNUMBER(INDEX(SPPR!$E:$Z,MATCH($A145,SPPR!$A:$A,0),12)),$C145*INDEX(SPPR!$E:$Z,MATCH($A145,SPPR!$A:$A,0),12),""),"")</f>
        <v/>
      </c>
      <c r="P145">
        <f>IFERROR(IF(ISNUMBER(INDEX(SPPR!$E:$Z,MATCH($A145,SPPR!$A:$A,0),13)),$C145*INDEX(SPPR!$E:$Z,MATCH($A145,SPPR!$A:$A,0),13),""),"")</f>
        <v/>
      </c>
      <c r="Q145">
        <f>IFERROR(IF(ISNUMBER(INDEX(SPPR!$E:$Z,MATCH($A145,SPPR!$A:$A,0),14)),$C145*INDEX(SPPR!$E:$Z,MATCH($A145,SPPR!$A:$A,0),14),""),"")</f>
        <v/>
      </c>
      <c r="R145">
        <f>IFERROR(IF(ISNUMBER(INDEX(SPPR!$E:$Z,MATCH($A145,SPPR!$A:$A,0),15)),$C145*INDEX(SPPR!$E:$Z,MATCH($A145,SPPR!$A:$A,0),15),""),"")</f>
        <v/>
      </c>
      <c r="S145">
        <f>IFERROR(IF(ISNUMBER(INDEX(SPPR!$E:$Z,MATCH($A145,SPPR!$A:$A,0),16)),$C145*INDEX(SPPR!$E:$Z,MATCH($A145,SPPR!$A:$A,0),16),""),"")</f>
        <v/>
      </c>
      <c r="T145">
        <f>IFERROR(IF(ISNUMBER(INDEX(SPPR!$E:$Z,MATCH($A145,SPPR!$A:$A,0),17)),$C145*INDEX(SPPR!$E:$Z,MATCH($A145,SPPR!$A:$A,0),17),""),"")</f>
        <v/>
      </c>
      <c r="U145">
        <f>IFERROR(IF(ISNUMBER(INDEX(SPPR!$E:$Z,MATCH($A145,SPPR!$A:$A,0),18)),$C145*INDEX(SPPR!$E:$Z,MATCH($A145,SPPR!$A:$A,0),18),""),"")</f>
        <v/>
      </c>
      <c r="V145">
        <f>IFERROR(IF(ISNUMBER(INDEX(SPPR!$E:$Z,MATCH($A145,SPPR!$A:$A,0),19)),$C145*INDEX(SPPR!$E:$Z,MATCH($A145,SPPR!$A:$A,0),19),""),"")</f>
        <v/>
      </c>
      <c r="W145">
        <f>IFERROR(IF(ISNUMBER(INDEX(SPPR!$E:$Z,MATCH($A145,SPPR!$A:$A,0),20)),$C145*INDEX(SPPR!$E:$Z,MATCH($A145,SPPR!$A:$A,0),20),""),"")</f>
        <v/>
      </c>
      <c r="X145">
        <f>IFERROR(IF(ISNUMBER(INDEX(SPPR!$E:$Z,MATCH($A145,SPPR!$A:$A,0),21)),$C145*INDEX(SPPR!$E:$Z,MATCH($A145,SPPR!$A:$A,0),21),""),"")</f>
        <v/>
      </c>
      <c r="Y145">
        <f>IFERROR(IF(ISNUMBER(INDEX(SPPR!$E:$Z,MATCH($A145,SPPR!$A:$A,0),22)),$C145*INDEX(SPPR!$E:$Z,MATCH($A145,SPPR!$A:$A,0),22),""),"")</f>
        <v/>
      </c>
    </row>
    <row r="146">
      <c r="A146" t="inlineStr">
        <is>
          <t>Siganus canaliculatus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IFERROR(IF(ISNUMBER(INDEX(SPPR!$E:$Z,MATCH($A146,SPPR!$A:$A,0),1)),$C146*INDEX(SPPR!$E:$Z,MATCH($A146,SPPR!$A:$A,0),1),""),"")</f>
        <v/>
      </c>
      <c r="E146">
        <f>IFERROR(IF(ISNUMBER(INDEX(SPPR!$E:$Z,MATCH($A146,SPPR!$A:$A,0),2)),$C146*INDEX(SPPR!$E:$Z,MATCH($A146,SPPR!$A:$A,0),2),""),"")</f>
        <v/>
      </c>
      <c r="F146">
        <f>IFERROR(IF(ISNUMBER(INDEX(SPPR!$E:$Z,MATCH($A146,SPPR!$A:$A,0),3)),$C146*INDEX(SPPR!$E:$Z,MATCH($A146,SPPR!$A:$A,0),3),""),"")</f>
        <v/>
      </c>
      <c r="G146">
        <f>IFERROR(IF(ISNUMBER(INDEX(SPPR!$E:$Z,MATCH($A146,SPPR!$A:$A,0),4)),$C146*INDEX(SPPR!$E:$Z,MATCH($A146,SPPR!$A:$A,0),4),""),"")</f>
        <v/>
      </c>
      <c r="H146">
        <f>IFERROR(IF(ISNUMBER(INDEX(SPPR!$E:$Z,MATCH($A146,SPPR!$A:$A,0),5)),$C146*INDEX(SPPR!$E:$Z,MATCH($A146,SPPR!$A:$A,0),5),""),"")</f>
        <v/>
      </c>
      <c r="I146">
        <f>IFERROR(IF(ISNUMBER(INDEX(SPPR!$E:$Z,MATCH($A146,SPPR!$A:$A,0),6)),$C146*INDEX(SPPR!$E:$Z,MATCH($A146,SPPR!$A:$A,0),6),""),"")</f>
        <v/>
      </c>
      <c r="J146">
        <f>IFERROR(IF(ISNUMBER(INDEX(SPPR!$E:$Z,MATCH($A146,SPPR!$A:$A,0),7)),$C146*INDEX(SPPR!$E:$Z,MATCH($A146,SPPR!$A:$A,0),7),""),"")</f>
        <v/>
      </c>
      <c r="K146">
        <f>IFERROR(IF(ISNUMBER(INDEX(SPPR!$E:$Z,MATCH($A146,SPPR!$A:$A,0),8)),$C146*INDEX(SPPR!$E:$Z,MATCH($A146,SPPR!$A:$A,0),8),""),"")</f>
        <v/>
      </c>
      <c r="L146">
        <f>IFERROR(IF(ISNUMBER(INDEX(SPPR!$E:$Z,MATCH($A146,SPPR!$A:$A,0),9)),$C146*INDEX(SPPR!$E:$Z,MATCH($A146,SPPR!$A:$A,0),9),""),"")</f>
        <v/>
      </c>
      <c r="M146">
        <f>IFERROR(IF(ISNUMBER(INDEX(SPPR!$E:$Z,MATCH($A146,SPPR!$A:$A,0),10)),$C146*INDEX(SPPR!$E:$Z,MATCH($A146,SPPR!$A:$A,0),10),""),"")</f>
        <v/>
      </c>
      <c r="N146">
        <f>IFERROR(IF(ISNUMBER(INDEX(SPPR!$E:$Z,MATCH($A146,SPPR!$A:$A,0),11)),$C146*INDEX(SPPR!$E:$Z,MATCH($A146,SPPR!$A:$A,0),11),""),"")</f>
        <v/>
      </c>
      <c r="O146">
        <f>IFERROR(IF(ISNUMBER(INDEX(SPPR!$E:$Z,MATCH($A146,SPPR!$A:$A,0),12)),$C146*INDEX(SPPR!$E:$Z,MATCH($A146,SPPR!$A:$A,0),12),""),"")</f>
        <v/>
      </c>
      <c r="P146">
        <f>IFERROR(IF(ISNUMBER(INDEX(SPPR!$E:$Z,MATCH($A146,SPPR!$A:$A,0),13)),$C146*INDEX(SPPR!$E:$Z,MATCH($A146,SPPR!$A:$A,0),13),""),"")</f>
        <v/>
      </c>
      <c r="Q146">
        <f>IFERROR(IF(ISNUMBER(INDEX(SPPR!$E:$Z,MATCH($A146,SPPR!$A:$A,0),14)),$C146*INDEX(SPPR!$E:$Z,MATCH($A146,SPPR!$A:$A,0),14),""),"")</f>
        <v/>
      </c>
      <c r="R146">
        <f>IFERROR(IF(ISNUMBER(INDEX(SPPR!$E:$Z,MATCH($A146,SPPR!$A:$A,0),15)),$C146*INDEX(SPPR!$E:$Z,MATCH($A146,SPPR!$A:$A,0),15),""),"")</f>
        <v/>
      </c>
      <c r="S146">
        <f>IFERROR(IF(ISNUMBER(INDEX(SPPR!$E:$Z,MATCH($A146,SPPR!$A:$A,0),16)),$C146*INDEX(SPPR!$E:$Z,MATCH($A146,SPPR!$A:$A,0),16),""),"")</f>
        <v/>
      </c>
      <c r="T146">
        <f>IFERROR(IF(ISNUMBER(INDEX(SPPR!$E:$Z,MATCH($A146,SPPR!$A:$A,0),17)),$C146*INDEX(SPPR!$E:$Z,MATCH($A146,SPPR!$A:$A,0),17),""),"")</f>
        <v/>
      </c>
      <c r="U146">
        <f>IFERROR(IF(ISNUMBER(INDEX(SPPR!$E:$Z,MATCH($A146,SPPR!$A:$A,0),18)),$C146*INDEX(SPPR!$E:$Z,MATCH($A146,SPPR!$A:$A,0),18),""),"")</f>
        <v/>
      </c>
      <c r="V146">
        <f>IFERROR(IF(ISNUMBER(INDEX(SPPR!$E:$Z,MATCH($A146,SPPR!$A:$A,0),19)),$C146*INDEX(SPPR!$E:$Z,MATCH($A146,SPPR!$A:$A,0),19),""),"")</f>
        <v/>
      </c>
      <c r="W146">
        <f>IFERROR(IF(ISNUMBER(INDEX(SPPR!$E:$Z,MATCH($A146,SPPR!$A:$A,0),20)),$C146*INDEX(SPPR!$E:$Z,MATCH($A146,SPPR!$A:$A,0),20),""),"")</f>
        <v/>
      </c>
      <c r="X146">
        <f>IFERROR(IF(ISNUMBER(INDEX(SPPR!$E:$Z,MATCH($A146,SPPR!$A:$A,0),21)),$C146*INDEX(SPPR!$E:$Z,MATCH($A146,SPPR!$A:$A,0),21),""),"")</f>
        <v/>
      </c>
      <c r="Y146">
        <f>IFERROR(IF(ISNUMBER(INDEX(SPPR!$E:$Z,MATCH($A146,SPPR!$A:$A,0),22)),$C146*INDEX(SPPR!$E:$Z,MATCH($A146,SPPR!$A:$A,0),22),""),"")</f>
        <v/>
      </c>
    </row>
    <row r="147">
      <c r="A147" t="inlineStr">
        <is>
          <t>Plotosus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IFERROR(IF(ISNUMBER(INDEX(SPPR!$E:$Z,MATCH($A147,SPPR!$A:$A,0),1)),$C147*INDEX(SPPR!$E:$Z,MATCH($A147,SPPR!$A:$A,0),1),""),"")</f>
        <v/>
      </c>
      <c r="E147">
        <f>IFERROR(IF(ISNUMBER(INDEX(SPPR!$E:$Z,MATCH($A147,SPPR!$A:$A,0),2)),$C147*INDEX(SPPR!$E:$Z,MATCH($A147,SPPR!$A:$A,0),2),""),"")</f>
        <v/>
      </c>
      <c r="F147">
        <f>IFERROR(IF(ISNUMBER(INDEX(SPPR!$E:$Z,MATCH($A147,SPPR!$A:$A,0),3)),$C147*INDEX(SPPR!$E:$Z,MATCH($A147,SPPR!$A:$A,0),3),""),"")</f>
        <v/>
      </c>
      <c r="G147">
        <f>IFERROR(IF(ISNUMBER(INDEX(SPPR!$E:$Z,MATCH($A147,SPPR!$A:$A,0),4)),$C147*INDEX(SPPR!$E:$Z,MATCH($A147,SPPR!$A:$A,0),4),""),"")</f>
        <v/>
      </c>
      <c r="H147">
        <f>IFERROR(IF(ISNUMBER(INDEX(SPPR!$E:$Z,MATCH($A147,SPPR!$A:$A,0),5)),$C147*INDEX(SPPR!$E:$Z,MATCH($A147,SPPR!$A:$A,0),5),""),"")</f>
        <v/>
      </c>
      <c r="I147">
        <f>IFERROR(IF(ISNUMBER(INDEX(SPPR!$E:$Z,MATCH($A147,SPPR!$A:$A,0),6)),$C147*INDEX(SPPR!$E:$Z,MATCH($A147,SPPR!$A:$A,0),6),""),"")</f>
        <v/>
      </c>
      <c r="J147">
        <f>IFERROR(IF(ISNUMBER(INDEX(SPPR!$E:$Z,MATCH($A147,SPPR!$A:$A,0),7)),$C147*INDEX(SPPR!$E:$Z,MATCH($A147,SPPR!$A:$A,0),7),""),"")</f>
        <v/>
      </c>
      <c r="K147">
        <f>IFERROR(IF(ISNUMBER(INDEX(SPPR!$E:$Z,MATCH($A147,SPPR!$A:$A,0),8)),$C147*INDEX(SPPR!$E:$Z,MATCH($A147,SPPR!$A:$A,0),8),""),"")</f>
        <v/>
      </c>
      <c r="L147">
        <f>IFERROR(IF(ISNUMBER(INDEX(SPPR!$E:$Z,MATCH($A147,SPPR!$A:$A,0),9)),$C147*INDEX(SPPR!$E:$Z,MATCH($A147,SPPR!$A:$A,0),9),""),"")</f>
        <v/>
      </c>
      <c r="M147">
        <f>IFERROR(IF(ISNUMBER(INDEX(SPPR!$E:$Z,MATCH($A147,SPPR!$A:$A,0),10)),$C147*INDEX(SPPR!$E:$Z,MATCH($A147,SPPR!$A:$A,0),10),""),"")</f>
        <v/>
      </c>
      <c r="N147">
        <f>IFERROR(IF(ISNUMBER(INDEX(SPPR!$E:$Z,MATCH($A147,SPPR!$A:$A,0),11)),$C147*INDEX(SPPR!$E:$Z,MATCH($A147,SPPR!$A:$A,0),11),""),"")</f>
        <v/>
      </c>
      <c r="O147">
        <f>IFERROR(IF(ISNUMBER(INDEX(SPPR!$E:$Z,MATCH($A147,SPPR!$A:$A,0),12)),$C147*INDEX(SPPR!$E:$Z,MATCH($A147,SPPR!$A:$A,0),12),""),"")</f>
        <v/>
      </c>
      <c r="P147">
        <f>IFERROR(IF(ISNUMBER(INDEX(SPPR!$E:$Z,MATCH($A147,SPPR!$A:$A,0),13)),$C147*INDEX(SPPR!$E:$Z,MATCH($A147,SPPR!$A:$A,0),13),""),"")</f>
        <v/>
      </c>
      <c r="Q147">
        <f>IFERROR(IF(ISNUMBER(INDEX(SPPR!$E:$Z,MATCH($A147,SPPR!$A:$A,0),14)),$C147*INDEX(SPPR!$E:$Z,MATCH($A147,SPPR!$A:$A,0),14),""),"")</f>
        <v/>
      </c>
      <c r="R147">
        <f>IFERROR(IF(ISNUMBER(INDEX(SPPR!$E:$Z,MATCH($A147,SPPR!$A:$A,0),15)),$C147*INDEX(SPPR!$E:$Z,MATCH($A147,SPPR!$A:$A,0),15),""),"")</f>
        <v/>
      </c>
      <c r="S147">
        <f>IFERROR(IF(ISNUMBER(INDEX(SPPR!$E:$Z,MATCH($A147,SPPR!$A:$A,0),16)),$C147*INDEX(SPPR!$E:$Z,MATCH($A147,SPPR!$A:$A,0),16),""),"")</f>
        <v/>
      </c>
      <c r="T147">
        <f>IFERROR(IF(ISNUMBER(INDEX(SPPR!$E:$Z,MATCH($A147,SPPR!$A:$A,0),17)),$C147*INDEX(SPPR!$E:$Z,MATCH($A147,SPPR!$A:$A,0),17),""),"")</f>
        <v/>
      </c>
      <c r="U147">
        <f>IFERROR(IF(ISNUMBER(INDEX(SPPR!$E:$Z,MATCH($A147,SPPR!$A:$A,0),18)),$C147*INDEX(SPPR!$E:$Z,MATCH($A147,SPPR!$A:$A,0),18),""),"")</f>
        <v/>
      </c>
      <c r="V147">
        <f>IFERROR(IF(ISNUMBER(INDEX(SPPR!$E:$Z,MATCH($A147,SPPR!$A:$A,0),19)),$C147*INDEX(SPPR!$E:$Z,MATCH($A147,SPPR!$A:$A,0),19),""),"")</f>
        <v/>
      </c>
      <c r="W147">
        <f>IFERROR(IF(ISNUMBER(INDEX(SPPR!$E:$Z,MATCH($A147,SPPR!$A:$A,0),20)),$C147*INDEX(SPPR!$E:$Z,MATCH($A147,SPPR!$A:$A,0),20),""),"")</f>
        <v/>
      </c>
      <c r="X147">
        <f>IFERROR(IF(ISNUMBER(INDEX(SPPR!$E:$Z,MATCH($A147,SPPR!$A:$A,0),21)),$C147*INDEX(SPPR!$E:$Z,MATCH($A147,SPPR!$A:$A,0),21),""),"")</f>
        <v/>
      </c>
      <c r="Y147">
        <f>IFERROR(IF(ISNUMBER(INDEX(SPPR!$E:$Z,MATCH($A147,SPPR!$A:$A,0),22)),$C147*INDEX(SPPR!$E:$Z,MATCH($A147,SPPR!$A:$A,0),22),""),"")</f>
        <v/>
      </c>
    </row>
    <row r="148">
      <c r="A148" t="inlineStr">
        <is>
          <t>Siganidae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IFERROR(IF(ISNUMBER(INDEX(SPPR!$E:$Z,MATCH($A148,SPPR!$A:$A,0),1)),$C148*INDEX(SPPR!$E:$Z,MATCH($A148,SPPR!$A:$A,0),1),""),"")</f>
        <v/>
      </c>
      <c r="E148">
        <f>IFERROR(IF(ISNUMBER(INDEX(SPPR!$E:$Z,MATCH($A148,SPPR!$A:$A,0),2)),$C148*INDEX(SPPR!$E:$Z,MATCH($A148,SPPR!$A:$A,0),2),""),"")</f>
        <v/>
      </c>
      <c r="F148">
        <f>IFERROR(IF(ISNUMBER(INDEX(SPPR!$E:$Z,MATCH($A148,SPPR!$A:$A,0),3)),$C148*INDEX(SPPR!$E:$Z,MATCH($A148,SPPR!$A:$A,0),3),""),"")</f>
        <v/>
      </c>
      <c r="G148">
        <f>IFERROR(IF(ISNUMBER(INDEX(SPPR!$E:$Z,MATCH($A148,SPPR!$A:$A,0),4)),$C148*INDEX(SPPR!$E:$Z,MATCH($A148,SPPR!$A:$A,0),4),""),"")</f>
        <v/>
      </c>
      <c r="H148">
        <f>IFERROR(IF(ISNUMBER(INDEX(SPPR!$E:$Z,MATCH($A148,SPPR!$A:$A,0),5)),$C148*INDEX(SPPR!$E:$Z,MATCH($A148,SPPR!$A:$A,0),5),""),"")</f>
        <v/>
      </c>
      <c r="I148">
        <f>IFERROR(IF(ISNUMBER(INDEX(SPPR!$E:$Z,MATCH($A148,SPPR!$A:$A,0),6)),$C148*INDEX(SPPR!$E:$Z,MATCH($A148,SPPR!$A:$A,0),6),""),"")</f>
        <v/>
      </c>
      <c r="J148">
        <f>IFERROR(IF(ISNUMBER(INDEX(SPPR!$E:$Z,MATCH($A148,SPPR!$A:$A,0),7)),$C148*INDEX(SPPR!$E:$Z,MATCH($A148,SPPR!$A:$A,0),7),""),"")</f>
        <v/>
      </c>
      <c r="K148">
        <f>IFERROR(IF(ISNUMBER(INDEX(SPPR!$E:$Z,MATCH($A148,SPPR!$A:$A,0),8)),$C148*INDEX(SPPR!$E:$Z,MATCH($A148,SPPR!$A:$A,0),8),""),"")</f>
        <v/>
      </c>
      <c r="L148">
        <f>IFERROR(IF(ISNUMBER(INDEX(SPPR!$E:$Z,MATCH($A148,SPPR!$A:$A,0),9)),$C148*INDEX(SPPR!$E:$Z,MATCH($A148,SPPR!$A:$A,0),9),""),"")</f>
        <v/>
      </c>
      <c r="M148">
        <f>IFERROR(IF(ISNUMBER(INDEX(SPPR!$E:$Z,MATCH($A148,SPPR!$A:$A,0),10)),$C148*INDEX(SPPR!$E:$Z,MATCH($A148,SPPR!$A:$A,0),10),""),"")</f>
        <v/>
      </c>
      <c r="N148">
        <f>IFERROR(IF(ISNUMBER(INDEX(SPPR!$E:$Z,MATCH($A148,SPPR!$A:$A,0),11)),$C148*INDEX(SPPR!$E:$Z,MATCH($A148,SPPR!$A:$A,0),11),""),"")</f>
        <v/>
      </c>
      <c r="O148">
        <f>IFERROR(IF(ISNUMBER(INDEX(SPPR!$E:$Z,MATCH($A148,SPPR!$A:$A,0),12)),$C148*INDEX(SPPR!$E:$Z,MATCH($A148,SPPR!$A:$A,0),12),""),"")</f>
        <v/>
      </c>
      <c r="P148">
        <f>IFERROR(IF(ISNUMBER(INDEX(SPPR!$E:$Z,MATCH($A148,SPPR!$A:$A,0),13)),$C148*INDEX(SPPR!$E:$Z,MATCH($A148,SPPR!$A:$A,0),13),""),"")</f>
        <v/>
      </c>
      <c r="Q148">
        <f>IFERROR(IF(ISNUMBER(INDEX(SPPR!$E:$Z,MATCH($A148,SPPR!$A:$A,0),14)),$C148*INDEX(SPPR!$E:$Z,MATCH($A148,SPPR!$A:$A,0),14),""),"")</f>
        <v/>
      </c>
      <c r="R148">
        <f>IFERROR(IF(ISNUMBER(INDEX(SPPR!$E:$Z,MATCH($A148,SPPR!$A:$A,0),15)),$C148*INDEX(SPPR!$E:$Z,MATCH($A148,SPPR!$A:$A,0),15),""),"")</f>
        <v/>
      </c>
      <c r="S148">
        <f>IFERROR(IF(ISNUMBER(INDEX(SPPR!$E:$Z,MATCH($A148,SPPR!$A:$A,0),16)),$C148*INDEX(SPPR!$E:$Z,MATCH($A148,SPPR!$A:$A,0),16),""),"")</f>
        <v/>
      </c>
      <c r="T148">
        <f>IFERROR(IF(ISNUMBER(INDEX(SPPR!$E:$Z,MATCH($A148,SPPR!$A:$A,0),17)),$C148*INDEX(SPPR!$E:$Z,MATCH($A148,SPPR!$A:$A,0),17),""),"")</f>
        <v/>
      </c>
      <c r="U148">
        <f>IFERROR(IF(ISNUMBER(INDEX(SPPR!$E:$Z,MATCH($A148,SPPR!$A:$A,0),18)),$C148*INDEX(SPPR!$E:$Z,MATCH($A148,SPPR!$A:$A,0),18),""),"")</f>
        <v/>
      </c>
      <c r="V148">
        <f>IFERROR(IF(ISNUMBER(INDEX(SPPR!$E:$Z,MATCH($A148,SPPR!$A:$A,0),19)),$C148*INDEX(SPPR!$E:$Z,MATCH($A148,SPPR!$A:$A,0),19),""),"")</f>
        <v/>
      </c>
      <c r="W148">
        <f>IFERROR(IF(ISNUMBER(INDEX(SPPR!$E:$Z,MATCH($A148,SPPR!$A:$A,0),20)),$C148*INDEX(SPPR!$E:$Z,MATCH($A148,SPPR!$A:$A,0),20),""),"")</f>
        <v/>
      </c>
      <c r="X148">
        <f>IFERROR(IF(ISNUMBER(INDEX(SPPR!$E:$Z,MATCH($A148,SPPR!$A:$A,0),21)),$C148*INDEX(SPPR!$E:$Z,MATCH($A148,SPPR!$A:$A,0),21),""),"")</f>
        <v/>
      </c>
      <c r="Y148">
        <f>IFERROR(IF(ISNUMBER(INDEX(SPPR!$E:$Z,MATCH($A148,SPPR!$A:$A,0),22)),$C148*INDEX(SPPR!$E:$Z,MATCH($A148,SPPR!$A:$A,0),22),""),"")</f>
        <v/>
      </c>
    </row>
    <row r="149">
      <c r="A149" t="inlineStr">
        <is>
          <t>Panulirus longipes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IFERROR(IF(ISNUMBER(INDEX(SPPR!$E:$Z,MATCH($A149,SPPR!$A:$A,0),1)),$C149*INDEX(SPPR!$E:$Z,MATCH($A149,SPPR!$A:$A,0),1),""),"")</f>
        <v/>
      </c>
      <c r="E149">
        <f>IFERROR(IF(ISNUMBER(INDEX(SPPR!$E:$Z,MATCH($A149,SPPR!$A:$A,0),2)),$C149*INDEX(SPPR!$E:$Z,MATCH($A149,SPPR!$A:$A,0),2),""),"")</f>
        <v/>
      </c>
      <c r="F149">
        <f>IFERROR(IF(ISNUMBER(INDEX(SPPR!$E:$Z,MATCH($A149,SPPR!$A:$A,0),3)),$C149*INDEX(SPPR!$E:$Z,MATCH($A149,SPPR!$A:$A,0),3),""),"")</f>
        <v/>
      </c>
      <c r="G149">
        <f>IFERROR(IF(ISNUMBER(INDEX(SPPR!$E:$Z,MATCH($A149,SPPR!$A:$A,0),4)),$C149*INDEX(SPPR!$E:$Z,MATCH($A149,SPPR!$A:$A,0),4),""),"")</f>
        <v/>
      </c>
      <c r="H149">
        <f>IFERROR(IF(ISNUMBER(INDEX(SPPR!$E:$Z,MATCH($A149,SPPR!$A:$A,0),5)),$C149*INDEX(SPPR!$E:$Z,MATCH($A149,SPPR!$A:$A,0),5),""),"")</f>
        <v/>
      </c>
      <c r="I149">
        <f>IFERROR(IF(ISNUMBER(INDEX(SPPR!$E:$Z,MATCH($A149,SPPR!$A:$A,0),6)),$C149*INDEX(SPPR!$E:$Z,MATCH($A149,SPPR!$A:$A,0),6),""),"")</f>
        <v/>
      </c>
      <c r="J149">
        <f>IFERROR(IF(ISNUMBER(INDEX(SPPR!$E:$Z,MATCH($A149,SPPR!$A:$A,0),7)),$C149*INDEX(SPPR!$E:$Z,MATCH($A149,SPPR!$A:$A,0),7),""),"")</f>
        <v/>
      </c>
      <c r="K149">
        <f>IFERROR(IF(ISNUMBER(INDEX(SPPR!$E:$Z,MATCH($A149,SPPR!$A:$A,0),8)),$C149*INDEX(SPPR!$E:$Z,MATCH($A149,SPPR!$A:$A,0),8),""),"")</f>
        <v/>
      </c>
      <c r="L149">
        <f>IFERROR(IF(ISNUMBER(INDEX(SPPR!$E:$Z,MATCH($A149,SPPR!$A:$A,0),9)),$C149*INDEX(SPPR!$E:$Z,MATCH($A149,SPPR!$A:$A,0),9),""),"")</f>
        <v/>
      </c>
      <c r="M149">
        <f>IFERROR(IF(ISNUMBER(INDEX(SPPR!$E:$Z,MATCH($A149,SPPR!$A:$A,0),10)),$C149*INDEX(SPPR!$E:$Z,MATCH($A149,SPPR!$A:$A,0),10),""),"")</f>
        <v/>
      </c>
      <c r="N149">
        <f>IFERROR(IF(ISNUMBER(INDEX(SPPR!$E:$Z,MATCH($A149,SPPR!$A:$A,0),11)),$C149*INDEX(SPPR!$E:$Z,MATCH($A149,SPPR!$A:$A,0),11),""),"")</f>
        <v/>
      </c>
      <c r="O149">
        <f>IFERROR(IF(ISNUMBER(INDEX(SPPR!$E:$Z,MATCH($A149,SPPR!$A:$A,0),12)),$C149*INDEX(SPPR!$E:$Z,MATCH($A149,SPPR!$A:$A,0),12),""),"")</f>
        <v/>
      </c>
      <c r="P149">
        <f>IFERROR(IF(ISNUMBER(INDEX(SPPR!$E:$Z,MATCH($A149,SPPR!$A:$A,0),13)),$C149*INDEX(SPPR!$E:$Z,MATCH($A149,SPPR!$A:$A,0),13),""),"")</f>
        <v/>
      </c>
      <c r="Q149">
        <f>IFERROR(IF(ISNUMBER(INDEX(SPPR!$E:$Z,MATCH($A149,SPPR!$A:$A,0),14)),$C149*INDEX(SPPR!$E:$Z,MATCH($A149,SPPR!$A:$A,0),14),""),"")</f>
        <v/>
      </c>
      <c r="R149">
        <f>IFERROR(IF(ISNUMBER(INDEX(SPPR!$E:$Z,MATCH($A149,SPPR!$A:$A,0),15)),$C149*INDEX(SPPR!$E:$Z,MATCH($A149,SPPR!$A:$A,0),15),""),"")</f>
        <v/>
      </c>
      <c r="S149">
        <f>IFERROR(IF(ISNUMBER(INDEX(SPPR!$E:$Z,MATCH($A149,SPPR!$A:$A,0),16)),$C149*INDEX(SPPR!$E:$Z,MATCH($A149,SPPR!$A:$A,0),16),""),"")</f>
        <v/>
      </c>
      <c r="T149">
        <f>IFERROR(IF(ISNUMBER(INDEX(SPPR!$E:$Z,MATCH($A149,SPPR!$A:$A,0),17)),$C149*INDEX(SPPR!$E:$Z,MATCH($A149,SPPR!$A:$A,0),17),""),"")</f>
        <v/>
      </c>
      <c r="U149">
        <f>IFERROR(IF(ISNUMBER(INDEX(SPPR!$E:$Z,MATCH($A149,SPPR!$A:$A,0),18)),$C149*INDEX(SPPR!$E:$Z,MATCH($A149,SPPR!$A:$A,0),18),""),"")</f>
        <v/>
      </c>
      <c r="V149">
        <f>IFERROR(IF(ISNUMBER(INDEX(SPPR!$E:$Z,MATCH($A149,SPPR!$A:$A,0),19)),$C149*INDEX(SPPR!$E:$Z,MATCH($A149,SPPR!$A:$A,0),19),""),"")</f>
        <v/>
      </c>
      <c r="W149">
        <f>IFERROR(IF(ISNUMBER(INDEX(SPPR!$E:$Z,MATCH($A149,SPPR!$A:$A,0),20)),$C149*INDEX(SPPR!$E:$Z,MATCH($A149,SPPR!$A:$A,0),20),""),"")</f>
        <v/>
      </c>
      <c r="X149">
        <f>IFERROR(IF(ISNUMBER(INDEX(SPPR!$E:$Z,MATCH($A149,SPPR!$A:$A,0),21)),$C149*INDEX(SPPR!$E:$Z,MATCH($A149,SPPR!$A:$A,0),21),""),"")</f>
        <v/>
      </c>
      <c r="Y149">
        <f>IFERROR(IF(ISNUMBER(INDEX(SPPR!$E:$Z,MATCH($A149,SPPR!$A:$A,0),22)),$C149*INDEX(SPPR!$E:$Z,MATCH($A149,SPPR!$A:$A,0),22),""),"")</f>
        <v/>
      </c>
    </row>
    <row r="150">
      <c r="A150" t="inlineStr">
        <is>
          <t>Solenocera crassicornis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IFERROR(IF(ISNUMBER(INDEX(SPPR!$E:$Z,MATCH($A150,SPPR!$A:$A,0),1)),$C150*INDEX(SPPR!$E:$Z,MATCH($A150,SPPR!$A:$A,0),1),""),"")</f>
        <v/>
      </c>
      <c r="E150">
        <f>IFERROR(IF(ISNUMBER(INDEX(SPPR!$E:$Z,MATCH($A150,SPPR!$A:$A,0),2)),$C150*INDEX(SPPR!$E:$Z,MATCH($A150,SPPR!$A:$A,0),2),""),"")</f>
        <v/>
      </c>
      <c r="F150">
        <f>IFERROR(IF(ISNUMBER(INDEX(SPPR!$E:$Z,MATCH($A150,SPPR!$A:$A,0),3)),$C150*INDEX(SPPR!$E:$Z,MATCH($A150,SPPR!$A:$A,0),3),""),"")</f>
        <v/>
      </c>
      <c r="G150">
        <f>IFERROR(IF(ISNUMBER(INDEX(SPPR!$E:$Z,MATCH($A150,SPPR!$A:$A,0),4)),$C150*INDEX(SPPR!$E:$Z,MATCH($A150,SPPR!$A:$A,0),4),""),"")</f>
        <v/>
      </c>
      <c r="H150">
        <f>IFERROR(IF(ISNUMBER(INDEX(SPPR!$E:$Z,MATCH($A150,SPPR!$A:$A,0),5)),$C150*INDEX(SPPR!$E:$Z,MATCH($A150,SPPR!$A:$A,0),5),""),"")</f>
        <v/>
      </c>
      <c r="I150">
        <f>IFERROR(IF(ISNUMBER(INDEX(SPPR!$E:$Z,MATCH($A150,SPPR!$A:$A,0),6)),$C150*INDEX(SPPR!$E:$Z,MATCH($A150,SPPR!$A:$A,0),6),""),"")</f>
        <v/>
      </c>
      <c r="J150">
        <f>IFERROR(IF(ISNUMBER(INDEX(SPPR!$E:$Z,MATCH($A150,SPPR!$A:$A,0),7)),$C150*INDEX(SPPR!$E:$Z,MATCH($A150,SPPR!$A:$A,0),7),""),"")</f>
        <v/>
      </c>
      <c r="K150">
        <f>IFERROR(IF(ISNUMBER(INDEX(SPPR!$E:$Z,MATCH($A150,SPPR!$A:$A,0),8)),$C150*INDEX(SPPR!$E:$Z,MATCH($A150,SPPR!$A:$A,0),8),""),"")</f>
        <v/>
      </c>
      <c r="L150">
        <f>IFERROR(IF(ISNUMBER(INDEX(SPPR!$E:$Z,MATCH($A150,SPPR!$A:$A,0),9)),$C150*INDEX(SPPR!$E:$Z,MATCH($A150,SPPR!$A:$A,0),9),""),"")</f>
        <v/>
      </c>
      <c r="M150">
        <f>IFERROR(IF(ISNUMBER(INDEX(SPPR!$E:$Z,MATCH($A150,SPPR!$A:$A,0),10)),$C150*INDEX(SPPR!$E:$Z,MATCH($A150,SPPR!$A:$A,0),10),""),"")</f>
        <v/>
      </c>
      <c r="N150">
        <f>IFERROR(IF(ISNUMBER(INDEX(SPPR!$E:$Z,MATCH($A150,SPPR!$A:$A,0),11)),$C150*INDEX(SPPR!$E:$Z,MATCH($A150,SPPR!$A:$A,0),11),""),"")</f>
        <v/>
      </c>
      <c r="O150">
        <f>IFERROR(IF(ISNUMBER(INDEX(SPPR!$E:$Z,MATCH($A150,SPPR!$A:$A,0),12)),$C150*INDEX(SPPR!$E:$Z,MATCH($A150,SPPR!$A:$A,0),12),""),"")</f>
        <v/>
      </c>
      <c r="P150">
        <f>IFERROR(IF(ISNUMBER(INDEX(SPPR!$E:$Z,MATCH($A150,SPPR!$A:$A,0),13)),$C150*INDEX(SPPR!$E:$Z,MATCH($A150,SPPR!$A:$A,0),13),""),"")</f>
        <v/>
      </c>
      <c r="Q150">
        <f>IFERROR(IF(ISNUMBER(INDEX(SPPR!$E:$Z,MATCH($A150,SPPR!$A:$A,0),14)),$C150*INDEX(SPPR!$E:$Z,MATCH($A150,SPPR!$A:$A,0),14),""),"")</f>
        <v/>
      </c>
      <c r="R150">
        <f>IFERROR(IF(ISNUMBER(INDEX(SPPR!$E:$Z,MATCH($A150,SPPR!$A:$A,0),15)),$C150*INDEX(SPPR!$E:$Z,MATCH($A150,SPPR!$A:$A,0),15),""),"")</f>
        <v/>
      </c>
      <c r="S150">
        <f>IFERROR(IF(ISNUMBER(INDEX(SPPR!$E:$Z,MATCH($A150,SPPR!$A:$A,0),16)),$C150*INDEX(SPPR!$E:$Z,MATCH($A150,SPPR!$A:$A,0),16),""),"")</f>
        <v/>
      </c>
      <c r="T150">
        <f>IFERROR(IF(ISNUMBER(INDEX(SPPR!$E:$Z,MATCH($A150,SPPR!$A:$A,0),17)),$C150*INDEX(SPPR!$E:$Z,MATCH($A150,SPPR!$A:$A,0),17),""),"")</f>
        <v/>
      </c>
      <c r="U150">
        <f>IFERROR(IF(ISNUMBER(INDEX(SPPR!$E:$Z,MATCH($A150,SPPR!$A:$A,0),18)),$C150*INDEX(SPPR!$E:$Z,MATCH($A150,SPPR!$A:$A,0),18),""),"")</f>
        <v/>
      </c>
      <c r="V150">
        <f>IFERROR(IF(ISNUMBER(INDEX(SPPR!$E:$Z,MATCH($A150,SPPR!$A:$A,0),19)),$C150*INDEX(SPPR!$E:$Z,MATCH($A150,SPPR!$A:$A,0),19),""),"")</f>
        <v/>
      </c>
      <c r="W150">
        <f>IFERROR(IF(ISNUMBER(INDEX(SPPR!$E:$Z,MATCH($A150,SPPR!$A:$A,0),20)),$C150*INDEX(SPPR!$E:$Z,MATCH($A150,SPPR!$A:$A,0),20),""),"")</f>
        <v/>
      </c>
      <c r="X150">
        <f>IFERROR(IF(ISNUMBER(INDEX(SPPR!$E:$Z,MATCH($A150,SPPR!$A:$A,0),21)),$C150*INDEX(SPPR!$E:$Z,MATCH($A150,SPPR!$A:$A,0),21),""),"")</f>
        <v/>
      </c>
      <c r="Y150">
        <f>IFERROR(IF(ISNUMBER(INDEX(SPPR!$E:$Z,MATCH($A150,SPPR!$A:$A,0),22)),$C150*INDEX(SPPR!$E:$Z,MATCH($A150,SPPR!$A:$A,0),22),""),"")</f>
        <v/>
      </c>
    </row>
    <row r="151">
      <c r="A151" t="inlineStr">
        <is>
          <t>Rhizostomeae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IFERROR(IF(ISNUMBER(INDEX(SPPR!$E:$Z,MATCH($A151,SPPR!$A:$A,0),1)),$C151*INDEX(SPPR!$E:$Z,MATCH($A151,SPPR!$A:$A,0),1),""),"")</f>
        <v/>
      </c>
      <c r="E151">
        <f>IFERROR(IF(ISNUMBER(INDEX(SPPR!$E:$Z,MATCH($A151,SPPR!$A:$A,0),2)),$C151*INDEX(SPPR!$E:$Z,MATCH($A151,SPPR!$A:$A,0),2),""),"")</f>
        <v/>
      </c>
      <c r="F151">
        <f>IFERROR(IF(ISNUMBER(INDEX(SPPR!$E:$Z,MATCH($A151,SPPR!$A:$A,0),3)),$C151*INDEX(SPPR!$E:$Z,MATCH($A151,SPPR!$A:$A,0),3),""),"")</f>
        <v/>
      </c>
      <c r="G151">
        <f>IFERROR(IF(ISNUMBER(INDEX(SPPR!$E:$Z,MATCH($A151,SPPR!$A:$A,0),4)),$C151*INDEX(SPPR!$E:$Z,MATCH($A151,SPPR!$A:$A,0),4),""),"")</f>
        <v/>
      </c>
      <c r="H151">
        <f>IFERROR(IF(ISNUMBER(INDEX(SPPR!$E:$Z,MATCH($A151,SPPR!$A:$A,0),5)),$C151*INDEX(SPPR!$E:$Z,MATCH($A151,SPPR!$A:$A,0),5),""),"")</f>
        <v/>
      </c>
      <c r="I151">
        <f>IFERROR(IF(ISNUMBER(INDEX(SPPR!$E:$Z,MATCH($A151,SPPR!$A:$A,0),6)),$C151*INDEX(SPPR!$E:$Z,MATCH($A151,SPPR!$A:$A,0),6),""),"")</f>
        <v/>
      </c>
      <c r="J151">
        <f>IFERROR(IF(ISNUMBER(INDEX(SPPR!$E:$Z,MATCH($A151,SPPR!$A:$A,0),7)),$C151*INDEX(SPPR!$E:$Z,MATCH($A151,SPPR!$A:$A,0),7),""),"")</f>
        <v/>
      </c>
      <c r="K151">
        <f>IFERROR(IF(ISNUMBER(INDEX(SPPR!$E:$Z,MATCH($A151,SPPR!$A:$A,0),8)),$C151*INDEX(SPPR!$E:$Z,MATCH($A151,SPPR!$A:$A,0),8),""),"")</f>
        <v/>
      </c>
      <c r="L151">
        <f>IFERROR(IF(ISNUMBER(INDEX(SPPR!$E:$Z,MATCH($A151,SPPR!$A:$A,0),9)),$C151*INDEX(SPPR!$E:$Z,MATCH($A151,SPPR!$A:$A,0),9),""),"")</f>
        <v/>
      </c>
      <c r="M151">
        <f>IFERROR(IF(ISNUMBER(INDEX(SPPR!$E:$Z,MATCH($A151,SPPR!$A:$A,0),10)),$C151*INDEX(SPPR!$E:$Z,MATCH($A151,SPPR!$A:$A,0),10),""),"")</f>
        <v/>
      </c>
      <c r="N151">
        <f>IFERROR(IF(ISNUMBER(INDEX(SPPR!$E:$Z,MATCH($A151,SPPR!$A:$A,0),11)),$C151*INDEX(SPPR!$E:$Z,MATCH($A151,SPPR!$A:$A,0),11),""),"")</f>
        <v/>
      </c>
      <c r="O151">
        <f>IFERROR(IF(ISNUMBER(INDEX(SPPR!$E:$Z,MATCH($A151,SPPR!$A:$A,0),12)),$C151*INDEX(SPPR!$E:$Z,MATCH($A151,SPPR!$A:$A,0),12),""),"")</f>
        <v/>
      </c>
      <c r="P151">
        <f>IFERROR(IF(ISNUMBER(INDEX(SPPR!$E:$Z,MATCH($A151,SPPR!$A:$A,0),13)),$C151*INDEX(SPPR!$E:$Z,MATCH($A151,SPPR!$A:$A,0),13),""),"")</f>
        <v/>
      </c>
      <c r="Q151">
        <f>IFERROR(IF(ISNUMBER(INDEX(SPPR!$E:$Z,MATCH($A151,SPPR!$A:$A,0),14)),$C151*INDEX(SPPR!$E:$Z,MATCH($A151,SPPR!$A:$A,0),14),""),"")</f>
        <v/>
      </c>
      <c r="R151">
        <f>IFERROR(IF(ISNUMBER(INDEX(SPPR!$E:$Z,MATCH($A151,SPPR!$A:$A,0),15)),$C151*INDEX(SPPR!$E:$Z,MATCH($A151,SPPR!$A:$A,0),15),""),"")</f>
        <v/>
      </c>
      <c r="S151">
        <f>IFERROR(IF(ISNUMBER(INDEX(SPPR!$E:$Z,MATCH($A151,SPPR!$A:$A,0),16)),$C151*INDEX(SPPR!$E:$Z,MATCH($A151,SPPR!$A:$A,0),16),""),"")</f>
        <v/>
      </c>
      <c r="T151">
        <f>IFERROR(IF(ISNUMBER(INDEX(SPPR!$E:$Z,MATCH($A151,SPPR!$A:$A,0),17)),$C151*INDEX(SPPR!$E:$Z,MATCH($A151,SPPR!$A:$A,0),17),""),"")</f>
        <v/>
      </c>
      <c r="U151">
        <f>IFERROR(IF(ISNUMBER(INDEX(SPPR!$E:$Z,MATCH($A151,SPPR!$A:$A,0),18)),$C151*INDEX(SPPR!$E:$Z,MATCH($A151,SPPR!$A:$A,0),18),""),"")</f>
        <v/>
      </c>
      <c r="V151">
        <f>IFERROR(IF(ISNUMBER(INDEX(SPPR!$E:$Z,MATCH($A151,SPPR!$A:$A,0),19)),$C151*INDEX(SPPR!$E:$Z,MATCH($A151,SPPR!$A:$A,0),19),""),"")</f>
        <v/>
      </c>
      <c r="W151">
        <f>IFERROR(IF(ISNUMBER(INDEX(SPPR!$E:$Z,MATCH($A151,SPPR!$A:$A,0),20)),$C151*INDEX(SPPR!$E:$Z,MATCH($A151,SPPR!$A:$A,0),20),""),"")</f>
        <v/>
      </c>
      <c r="X151">
        <f>IFERROR(IF(ISNUMBER(INDEX(SPPR!$E:$Z,MATCH($A151,SPPR!$A:$A,0),21)),$C151*INDEX(SPPR!$E:$Z,MATCH($A151,SPPR!$A:$A,0),21),""),"")</f>
        <v/>
      </c>
      <c r="Y151">
        <f>IFERROR(IF(ISNUMBER(INDEX(SPPR!$E:$Z,MATCH($A151,SPPR!$A:$A,0),22)),$C151*INDEX(SPPR!$E:$Z,MATCH($A151,SPPR!$A:$A,0),22),""),"")</f>
        <v/>
      </c>
    </row>
    <row r="152">
      <c r="A152" t="inlineStr">
        <is>
          <t>Elagatis bipinnulata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IFERROR(IF(ISNUMBER(INDEX(SPPR!$E:$Z,MATCH($A152,SPPR!$A:$A,0),1)),$C152*INDEX(SPPR!$E:$Z,MATCH($A152,SPPR!$A:$A,0),1),""),"")</f>
        <v/>
      </c>
      <c r="E152">
        <f>IFERROR(IF(ISNUMBER(INDEX(SPPR!$E:$Z,MATCH($A152,SPPR!$A:$A,0),2)),$C152*INDEX(SPPR!$E:$Z,MATCH($A152,SPPR!$A:$A,0),2),""),"")</f>
        <v/>
      </c>
      <c r="F152">
        <f>IFERROR(IF(ISNUMBER(INDEX(SPPR!$E:$Z,MATCH($A152,SPPR!$A:$A,0),3)),$C152*INDEX(SPPR!$E:$Z,MATCH($A152,SPPR!$A:$A,0),3),""),"")</f>
        <v/>
      </c>
      <c r="G152">
        <f>IFERROR(IF(ISNUMBER(INDEX(SPPR!$E:$Z,MATCH($A152,SPPR!$A:$A,0),4)),$C152*INDEX(SPPR!$E:$Z,MATCH($A152,SPPR!$A:$A,0),4),""),"")</f>
        <v/>
      </c>
      <c r="H152">
        <f>IFERROR(IF(ISNUMBER(INDEX(SPPR!$E:$Z,MATCH($A152,SPPR!$A:$A,0),5)),$C152*INDEX(SPPR!$E:$Z,MATCH($A152,SPPR!$A:$A,0),5),""),"")</f>
        <v/>
      </c>
      <c r="I152">
        <f>IFERROR(IF(ISNUMBER(INDEX(SPPR!$E:$Z,MATCH($A152,SPPR!$A:$A,0),6)),$C152*INDEX(SPPR!$E:$Z,MATCH($A152,SPPR!$A:$A,0),6),""),"")</f>
        <v/>
      </c>
      <c r="J152">
        <f>IFERROR(IF(ISNUMBER(INDEX(SPPR!$E:$Z,MATCH($A152,SPPR!$A:$A,0),7)),$C152*INDEX(SPPR!$E:$Z,MATCH($A152,SPPR!$A:$A,0),7),""),"")</f>
        <v/>
      </c>
      <c r="K152">
        <f>IFERROR(IF(ISNUMBER(INDEX(SPPR!$E:$Z,MATCH($A152,SPPR!$A:$A,0),8)),$C152*INDEX(SPPR!$E:$Z,MATCH($A152,SPPR!$A:$A,0),8),""),"")</f>
        <v/>
      </c>
      <c r="L152">
        <f>IFERROR(IF(ISNUMBER(INDEX(SPPR!$E:$Z,MATCH($A152,SPPR!$A:$A,0),9)),$C152*INDEX(SPPR!$E:$Z,MATCH($A152,SPPR!$A:$A,0),9),""),"")</f>
        <v/>
      </c>
      <c r="M152">
        <f>IFERROR(IF(ISNUMBER(INDEX(SPPR!$E:$Z,MATCH($A152,SPPR!$A:$A,0),10)),$C152*INDEX(SPPR!$E:$Z,MATCH($A152,SPPR!$A:$A,0),10),""),"")</f>
        <v/>
      </c>
      <c r="N152">
        <f>IFERROR(IF(ISNUMBER(INDEX(SPPR!$E:$Z,MATCH($A152,SPPR!$A:$A,0),11)),$C152*INDEX(SPPR!$E:$Z,MATCH($A152,SPPR!$A:$A,0),11),""),"")</f>
        <v/>
      </c>
      <c r="O152">
        <f>IFERROR(IF(ISNUMBER(INDEX(SPPR!$E:$Z,MATCH($A152,SPPR!$A:$A,0),12)),$C152*INDEX(SPPR!$E:$Z,MATCH($A152,SPPR!$A:$A,0),12),""),"")</f>
        <v/>
      </c>
      <c r="P152">
        <f>IFERROR(IF(ISNUMBER(INDEX(SPPR!$E:$Z,MATCH($A152,SPPR!$A:$A,0),13)),$C152*INDEX(SPPR!$E:$Z,MATCH($A152,SPPR!$A:$A,0),13),""),"")</f>
        <v/>
      </c>
      <c r="Q152">
        <f>IFERROR(IF(ISNUMBER(INDEX(SPPR!$E:$Z,MATCH($A152,SPPR!$A:$A,0),14)),$C152*INDEX(SPPR!$E:$Z,MATCH($A152,SPPR!$A:$A,0),14),""),"")</f>
        <v/>
      </c>
      <c r="R152">
        <f>IFERROR(IF(ISNUMBER(INDEX(SPPR!$E:$Z,MATCH($A152,SPPR!$A:$A,0),15)),$C152*INDEX(SPPR!$E:$Z,MATCH($A152,SPPR!$A:$A,0),15),""),"")</f>
        <v/>
      </c>
      <c r="S152">
        <f>IFERROR(IF(ISNUMBER(INDEX(SPPR!$E:$Z,MATCH($A152,SPPR!$A:$A,0),16)),$C152*INDEX(SPPR!$E:$Z,MATCH($A152,SPPR!$A:$A,0),16),""),"")</f>
        <v/>
      </c>
      <c r="T152">
        <f>IFERROR(IF(ISNUMBER(INDEX(SPPR!$E:$Z,MATCH($A152,SPPR!$A:$A,0),17)),$C152*INDEX(SPPR!$E:$Z,MATCH($A152,SPPR!$A:$A,0),17),""),"")</f>
        <v/>
      </c>
      <c r="U152">
        <f>IFERROR(IF(ISNUMBER(INDEX(SPPR!$E:$Z,MATCH($A152,SPPR!$A:$A,0),18)),$C152*INDEX(SPPR!$E:$Z,MATCH($A152,SPPR!$A:$A,0),18),""),"")</f>
        <v/>
      </c>
      <c r="V152">
        <f>IFERROR(IF(ISNUMBER(INDEX(SPPR!$E:$Z,MATCH($A152,SPPR!$A:$A,0),19)),$C152*INDEX(SPPR!$E:$Z,MATCH($A152,SPPR!$A:$A,0),19),""),"")</f>
        <v/>
      </c>
      <c r="W152">
        <f>IFERROR(IF(ISNUMBER(INDEX(SPPR!$E:$Z,MATCH($A152,SPPR!$A:$A,0),20)),$C152*INDEX(SPPR!$E:$Z,MATCH($A152,SPPR!$A:$A,0),20),""),"")</f>
        <v/>
      </c>
      <c r="X152">
        <f>IFERROR(IF(ISNUMBER(INDEX(SPPR!$E:$Z,MATCH($A152,SPPR!$A:$A,0),21)),$C152*INDEX(SPPR!$E:$Z,MATCH($A152,SPPR!$A:$A,0),21),""),"")</f>
        <v/>
      </c>
      <c r="Y152">
        <f>IFERROR(IF(ISNUMBER(INDEX(SPPR!$E:$Z,MATCH($A152,SPPR!$A:$A,0),22)),$C152*INDEX(SPPR!$E:$Z,MATCH($A152,SPPR!$A:$A,0),22),""),"")</f>
        <v/>
      </c>
    </row>
    <row r="153">
      <c r="A153" t="inlineStr">
        <is>
          <t>Istiophorus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IFERROR(IF(ISNUMBER(INDEX(SPPR!$E:$Z,MATCH($A153,SPPR!$A:$A,0),1)),$C153*INDEX(SPPR!$E:$Z,MATCH($A153,SPPR!$A:$A,0),1),""),"")</f>
        <v/>
      </c>
      <c r="E153">
        <f>IFERROR(IF(ISNUMBER(INDEX(SPPR!$E:$Z,MATCH($A153,SPPR!$A:$A,0),2)),$C153*INDEX(SPPR!$E:$Z,MATCH($A153,SPPR!$A:$A,0),2),""),"")</f>
        <v/>
      </c>
      <c r="F153">
        <f>IFERROR(IF(ISNUMBER(INDEX(SPPR!$E:$Z,MATCH($A153,SPPR!$A:$A,0),3)),$C153*INDEX(SPPR!$E:$Z,MATCH($A153,SPPR!$A:$A,0),3),""),"")</f>
        <v/>
      </c>
      <c r="G153">
        <f>IFERROR(IF(ISNUMBER(INDEX(SPPR!$E:$Z,MATCH($A153,SPPR!$A:$A,0),4)),$C153*INDEX(SPPR!$E:$Z,MATCH($A153,SPPR!$A:$A,0),4),""),"")</f>
        <v/>
      </c>
      <c r="H153">
        <f>IFERROR(IF(ISNUMBER(INDEX(SPPR!$E:$Z,MATCH($A153,SPPR!$A:$A,0),5)),$C153*INDEX(SPPR!$E:$Z,MATCH($A153,SPPR!$A:$A,0),5),""),"")</f>
        <v/>
      </c>
      <c r="I153">
        <f>IFERROR(IF(ISNUMBER(INDEX(SPPR!$E:$Z,MATCH($A153,SPPR!$A:$A,0),6)),$C153*INDEX(SPPR!$E:$Z,MATCH($A153,SPPR!$A:$A,0),6),""),"")</f>
        <v/>
      </c>
      <c r="J153">
        <f>IFERROR(IF(ISNUMBER(INDEX(SPPR!$E:$Z,MATCH($A153,SPPR!$A:$A,0),7)),$C153*INDEX(SPPR!$E:$Z,MATCH($A153,SPPR!$A:$A,0),7),""),"")</f>
        <v/>
      </c>
      <c r="K153">
        <f>IFERROR(IF(ISNUMBER(INDEX(SPPR!$E:$Z,MATCH($A153,SPPR!$A:$A,0),8)),$C153*INDEX(SPPR!$E:$Z,MATCH($A153,SPPR!$A:$A,0),8),""),"")</f>
        <v/>
      </c>
      <c r="L153">
        <f>IFERROR(IF(ISNUMBER(INDEX(SPPR!$E:$Z,MATCH($A153,SPPR!$A:$A,0),9)),$C153*INDEX(SPPR!$E:$Z,MATCH($A153,SPPR!$A:$A,0),9),""),"")</f>
        <v/>
      </c>
      <c r="M153">
        <f>IFERROR(IF(ISNUMBER(INDEX(SPPR!$E:$Z,MATCH($A153,SPPR!$A:$A,0),10)),$C153*INDEX(SPPR!$E:$Z,MATCH($A153,SPPR!$A:$A,0),10),""),"")</f>
        <v/>
      </c>
      <c r="N153">
        <f>IFERROR(IF(ISNUMBER(INDEX(SPPR!$E:$Z,MATCH($A153,SPPR!$A:$A,0),11)),$C153*INDEX(SPPR!$E:$Z,MATCH($A153,SPPR!$A:$A,0),11),""),"")</f>
        <v/>
      </c>
      <c r="O153">
        <f>IFERROR(IF(ISNUMBER(INDEX(SPPR!$E:$Z,MATCH($A153,SPPR!$A:$A,0),12)),$C153*INDEX(SPPR!$E:$Z,MATCH($A153,SPPR!$A:$A,0),12),""),"")</f>
        <v/>
      </c>
      <c r="P153">
        <f>IFERROR(IF(ISNUMBER(INDEX(SPPR!$E:$Z,MATCH($A153,SPPR!$A:$A,0),13)),$C153*INDEX(SPPR!$E:$Z,MATCH($A153,SPPR!$A:$A,0),13),""),"")</f>
        <v/>
      </c>
      <c r="Q153">
        <f>IFERROR(IF(ISNUMBER(INDEX(SPPR!$E:$Z,MATCH($A153,SPPR!$A:$A,0),14)),$C153*INDEX(SPPR!$E:$Z,MATCH($A153,SPPR!$A:$A,0),14),""),"")</f>
        <v/>
      </c>
      <c r="R153">
        <f>IFERROR(IF(ISNUMBER(INDEX(SPPR!$E:$Z,MATCH($A153,SPPR!$A:$A,0),15)),$C153*INDEX(SPPR!$E:$Z,MATCH($A153,SPPR!$A:$A,0),15),""),"")</f>
        <v/>
      </c>
      <c r="S153">
        <f>IFERROR(IF(ISNUMBER(INDEX(SPPR!$E:$Z,MATCH($A153,SPPR!$A:$A,0),16)),$C153*INDEX(SPPR!$E:$Z,MATCH($A153,SPPR!$A:$A,0),16),""),"")</f>
        <v/>
      </c>
      <c r="T153">
        <f>IFERROR(IF(ISNUMBER(INDEX(SPPR!$E:$Z,MATCH($A153,SPPR!$A:$A,0),17)),$C153*INDEX(SPPR!$E:$Z,MATCH($A153,SPPR!$A:$A,0),17),""),"")</f>
        <v/>
      </c>
      <c r="U153">
        <f>IFERROR(IF(ISNUMBER(INDEX(SPPR!$E:$Z,MATCH($A153,SPPR!$A:$A,0),18)),$C153*INDEX(SPPR!$E:$Z,MATCH($A153,SPPR!$A:$A,0),18),""),"")</f>
        <v/>
      </c>
      <c r="V153">
        <f>IFERROR(IF(ISNUMBER(INDEX(SPPR!$E:$Z,MATCH($A153,SPPR!$A:$A,0),19)),$C153*INDEX(SPPR!$E:$Z,MATCH($A153,SPPR!$A:$A,0),19),""),"")</f>
        <v/>
      </c>
      <c r="W153">
        <f>IFERROR(IF(ISNUMBER(INDEX(SPPR!$E:$Z,MATCH($A153,SPPR!$A:$A,0),20)),$C153*INDEX(SPPR!$E:$Z,MATCH($A153,SPPR!$A:$A,0),20),""),"")</f>
        <v/>
      </c>
      <c r="X153">
        <f>IFERROR(IF(ISNUMBER(INDEX(SPPR!$E:$Z,MATCH($A153,SPPR!$A:$A,0),21)),$C153*INDEX(SPPR!$E:$Z,MATCH($A153,SPPR!$A:$A,0),21),""),"")</f>
        <v/>
      </c>
      <c r="Y153">
        <f>IFERROR(IF(ISNUMBER(INDEX(SPPR!$E:$Z,MATCH($A153,SPPR!$A:$A,0),22)),$C153*INDEX(SPPR!$E:$Z,MATCH($A153,SPPR!$A:$A,0),22),""),"")</f>
        <v/>
      </c>
    </row>
    <row r="154">
      <c r="A154" t="inlineStr">
        <is>
          <t>Thunnus obesus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IFERROR(IF(ISNUMBER(INDEX(SPPR!$E:$Z,MATCH($A154,SPPR!$A:$A,0),1)),$C154*INDEX(SPPR!$E:$Z,MATCH($A154,SPPR!$A:$A,0),1),""),"")</f>
        <v/>
      </c>
      <c r="E154">
        <f>IFERROR(IF(ISNUMBER(INDEX(SPPR!$E:$Z,MATCH($A154,SPPR!$A:$A,0),2)),$C154*INDEX(SPPR!$E:$Z,MATCH($A154,SPPR!$A:$A,0),2),""),"")</f>
        <v/>
      </c>
      <c r="F154">
        <f>IFERROR(IF(ISNUMBER(INDEX(SPPR!$E:$Z,MATCH($A154,SPPR!$A:$A,0),3)),$C154*INDEX(SPPR!$E:$Z,MATCH($A154,SPPR!$A:$A,0),3),""),"")</f>
        <v/>
      </c>
      <c r="G154">
        <f>IFERROR(IF(ISNUMBER(INDEX(SPPR!$E:$Z,MATCH($A154,SPPR!$A:$A,0),4)),$C154*INDEX(SPPR!$E:$Z,MATCH($A154,SPPR!$A:$A,0),4),""),"")</f>
        <v/>
      </c>
      <c r="H154">
        <f>IFERROR(IF(ISNUMBER(INDEX(SPPR!$E:$Z,MATCH($A154,SPPR!$A:$A,0),5)),$C154*INDEX(SPPR!$E:$Z,MATCH($A154,SPPR!$A:$A,0),5),""),"")</f>
        <v/>
      </c>
      <c r="I154">
        <f>IFERROR(IF(ISNUMBER(INDEX(SPPR!$E:$Z,MATCH($A154,SPPR!$A:$A,0),6)),$C154*INDEX(SPPR!$E:$Z,MATCH($A154,SPPR!$A:$A,0),6),""),"")</f>
        <v/>
      </c>
      <c r="J154">
        <f>IFERROR(IF(ISNUMBER(INDEX(SPPR!$E:$Z,MATCH($A154,SPPR!$A:$A,0),7)),$C154*INDEX(SPPR!$E:$Z,MATCH($A154,SPPR!$A:$A,0),7),""),"")</f>
        <v/>
      </c>
      <c r="K154">
        <f>IFERROR(IF(ISNUMBER(INDEX(SPPR!$E:$Z,MATCH($A154,SPPR!$A:$A,0),8)),$C154*INDEX(SPPR!$E:$Z,MATCH($A154,SPPR!$A:$A,0),8),""),"")</f>
        <v/>
      </c>
      <c r="L154">
        <f>IFERROR(IF(ISNUMBER(INDEX(SPPR!$E:$Z,MATCH($A154,SPPR!$A:$A,0),9)),$C154*INDEX(SPPR!$E:$Z,MATCH($A154,SPPR!$A:$A,0),9),""),"")</f>
        <v/>
      </c>
      <c r="M154">
        <f>IFERROR(IF(ISNUMBER(INDEX(SPPR!$E:$Z,MATCH($A154,SPPR!$A:$A,0),10)),$C154*INDEX(SPPR!$E:$Z,MATCH($A154,SPPR!$A:$A,0),10),""),"")</f>
        <v/>
      </c>
      <c r="N154">
        <f>IFERROR(IF(ISNUMBER(INDEX(SPPR!$E:$Z,MATCH($A154,SPPR!$A:$A,0),11)),$C154*INDEX(SPPR!$E:$Z,MATCH($A154,SPPR!$A:$A,0),11),""),"")</f>
        <v/>
      </c>
      <c r="O154">
        <f>IFERROR(IF(ISNUMBER(INDEX(SPPR!$E:$Z,MATCH($A154,SPPR!$A:$A,0),12)),$C154*INDEX(SPPR!$E:$Z,MATCH($A154,SPPR!$A:$A,0),12),""),"")</f>
        <v/>
      </c>
      <c r="P154">
        <f>IFERROR(IF(ISNUMBER(INDEX(SPPR!$E:$Z,MATCH($A154,SPPR!$A:$A,0),13)),$C154*INDEX(SPPR!$E:$Z,MATCH($A154,SPPR!$A:$A,0),13),""),"")</f>
        <v/>
      </c>
      <c r="Q154">
        <f>IFERROR(IF(ISNUMBER(INDEX(SPPR!$E:$Z,MATCH($A154,SPPR!$A:$A,0),14)),$C154*INDEX(SPPR!$E:$Z,MATCH($A154,SPPR!$A:$A,0),14),""),"")</f>
        <v/>
      </c>
      <c r="R154">
        <f>IFERROR(IF(ISNUMBER(INDEX(SPPR!$E:$Z,MATCH($A154,SPPR!$A:$A,0),15)),$C154*INDEX(SPPR!$E:$Z,MATCH($A154,SPPR!$A:$A,0),15),""),"")</f>
        <v/>
      </c>
      <c r="S154">
        <f>IFERROR(IF(ISNUMBER(INDEX(SPPR!$E:$Z,MATCH($A154,SPPR!$A:$A,0),16)),$C154*INDEX(SPPR!$E:$Z,MATCH($A154,SPPR!$A:$A,0),16),""),"")</f>
        <v/>
      </c>
      <c r="T154">
        <f>IFERROR(IF(ISNUMBER(INDEX(SPPR!$E:$Z,MATCH($A154,SPPR!$A:$A,0),17)),$C154*INDEX(SPPR!$E:$Z,MATCH($A154,SPPR!$A:$A,0),17),""),"")</f>
        <v/>
      </c>
      <c r="U154">
        <f>IFERROR(IF(ISNUMBER(INDEX(SPPR!$E:$Z,MATCH($A154,SPPR!$A:$A,0),18)),$C154*INDEX(SPPR!$E:$Z,MATCH($A154,SPPR!$A:$A,0),18),""),"")</f>
        <v/>
      </c>
      <c r="V154">
        <f>IFERROR(IF(ISNUMBER(INDEX(SPPR!$E:$Z,MATCH($A154,SPPR!$A:$A,0),19)),$C154*INDEX(SPPR!$E:$Z,MATCH($A154,SPPR!$A:$A,0),19),""),"")</f>
        <v/>
      </c>
      <c r="W154">
        <f>IFERROR(IF(ISNUMBER(INDEX(SPPR!$E:$Z,MATCH($A154,SPPR!$A:$A,0),20)),$C154*INDEX(SPPR!$E:$Z,MATCH($A154,SPPR!$A:$A,0),20),""),"")</f>
        <v/>
      </c>
      <c r="X154">
        <f>IFERROR(IF(ISNUMBER(INDEX(SPPR!$E:$Z,MATCH($A154,SPPR!$A:$A,0),21)),$C154*INDEX(SPPR!$E:$Z,MATCH($A154,SPPR!$A:$A,0),21),""),"")</f>
        <v/>
      </c>
      <c r="Y154">
        <f>IFERROR(IF(ISNUMBER(INDEX(SPPR!$E:$Z,MATCH($A154,SPPR!$A:$A,0),22)),$C154*INDEX(SPPR!$E:$Z,MATCH($A154,SPPR!$A:$A,0),22),""),"")</f>
        <v/>
      </c>
    </row>
    <row r="155">
      <c r="A155" t="inlineStr">
        <is>
          <t>Lates calcarifer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IFERROR(IF(ISNUMBER(INDEX(SPPR!$E:$Z,MATCH($A155,SPPR!$A:$A,0),1)),$C155*INDEX(SPPR!$E:$Z,MATCH($A155,SPPR!$A:$A,0),1),""),"")</f>
        <v/>
      </c>
      <c r="E155">
        <f>IFERROR(IF(ISNUMBER(INDEX(SPPR!$E:$Z,MATCH($A155,SPPR!$A:$A,0),2)),$C155*INDEX(SPPR!$E:$Z,MATCH($A155,SPPR!$A:$A,0),2),""),"")</f>
        <v/>
      </c>
      <c r="F155">
        <f>IFERROR(IF(ISNUMBER(INDEX(SPPR!$E:$Z,MATCH($A155,SPPR!$A:$A,0),3)),$C155*INDEX(SPPR!$E:$Z,MATCH($A155,SPPR!$A:$A,0),3),""),"")</f>
        <v/>
      </c>
      <c r="G155">
        <f>IFERROR(IF(ISNUMBER(INDEX(SPPR!$E:$Z,MATCH($A155,SPPR!$A:$A,0),4)),$C155*INDEX(SPPR!$E:$Z,MATCH($A155,SPPR!$A:$A,0),4),""),"")</f>
        <v/>
      </c>
      <c r="H155">
        <f>IFERROR(IF(ISNUMBER(INDEX(SPPR!$E:$Z,MATCH($A155,SPPR!$A:$A,0),5)),$C155*INDEX(SPPR!$E:$Z,MATCH($A155,SPPR!$A:$A,0),5),""),"")</f>
        <v/>
      </c>
      <c r="I155">
        <f>IFERROR(IF(ISNUMBER(INDEX(SPPR!$E:$Z,MATCH($A155,SPPR!$A:$A,0),6)),$C155*INDEX(SPPR!$E:$Z,MATCH($A155,SPPR!$A:$A,0),6),""),"")</f>
        <v/>
      </c>
      <c r="J155">
        <f>IFERROR(IF(ISNUMBER(INDEX(SPPR!$E:$Z,MATCH($A155,SPPR!$A:$A,0),7)),$C155*INDEX(SPPR!$E:$Z,MATCH($A155,SPPR!$A:$A,0),7),""),"")</f>
        <v/>
      </c>
      <c r="K155">
        <f>IFERROR(IF(ISNUMBER(INDEX(SPPR!$E:$Z,MATCH($A155,SPPR!$A:$A,0),8)),$C155*INDEX(SPPR!$E:$Z,MATCH($A155,SPPR!$A:$A,0),8),""),"")</f>
        <v/>
      </c>
      <c r="L155">
        <f>IFERROR(IF(ISNUMBER(INDEX(SPPR!$E:$Z,MATCH($A155,SPPR!$A:$A,0),9)),$C155*INDEX(SPPR!$E:$Z,MATCH($A155,SPPR!$A:$A,0),9),""),"")</f>
        <v/>
      </c>
      <c r="M155">
        <f>IFERROR(IF(ISNUMBER(INDEX(SPPR!$E:$Z,MATCH($A155,SPPR!$A:$A,0),10)),$C155*INDEX(SPPR!$E:$Z,MATCH($A155,SPPR!$A:$A,0),10),""),"")</f>
        <v/>
      </c>
      <c r="N155">
        <f>IFERROR(IF(ISNUMBER(INDEX(SPPR!$E:$Z,MATCH($A155,SPPR!$A:$A,0),11)),$C155*INDEX(SPPR!$E:$Z,MATCH($A155,SPPR!$A:$A,0),11),""),"")</f>
        <v/>
      </c>
      <c r="O155">
        <f>IFERROR(IF(ISNUMBER(INDEX(SPPR!$E:$Z,MATCH($A155,SPPR!$A:$A,0),12)),$C155*INDEX(SPPR!$E:$Z,MATCH($A155,SPPR!$A:$A,0),12),""),"")</f>
        <v/>
      </c>
      <c r="P155">
        <f>IFERROR(IF(ISNUMBER(INDEX(SPPR!$E:$Z,MATCH($A155,SPPR!$A:$A,0),13)),$C155*INDEX(SPPR!$E:$Z,MATCH($A155,SPPR!$A:$A,0),13),""),"")</f>
        <v/>
      </c>
      <c r="Q155">
        <f>IFERROR(IF(ISNUMBER(INDEX(SPPR!$E:$Z,MATCH($A155,SPPR!$A:$A,0),14)),$C155*INDEX(SPPR!$E:$Z,MATCH($A155,SPPR!$A:$A,0),14),""),"")</f>
        <v/>
      </c>
      <c r="R155">
        <f>IFERROR(IF(ISNUMBER(INDEX(SPPR!$E:$Z,MATCH($A155,SPPR!$A:$A,0),15)),$C155*INDEX(SPPR!$E:$Z,MATCH($A155,SPPR!$A:$A,0),15),""),"")</f>
        <v/>
      </c>
      <c r="S155">
        <f>IFERROR(IF(ISNUMBER(INDEX(SPPR!$E:$Z,MATCH($A155,SPPR!$A:$A,0),16)),$C155*INDEX(SPPR!$E:$Z,MATCH($A155,SPPR!$A:$A,0),16),""),"")</f>
        <v/>
      </c>
      <c r="T155">
        <f>IFERROR(IF(ISNUMBER(INDEX(SPPR!$E:$Z,MATCH($A155,SPPR!$A:$A,0),17)),$C155*INDEX(SPPR!$E:$Z,MATCH($A155,SPPR!$A:$A,0),17),""),"")</f>
        <v/>
      </c>
      <c r="U155">
        <f>IFERROR(IF(ISNUMBER(INDEX(SPPR!$E:$Z,MATCH($A155,SPPR!$A:$A,0),18)),$C155*INDEX(SPPR!$E:$Z,MATCH($A155,SPPR!$A:$A,0),18),""),"")</f>
        <v/>
      </c>
      <c r="V155">
        <f>IFERROR(IF(ISNUMBER(INDEX(SPPR!$E:$Z,MATCH($A155,SPPR!$A:$A,0),19)),$C155*INDEX(SPPR!$E:$Z,MATCH($A155,SPPR!$A:$A,0),19),""),"")</f>
        <v/>
      </c>
      <c r="W155">
        <f>IFERROR(IF(ISNUMBER(INDEX(SPPR!$E:$Z,MATCH($A155,SPPR!$A:$A,0),20)),$C155*INDEX(SPPR!$E:$Z,MATCH($A155,SPPR!$A:$A,0),20),""),"")</f>
        <v/>
      </c>
      <c r="X155">
        <f>IFERROR(IF(ISNUMBER(INDEX(SPPR!$E:$Z,MATCH($A155,SPPR!$A:$A,0),21)),$C155*INDEX(SPPR!$E:$Z,MATCH($A155,SPPR!$A:$A,0),21),""),"")</f>
        <v/>
      </c>
      <c r="Y155">
        <f>IFERROR(IF(ISNUMBER(INDEX(SPPR!$E:$Z,MATCH($A155,SPPR!$A:$A,0),22)),$C155*INDEX(SPPR!$E:$Z,MATCH($A155,SPPR!$A:$A,0),22),""),"")</f>
        <v/>
      </c>
    </row>
    <row r="156">
      <c r="A156" t="inlineStr">
        <is>
          <t>Monacanthidae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IFERROR(IF(ISNUMBER(INDEX(SPPR!$E:$Z,MATCH($A156,SPPR!$A:$A,0),1)),$C156*INDEX(SPPR!$E:$Z,MATCH($A156,SPPR!$A:$A,0),1),""),"")</f>
        <v/>
      </c>
      <c r="E156">
        <f>IFERROR(IF(ISNUMBER(INDEX(SPPR!$E:$Z,MATCH($A156,SPPR!$A:$A,0),2)),$C156*INDEX(SPPR!$E:$Z,MATCH($A156,SPPR!$A:$A,0),2),""),"")</f>
        <v/>
      </c>
      <c r="F156">
        <f>IFERROR(IF(ISNUMBER(INDEX(SPPR!$E:$Z,MATCH($A156,SPPR!$A:$A,0),3)),$C156*INDEX(SPPR!$E:$Z,MATCH($A156,SPPR!$A:$A,0),3),""),"")</f>
        <v/>
      </c>
      <c r="G156">
        <f>IFERROR(IF(ISNUMBER(INDEX(SPPR!$E:$Z,MATCH($A156,SPPR!$A:$A,0),4)),$C156*INDEX(SPPR!$E:$Z,MATCH($A156,SPPR!$A:$A,0),4),""),"")</f>
        <v/>
      </c>
      <c r="H156">
        <f>IFERROR(IF(ISNUMBER(INDEX(SPPR!$E:$Z,MATCH($A156,SPPR!$A:$A,0),5)),$C156*INDEX(SPPR!$E:$Z,MATCH($A156,SPPR!$A:$A,0),5),""),"")</f>
        <v/>
      </c>
      <c r="I156">
        <f>IFERROR(IF(ISNUMBER(INDEX(SPPR!$E:$Z,MATCH($A156,SPPR!$A:$A,0),6)),$C156*INDEX(SPPR!$E:$Z,MATCH($A156,SPPR!$A:$A,0),6),""),"")</f>
        <v/>
      </c>
      <c r="J156">
        <f>IFERROR(IF(ISNUMBER(INDEX(SPPR!$E:$Z,MATCH($A156,SPPR!$A:$A,0),7)),$C156*INDEX(SPPR!$E:$Z,MATCH($A156,SPPR!$A:$A,0),7),""),"")</f>
        <v/>
      </c>
      <c r="K156">
        <f>IFERROR(IF(ISNUMBER(INDEX(SPPR!$E:$Z,MATCH($A156,SPPR!$A:$A,0),8)),$C156*INDEX(SPPR!$E:$Z,MATCH($A156,SPPR!$A:$A,0),8),""),"")</f>
        <v/>
      </c>
      <c r="L156">
        <f>IFERROR(IF(ISNUMBER(INDEX(SPPR!$E:$Z,MATCH($A156,SPPR!$A:$A,0),9)),$C156*INDEX(SPPR!$E:$Z,MATCH($A156,SPPR!$A:$A,0),9),""),"")</f>
        <v/>
      </c>
      <c r="M156">
        <f>IFERROR(IF(ISNUMBER(INDEX(SPPR!$E:$Z,MATCH($A156,SPPR!$A:$A,0),10)),$C156*INDEX(SPPR!$E:$Z,MATCH($A156,SPPR!$A:$A,0),10),""),"")</f>
        <v/>
      </c>
      <c r="N156">
        <f>IFERROR(IF(ISNUMBER(INDEX(SPPR!$E:$Z,MATCH($A156,SPPR!$A:$A,0),11)),$C156*INDEX(SPPR!$E:$Z,MATCH($A156,SPPR!$A:$A,0),11),""),"")</f>
        <v/>
      </c>
      <c r="O156">
        <f>IFERROR(IF(ISNUMBER(INDEX(SPPR!$E:$Z,MATCH($A156,SPPR!$A:$A,0),12)),$C156*INDEX(SPPR!$E:$Z,MATCH($A156,SPPR!$A:$A,0),12),""),"")</f>
        <v/>
      </c>
      <c r="P156">
        <f>IFERROR(IF(ISNUMBER(INDEX(SPPR!$E:$Z,MATCH($A156,SPPR!$A:$A,0),13)),$C156*INDEX(SPPR!$E:$Z,MATCH($A156,SPPR!$A:$A,0),13),""),"")</f>
        <v/>
      </c>
      <c r="Q156">
        <f>IFERROR(IF(ISNUMBER(INDEX(SPPR!$E:$Z,MATCH($A156,SPPR!$A:$A,0),14)),$C156*INDEX(SPPR!$E:$Z,MATCH($A156,SPPR!$A:$A,0),14),""),"")</f>
        <v/>
      </c>
      <c r="R156">
        <f>IFERROR(IF(ISNUMBER(INDEX(SPPR!$E:$Z,MATCH($A156,SPPR!$A:$A,0),15)),$C156*INDEX(SPPR!$E:$Z,MATCH($A156,SPPR!$A:$A,0),15),""),"")</f>
        <v/>
      </c>
      <c r="S156">
        <f>IFERROR(IF(ISNUMBER(INDEX(SPPR!$E:$Z,MATCH($A156,SPPR!$A:$A,0),16)),$C156*INDEX(SPPR!$E:$Z,MATCH($A156,SPPR!$A:$A,0),16),""),"")</f>
        <v/>
      </c>
      <c r="T156">
        <f>IFERROR(IF(ISNUMBER(INDEX(SPPR!$E:$Z,MATCH($A156,SPPR!$A:$A,0),17)),$C156*INDEX(SPPR!$E:$Z,MATCH($A156,SPPR!$A:$A,0),17),""),"")</f>
        <v/>
      </c>
      <c r="U156">
        <f>IFERROR(IF(ISNUMBER(INDEX(SPPR!$E:$Z,MATCH($A156,SPPR!$A:$A,0),18)),$C156*INDEX(SPPR!$E:$Z,MATCH($A156,SPPR!$A:$A,0),18),""),"")</f>
        <v/>
      </c>
      <c r="V156">
        <f>IFERROR(IF(ISNUMBER(INDEX(SPPR!$E:$Z,MATCH($A156,SPPR!$A:$A,0),19)),$C156*INDEX(SPPR!$E:$Z,MATCH($A156,SPPR!$A:$A,0),19),""),"")</f>
        <v/>
      </c>
      <c r="W156">
        <f>IFERROR(IF(ISNUMBER(INDEX(SPPR!$E:$Z,MATCH($A156,SPPR!$A:$A,0),20)),$C156*INDEX(SPPR!$E:$Z,MATCH($A156,SPPR!$A:$A,0),20),""),"")</f>
        <v/>
      </c>
      <c r="X156">
        <f>IFERROR(IF(ISNUMBER(INDEX(SPPR!$E:$Z,MATCH($A156,SPPR!$A:$A,0),21)),$C156*INDEX(SPPR!$E:$Z,MATCH($A156,SPPR!$A:$A,0),21),""),"")</f>
        <v/>
      </c>
      <c r="Y156">
        <f>IFERROR(IF(ISNUMBER(INDEX(SPPR!$E:$Z,MATCH($A156,SPPR!$A:$A,0),22)),$C156*INDEX(SPPR!$E:$Z,MATCH($A156,SPPR!$A:$A,0),22),""),"")</f>
        <v/>
      </c>
    </row>
    <row r="157">
      <c r="A157" t="inlineStr">
        <is>
          <t>Thunnus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IFERROR(IF(ISNUMBER(INDEX(SPPR!$E:$Z,MATCH($A157,SPPR!$A:$A,0),1)),$C157*INDEX(SPPR!$E:$Z,MATCH($A157,SPPR!$A:$A,0),1),""),"")</f>
        <v/>
      </c>
      <c r="E157">
        <f>IFERROR(IF(ISNUMBER(INDEX(SPPR!$E:$Z,MATCH($A157,SPPR!$A:$A,0),2)),$C157*INDEX(SPPR!$E:$Z,MATCH($A157,SPPR!$A:$A,0),2),""),"")</f>
        <v/>
      </c>
      <c r="F157">
        <f>IFERROR(IF(ISNUMBER(INDEX(SPPR!$E:$Z,MATCH($A157,SPPR!$A:$A,0),3)),$C157*INDEX(SPPR!$E:$Z,MATCH($A157,SPPR!$A:$A,0),3),""),"")</f>
        <v/>
      </c>
      <c r="G157">
        <f>IFERROR(IF(ISNUMBER(INDEX(SPPR!$E:$Z,MATCH($A157,SPPR!$A:$A,0),4)),$C157*INDEX(SPPR!$E:$Z,MATCH($A157,SPPR!$A:$A,0),4),""),"")</f>
        <v/>
      </c>
      <c r="H157">
        <f>IFERROR(IF(ISNUMBER(INDEX(SPPR!$E:$Z,MATCH($A157,SPPR!$A:$A,0),5)),$C157*INDEX(SPPR!$E:$Z,MATCH($A157,SPPR!$A:$A,0),5),""),"")</f>
        <v/>
      </c>
      <c r="I157">
        <f>IFERROR(IF(ISNUMBER(INDEX(SPPR!$E:$Z,MATCH($A157,SPPR!$A:$A,0),6)),$C157*INDEX(SPPR!$E:$Z,MATCH($A157,SPPR!$A:$A,0),6),""),"")</f>
        <v/>
      </c>
      <c r="J157">
        <f>IFERROR(IF(ISNUMBER(INDEX(SPPR!$E:$Z,MATCH($A157,SPPR!$A:$A,0),7)),$C157*INDEX(SPPR!$E:$Z,MATCH($A157,SPPR!$A:$A,0),7),""),"")</f>
        <v/>
      </c>
      <c r="K157">
        <f>IFERROR(IF(ISNUMBER(INDEX(SPPR!$E:$Z,MATCH($A157,SPPR!$A:$A,0),8)),$C157*INDEX(SPPR!$E:$Z,MATCH($A157,SPPR!$A:$A,0),8),""),"")</f>
        <v/>
      </c>
      <c r="L157">
        <f>IFERROR(IF(ISNUMBER(INDEX(SPPR!$E:$Z,MATCH($A157,SPPR!$A:$A,0),9)),$C157*INDEX(SPPR!$E:$Z,MATCH($A157,SPPR!$A:$A,0),9),""),"")</f>
        <v/>
      </c>
      <c r="M157">
        <f>IFERROR(IF(ISNUMBER(INDEX(SPPR!$E:$Z,MATCH($A157,SPPR!$A:$A,0),10)),$C157*INDEX(SPPR!$E:$Z,MATCH($A157,SPPR!$A:$A,0),10),""),"")</f>
        <v/>
      </c>
      <c r="N157">
        <f>IFERROR(IF(ISNUMBER(INDEX(SPPR!$E:$Z,MATCH($A157,SPPR!$A:$A,0),11)),$C157*INDEX(SPPR!$E:$Z,MATCH($A157,SPPR!$A:$A,0),11),""),"")</f>
        <v/>
      </c>
      <c r="O157">
        <f>IFERROR(IF(ISNUMBER(INDEX(SPPR!$E:$Z,MATCH($A157,SPPR!$A:$A,0),12)),$C157*INDEX(SPPR!$E:$Z,MATCH($A157,SPPR!$A:$A,0),12),""),"")</f>
        <v/>
      </c>
      <c r="P157">
        <f>IFERROR(IF(ISNUMBER(INDEX(SPPR!$E:$Z,MATCH($A157,SPPR!$A:$A,0),13)),$C157*INDEX(SPPR!$E:$Z,MATCH($A157,SPPR!$A:$A,0),13),""),"")</f>
        <v/>
      </c>
      <c r="Q157">
        <f>IFERROR(IF(ISNUMBER(INDEX(SPPR!$E:$Z,MATCH($A157,SPPR!$A:$A,0),14)),$C157*INDEX(SPPR!$E:$Z,MATCH($A157,SPPR!$A:$A,0),14),""),"")</f>
        <v/>
      </c>
      <c r="R157">
        <f>IFERROR(IF(ISNUMBER(INDEX(SPPR!$E:$Z,MATCH($A157,SPPR!$A:$A,0),15)),$C157*INDEX(SPPR!$E:$Z,MATCH($A157,SPPR!$A:$A,0),15),""),"")</f>
        <v/>
      </c>
      <c r="S157">
        <f>IFERROR(IF(ISNUMBER(INDEX(SPPR!$E:$Z,MATCH($A157,SPPR!$A:$A,0),16)),$C157*INDEX(SPPR!$E:$Z,MATCH($A157,SPPR!$A:$A,0),16),""),"")</f>
        <v/>
      </c>
      <c r="T157">
        <f>IFERROR(IF(ISNUMBER(INDEX(SPPR!$E:$Z,MATCH($A157,SPPR!$A:$A,0),17)),$C157*INDEX(SPPR!$E:$Z,MATCH($A157,SPPR!$A:$A,0),17),""),"")</f>
        <v/>
      </c>
      <c r="U157">
        <f>IFERROR(IF(ISNUMBER(INDEX(SPPR!$E:$Z,MATCH($A157,SPPR!$A:$A,0),18)),$C157*INDEX(SPPR!$E:$Z,MATCH($A157,SPPR!$A:$A,0),18),""),"")</f>
        <v/>
      </c>
      <c r="V157">
        <f>IFERROR(IF(ISNUMBER(INDEX(SPPR!$E:$Z,MATCH($A157,SPPR!$A:$A,0),19)),$C157*INDEX(SPPR!$E:$Z,MATCH($A157,SPPR!$A:$A,0),19),""),"")</f>
        <v/>
      </c>
      <c r="W157">
        <f>IFERROR(IF(ISNUMBER(INDEX(SPPR!$E:$Z,MATCH($A157,SPPR!$A:$A,0),20)),$C157*INDEX(SPPR!$E:$Z,MATCH($A157,SPPR!$A:$A,0),20),""),"")</f>
        <v/>
      </c>
      <c r="X157">
        <f>IFERROR(IF(ISNUMBER(INDEX(SPPR!$E:$Z,MATCH($A157,SPPR!$A:$A,0),21)),$C157*INDEX(SPPR!$E:$Z,MATCH($A157,SPPR!$A:$A,0),21),""),"")</f>
        <v/>
      </c>
      <c r="Y157">
        <f>IFERROR(IF(ISNUMBER(INDEX(SPPR!$E:$Z,MATCH($A157,SPPR!$A:$A,0),22)),$C157*INDEX(SPPR!$E:$Z,MATCH($A157,SPPR!$A:$A,0),22),""),"")</f>
        <v/>
      </c>
    </row>
    <row r="158">
      <c r="A158" t="inlineStr">
        <is>
          <t>Bivalvia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IFERROR(IF(ISNUMBER(INDEX(SPPR!$E:$Z,MATCH($A158,SPPR!$A:$A,0),1)),$C158*INDEX(SPPR!$E:$Z,MATCH($A158,SPPR!$A:$A,0),1),""),"")</f>
        <v/>
      </c>
      <c r="E158">
        <f>IFERROR(IF(ISNUMBER(INDEX(SPPR!$E:$Z,MATCH($A158,SPPR!$A:$A,0),2)),$C158*INDEX(SPPR!$E:$Z,MATCH($A158,SPPR!$A:$A,0),2),""),"")</f>
        <v/>
      </c>
      <c r="F158">
        <f>IFERROR(IF(ISNUMBER(INDEX(SPPR!$E:$Z,MATCH($A158,SPPR!$A:$A,0),3)),$C158*INDEX(SPPR!$E:$Z,MATCH($A158,SPPR!$A:$A,0),3),""),"")</f>
        <v/>
      </c>
      <c r="G158">
        <f>IFERROR(IF(ISNUMBER(INDEX(SPPR!$E:$Z,MATCH($A158,SPPR!$A:$A,0),4)),$C158*INDEX(SPPR!$E:$Z,MATCH($A158,SPPR!$A:$A,0),4),""),"")</f>
        <v/>
      </c>
      <c r="H158">
        <f>IFERROR(IF(ISNUMBER(INDEX(SPPR!$E:$Z,MATCH($A158,SPPR!$A:$A,0),5)),$C158*INDEX(SPPR!$E:$Z,MATCH($A158,SPPR!$A:$A,0),5),""),"")</f>
        <v/>
      </c>
      <c r="I158">
        <f>IFERROR(IF(ISNUMBER(INDEX(SPPR!$E:$Z,MATCH($A158,SPPR!$A:$A,0),6)),$C158*INDEX(SPPR!$E:$Z,MATCH($A158,SPPR!$A:$A,0),6),""),"")</f>
        <v/>
      </c>
      <c r="J158">
        <f>IFERROR(IF(ISNUMBER(INDEX(SPPR!$E:$Z,MATCH($A158,SPPR!$A:$A,0),7)),$C158*INDEX(SPPR!$E:$Z,MATCH($A158,SPPR!$A:$A,0),7),""),"")</f>
        <v/>
      </c>
      <c r="K158">
        <f>IFERROR(IF(ISNUMBER(INDEX(SPPR!$E:$Z,MATCH($A158,SPPR!$A:$A,0),8)),$C158*INDEX(SPPR!$E:$Z,MATCH($A158,SPPR!$A:$A,0),8),""),"")</f>
        <v/>
      </c>
      <c r="L158">
        <f>IFERROR(IF(ISNUMBER(INDEX(SPPR!$E:$Z,MATCH($A158,SPPR!$A:$A,0),9)),$C158*INDEX(SPPR!$E:$Z,MATCH($A158,SPPR!$A:$A,0),9),""),"")</f>
        <v/>
      </c>
      <c r="M158">
        <f>IFERROR(IF(ISNUMBER(INDEX(SPPR!$E:$Z,MATCH($A158,SPPR!$A:$A,0),10)),$C158*INDEX(SPPR!$E:$Z,MATCH($A158,SPPR!$A:$A,0),10),""),"")</f>
        <v/>
      </c>
      <c r="N158">
        <f>IFERROR(IF(ISNUMBER(INDEX(SPPR!$E:$Z,MATCH($A158,SPPR!$A:$A,0),11)),$C158*INDEX(SPPR!$E:$Z,MATCH($A158,SPPR!$A:$A,0),11),""),"")</f>
        <v/>
      </c>
      <c r="O158">
        <f>IFERROR(IF(ISNUMBER(INDEX(SPPR!$E:$Z,MATCH($A158,SPPR!$A:$A,0),12)),$C158*INDEX(SPPR!$E:$Z,MATCH($A158,SPPR!$A:$A,0),12),""),"")</f>
        <v/>
      </c>
      <c r="P158">
        <f>IFERROR(IF(ISNUMBER(INDEX(SPPR!$E:$Z,MATCH($A158,SPPR!$A:$A,0),13)),$C158*INDEX(SPPR!$E:$Z,MATCH($A158,SPPR!$A:$A,0),13),""),"")</f>
        <v/>
      </c>
      <c r="Q158">
        <f>IFERROR(IF(ISNUMBER(INDEX(SPPR!$E:$Z,MATCH($A158,SPPR!$A:$A,0),14)),$C158*INDEX(SPPR!$E:$Z,MATCH($A158,SPPR!$A:$A,0),14),""),"")</f>
        <v/>
      </c>
      <c r="R158">
        <f>IFERROR(IF(ISNUMBER(INDEX(SPPR!$E:$Z,MATCH($A158,SPPR!$A:$A,0),15)),$C158*INDEX(SPPR!$E:$Z,MATCH($A158,SPPR!$A:$A,0),15),""),"")</f>
        <v/>
      </c>
      <c r="S158">
        <f>IFERROR(IF(ISNUMBER(INDEX(SPPR!$E:$Z,MATCH($A158,SPPR!$A:$A,0),16)),$C158*INDEX(SPPR!$E:$Z,MATCH($A158,SPPR!$A:$A,0),16),""),"")</f>
        <v/>
      </c>
      <c r="T158">
        <f>IFERROR(IF(ISNUMBER(INDEX(SPPR!$E:$Z,MATCH($A158,SPPR!$A:$A,0),17)),$C158*INDEX(SPPR!$E:$Z,MATCH($A158,SPPR!$A:$A,0),17),""),"")</f>
        <v/>
      </c>
      <c r="U158">
        <f>IFERROR(IF(ISNUMBER(INDEX(SPPR!$E:$Z,MATCH($A158,SPPR!$A:$A,0),18)),$C158*INDEX(SPPR!$E:$Z,MATCH($A158,SPPR!$A:$A,0),18),""),"")</f>
        <v/>
      </c>
      <c r="V158">
        <f>IFERROR(IF(ISNUMBER(INDEX(SPPR!$E:$Z,MATCH($A158,SPPR!$A:$A,0),19)),$C158*INDEX(SPPR!$E:$Z,MATCH($A158,SPPR!$A:$A,0),19),""),"")</f>
        <v/>
      </c>
      <c r="W158">
        <f>IFERROR(IF(ISNUMBER(INDEX(SPPR!$E:$Z,MATCH($A158,SPPR!$A:$A,0),20)),$C158*INDEX(SPPR!$E:$Z,MATCH($A158,SPPR!$A:$A,0),20),""),"")</f>
        <v/>
      </c>
      <c r="X158">
        <f>IFERROR(IF(ISNUMBER(INDEX(SPPR!$E:$Z,MATCH($A158,SPPR!$A:$A,0),21)),$C158*INDEX(SPPR!$E:$Z,MATCH($A158,SPPR!$A:$A,0),21),""),"")</f>
        <v/>
      </c>
      <c r="Y158">
        <f>IFERROR(IF(ISNUMBER(INDEX(SPPR!$E:$Z,MATCH($A158,SPPR!$A:$A,0),22)),$C158*INDEX(SPPR!$E:$Z,MATCH($A158,SPPR!$A:$A,0),22),""),"")</f>
        <v/>
      </c>
    </row>
    <row r="159">
      <c r="A159" t="inlineStr">
        <is>
          <t>Scarus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IFERROR(IF(ISNUMBER(INDEX(SPPR!$E:$Z,MATCH($A159,SPPR!$A:$A,0),1)),$C159*INDEX(SPPR!$E:$Z,MATCH($A159,SPPR!$A:$A,0),1),""),"")</f>
        <v/>
      </c>
      <c r="E159">
        <f>IFERROR(IF(ISNUMBER(INDEX(SPPR!$E:$Z,MATCH($A159,SPPR!$A:$A,0),2)),$C159*INDEX(SPPR!$E:$Z,MATCH($A159,SPPR!$A:$A,0),2),""),"")</f>
        <v/>
      </c>
      <c r="F159">
        <f>IFERROR(IF(ISNUMBER(INDEX(SPPR!$E:$Z,MATCH($A159,SPPR!$A:$A,0),3)),$C159*INDEX(SPPR!$E:$Z,MATCH($A159,SPPR!$A:$A,0),3),""),"")</f>
        <v/>
      </c>
      <c r="G159">
        <f>IFERROR(IF(ISNUMBER(INDEX(SPPR!$E:$Z,MATCH($A159,SPPR!$A:$A,0),4)),$C159*INDEX(SPPR!$E:$Z,MATCH($A159,SPPR!$A:$A,0),4),""),"")</f>
        <v/>
      </c>
      <c r="H159">
        <f>IFERROR(IF(ISNUMBER(INDEX(SPPR!$E:$Z,MATCH($A159,SPPR!$A:$A,0),5)),$C159*INDEX(SPPR!$E:$Z,MATCH($A159,SPPR!$A:$A,0),5),""),"")</f>
        <v/>
      </c>
      <c r="I159">
        <f>IFERROR(IF(ISNUMBER(INDEX(SPPR!$E:$Z,MATCH($A159,SPPR!$A:$A,0),6)),$C159*INDEX(SPPR!$E:$Z,MATCH($A159,SPPR!$A:$A,0),6),""),"")</f>
        <v/>
      </c>
      <c r="J159">
        <f>IFERROR(IF(ISNUMBER(INDEX(SPPR!$E:$Z,MATCH($A159,SPPR!$A:$A,0),7)),$C159*INDEX(SPPR!$E:$Z,MATCH($A159,SPPR!$A:$A,0),7),""),"")</f>
        <v/>
      </c>
      <c r="K159">
        <f>IFERROR(IF(ISNUMBER(INDEX(SPPR!$E:$Z,MATCH($A159,SPPR!$A:$A,0),8)),$C159*INDEX(SPPR!$E:$Z,MATCH($A159,SPPR!$A:$A,0),8),""),"")</f>
        <v/>
      </c>
      <c r="L159">
        <f>IFERROR(IF(ISNUMBER(INDEX(SPPR!$E:$Z,MATCH($A159,SPPR!$A:$A,0),9)),$C159*INDEX(SPPR!$E:$Z,MATCH($A159,SPPR!$A:$A,0),9),""),"")</f>
        <v/>
      </c>
      <c r="M159">
        <f>IFERROR(IF(ISNUMBER(INDEX(SPPR!$E:$Z,MATCH($A159,SPPR!$A:$A,0),10)),$C159*INDEX(SPPR!$E:$Z,MATCH($A159,SPPR!$A:$A,0),10),""),"")</f>
        <v/>
      </c>
      <c r="N159">
        <f>IFERROR(IF(ISNUMBER(INDEX(SPPR!$E:$Z,MATCH($A159,SPPR!$A:$A,0),11)),$C159*INDEX(SPPR!$E:$Z,MATCH($A159,SPPR!$A:$A,0),11),""),"")</f>
        <v/>
      </c>
      <c r="O159">
        <f>IFERROR(IF(ISNUMBER(INDEX(SPPR!$E:$Z,MATCH($A159,SPPR!$A:$A,0),12)),$C159*INDEX(SPPR!$E:$Z,MATCH($A159,SPPR!$A:$A,0),12),""),"")</f>
        <v/>
      </c>
      <c r="P159">
        <f>IFERROR(IF(ISNUMBER(INDEX(SPPR!$E:$Z,MATCH($A159,SPPR!$A:$A,0),13)),$C159*INDEX(SPPR!$E:$Z,MATCH($A159,SPPR!$A:$A,0),13),""),"")</f>
        <v/>
      </c>
      <c r="Q159">
        <f>IFERROR(IF(ISNUMBER(INDEX(SPPR!$E:$Z,MATCH($A159,SPPR!$A:$A,0),14)),$C159*INDEX(SPPR!$E:$Z,MATCH($A159,SPPR!$A:$A,0),14),""),"")</f>
        <v/>
      </c>
      <c r="R159">
        <f>IFERROR(IF(ISNUMBER(INDEX(SPPR!$E:$Z,MATCH($A159,SPPR!$A:$A,0),15)),$C159*INDEX(SPPR!$E:$Z,MATCH($A159,SPPR!$A:$A,0),15),""),"")</f>
        <v/>
      </c>
      <c r="S159">
        <f>IFERROR(IF(ISNUMBER(INDEX(SPPR!$E:$Z,MATCH($A159,SPPR!$A:$A,0),16)),$C159*INDEX(SPPR!$E:$Z,MATCH($A159,SPPR!$A:$A,0),16),""),"")</f>
        <v/>
      </c>
      <c r="T159">
        <f>IFERROR(IF(ISNUMBER(INDEX(SPPR!$E:$Z,MATCH($A159,SPPR!$A:$A,0),17)),$C159*INDEX(SPPR!$E:$Z,MATCH($A159,SPPR!$A:$A,0),17),""),"")</f>
        <v/>
      </c>
      <c r="U159">
        <f>IFERROR(IF(ISNUMBER(INDEX(SPPR!$E:$Z,MATCH($A159,SPPR!$A:$A,0),18)),$C159*INDEX(SPPR!$E:$Z,MATCH($A159,SPPR!$A:$A,0),18),""),"")</f>
        <v/>
      </c>
      <c r="V159">
        <f>IFERROR(IF(ISNUMBER(INDEX(SPPR!$E:$Z,MATCH($A159,SPPR!$A:$A,0),19)),$C159*INDEX(SPPR!$E:$Z,MATCH($A159,SPPR!$A:$A,0),19),""),"")</f>
        <v/>
      </c>
      <c r="W159">
        <f>IFERROR(IF(ISNUMBER(INDEX(SPPR!$E:$Z,MATCH($A159,SPPR!$A:$A,0),20)),$C159*INDEX(SPPR!$E:$Z,MATCH($A159,SPPR!$A:$A,0),20),""),"")</f>
        <v/>
      </c>
      <c r="X159">
        <f>IFERROR(IF(ISNUMBER(INDEX(SPPR!$E:$Z,MATCH($A159,SPPR!$A:$A,0),21)),$C159*INDEX(SPPR!$E:$Z,MATCH($A159,SPPR!$A:$A,0),21),""),"")</f>
        <v/>
      </c>
      <c r="Y159">
        <f>IFERROR(IF(ISNUMBER(INDEX(SPPR!$E:$Z,MATCH($A159,SPPR!$A:$A,0),22)),$C159*INDEX(SPPR!$E:$Z,MATCH($A159,SPPR!$A:$A,0),22),""),"")</f>
        <v/>
      </c>
    </row>
    <row r="160">
      <c r="A160" t="inlineStr">
        <is>
          <t>Lactarius lactarius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IFERROR(IF(ISNUMBER(INDEX(SPPR!$E:$Z,MATCH($A160,SPPR!$A:$A,0),1)),$C160*INDEX(SPPR!$E:$Z,MATCH($A160,SPPR!$A:$A,0),1),""),"")</f>
        <v/>
      </c>
      <c r="E160">
        <f>IFERROR(IF(ISNUMBER(INDEX(SPPR!$E:$Z,MATCH($A160,SPPR!$A:$A,0),2)),$C160*INDEX(SPPR!$E:$Z,MATCH($A160,SPPR!$A:$A,0),2),""),"")</f>
        <v/>
      </c>
      <c r="F160">
        <f>IFERROR(IF(ISNUMBER(INDEX(SPPR!$E:$Z,MATCH($A160,SPPR!$A:$A,0),3)),$C160*INDEX(SPPR!$E:$Z,MATCH($A160,SPPR!$A:$A,0),3),""),"")</f>
        <v/>
      </c>
      <c r="G160">
        <f>IFERROR(IF(ISNUMBER(INDEX(SPPR!$E:$Z,MATCH($A160,SPPR!$A:$A,0),4)),$C160*INDEX(SPPR!$E:$Z,MATCH($A160,SPPR!$A:$A,0),4),""),"")</f>
        <v/>
      </c>
      <c r="H160">
        <f>IFERROR(IF(ISNUMBER(INDEX(SPPR!$E:$Z,MATCH($A160,SPPR!$A:$A,0),5)),$C160*INDEX(SPPR!$E:$Z,MATCH($A160,SPPR!$A:$A,0),5),""),"")</f>
        <v/>
      </c>
      <c r="I160">
        <f>IFERROR(IF(ISNUMBER(INDEX(SPPR!$E:$Z,MATCH($A160,SPPR!$A:$A,0),6)),$C160*INDEX(SPPR!$E:$Z,MATCH($A160,SPPR!$A:$A,0),6),""),"")</f>
        <v/>
      </c>
      <c r="J160">
        <f>IFERROR(IF(ISNUMBER(INDEX(SPPR!$E:$Z,MATCH($A160,SPPR!$A:$A,0),7)),$C160*INDEX(SPPR!$E:$Z,MATCH($A160,SPPR!$A:$A,0),7),""),"")</f>
        <v/>
      </c>
      <c r="K160">
        <f>IFERROR(IF(ISNUMBER(INDEX(SPPR!$E:$Z,MATCH($A160,SPPR!$A:$A,0),8)),$C160*INDEX(SPPR!$E:$Z,MATCH($A160,SPPR!$A:$A,0),8),""),"")</f>
        <v/>
      </c>
      <c r="L160">
        <f>IFERROR(IF(ISNUMBER(INDEX(SPPR!$E:$Z,MATCH($A160,SPPR!$A:$A,0),9)),$C160*INDEX(SPPR!$E:$Z,MATCH($A160,SPPR!$A:$A,0),9),""),"")</f>
        <v/>
      </c>
      <c r="M160">
        <f>IFERROR(IF(ISNUMBER(INDEX(SPPR!$E:$Z,MATCH($A160,SPPR!$A:$A,0),10)),$C160*INDEX(SPPR!$E:$Z,MATCH($A160,SPPR!$A:$A,0),10),""),"")</f>
        <v/>
      </c>
      <c r="N160">
        <f>IFERROR(IF(ISNUMBER(INDEX(SPPR!$E:$Z,MATCH($A160,SPPR!$A:$A,0),11)),$C160*INDEX(SPPR!$E:$Z,MATCH($A160,SPPR!$A:$A,0),11),""),"")</f>
        <v/>
      </c>
      <c r="O160">
        <f>IFERROR(IF(ISNUMBER(INDEX(SPPR!$E:$Z,MATCH($A160,SPPR!$A:$A,0),12)),$C160*INDEX(SPPR!$E:$Z,MATCH($A160,SPPR!$A:$A,0),12),""),"")</f>
        <v/>
      </c>
      <c r="P160">
        <f>IFERROR(IF(ISNUMBER(INDEX(SPPR!$E:$Z,MATCH($A160,SPPR!$A:$A,0),13)),$C160*INDEX(SPPR!$E:$Z,MATCH($A160,SPPR!$A:$A,0),13),""),"")</f>
        <v/>
      </c>
      <c r="Q160">
        <f>IFERROR(IF(ISNUMBER(INDEX(SPPR!$E:$Z,MATCH($A160,SPPR!$A:$A,0),14)),$C160*INDEX(SPPR!$E:$Z,MATCH($A160,SPPR!$A:$A,0),14),""),"")</f>
        <v/>
      </c>
      <c r="R160">
        <f>IFERROR(IF(ISNUMBER(INDEX(SPPR!$E:$Z,MATCH($A160,SPPR!$A:$A,0),15)),$C160*INDEX(SPPR!$E:$Z,MATCH($A160,SPPR!$A:$A,0),15),""),"")</f>
        <v/>
      </c>
      <c r="S160">
        <f>IFERROR(IF(ISNUMBER(INDEX(SPPR!$E:$Z,MATCH($A160,SPPR!$A:$A,0),16)),$C160*INDEX(SPPR!$E:$Z,MATCH($A160,SPPR!$A:$A,0),16),""),"")</f>
        <v/>
      </c>
      <c r="T160">
        <f>IFERROR(IF(ISNUMBER(INDEX(SPPR!$E:$Z,MATCH($A160,SPPR!$A:$A,0),17)),$C160*INDEX(SPPR!$E:$Z,MATCH($A160,SPPR!$A:$A,0),17),""),"")</f>
        <v/>
      </c>
      <c r="U160">
        <f>IFERROR(IF(ISNUMBER(INDEX(SPPR!$E:$Z,MATCH($A160,SPPR!$A:$A,0),18)),$C160*INDEX(SPPR!$E:$Z,MATCH($A160,SPPR!$A:$A,0),18),""),"")</f>
        <v/>
      </c>
      <c r="V160">
        <f>IFERROR(IF(ISNUMBER(INDEX(SPPR!$E:$Z,MATCH($A160,SPPR!$A:$A,0),19)),$C160*INDEX(SPPR!$E:$Z,MATCH($A160,SPPR!$A:$A,0),19),""),"")</f>
        <v/>
      </c>
      <c r="W160">
        <f>IFERROR(IF(ISNUMBER(INDEX(SPPR!$E:$Z,MATCH($A160,SPPR!$A:$A,0),20)),$C160*INDEX(SPPR!$E:$Z,MATCH($A160,SPPR!$A:$A,0),20),""),"")</f>
        <v/>
      </c>
      <c r="X160">
        <f>IFERROR(IF(ISNUMBER(INDEX(SPPR!$E:$Z,MATCH($A160,SPPR!$A:$A,0),21)),$C160*INDEX(SPPR!$E:$Z,MATCH($A160,SPPR!$A:$A,0),21),""),"")</f>
        <v/>
      </c>
      <c r="Y160">
        <f>IFERROR(IF(ISNUMBER(INDEX(SPPR!$E:$Z,MATCH($A160,SPPR!$A:$A,0),22)),$C160*INDEX(SPPR!$E:$Z,MATCH($A160,SPPR!$A:$A,0),22),""),"")</f>
        <v/>
      </c>
    </row>
    <row r="161">
      <c r="A161" t="inlineStr">
        <is>
          <t>Drepane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IFERROR(IF(ISNUMBER(INDEX(SPPR!$E:$Z,MATCH($A161,SPPR!$A:$A,0),1)),$C161*INDEX(SPPR!$E:$Z,MATCH($A161,SPPR!$A:$A,0),1),""),"")</f>
        <v/>
      </c>
      <c r="E161">
        <f>IFERROR(IF(ISNUMBER(INDEX(SPPR!$E:$Z,MATCH($A161,SPPR!$A:$A,0),2)),$C161*INDEX(SPPR!$E:$Z,MATCH($A161,SPPR!$A:$A,0),2),""),"")</f>
        <v/>
      </c>
      <c r="F161">
        <f>IFERROR(IF(ISNUMBER(INDEX(SPPR!$E:$Z,MATCH($A161,SPPR!$A:$A,0),3)),$C161*INDEX(SPPR!$E:$Z,MATCH($A161,SPPR!$A:$A,0),3),""),"")</f>
        <v/>
      </c>
      <c r="G161">
        <f>IFERROR(IF(ISNUMBER(INDEX(SPPR!$E:$Z,MATCH($A161,SPPR!$A:$A,0),4)),$C161*INDEX(SPPR!$E:$Z,MATCH($A161,SPPR!$A:$A,0),4),""),"")</f>
        <v/>
      </c>
      <c r="H161">
        <f>IFERROR(IF(ISNUMBER(INDEX(SPPR!$E:$Z,MATCH($A161,SPPR!$A:$A,0),5)),$C161*INDEX(SPPR!$E:$Z,MATCH($A161,SPPR!$A:$A,0),5),""),"")</f>
        <v/>
      </c>
      <c r="I161">
        <f>IFERROR(IF(ISNUMBER(INDEX(SPPR!$E:$Z,MATCH($A161,SPPR!$A:$A,0),6)),$C161*INDEX(SPPR!$E:$Z,MATCH($A161,SPPR!$A:$A,0),6),""),"")</f>
        <v/>
      </c>
      <c r="J161">
        <f>IFERROR(IF(ISNUMBER(INDEX(SPPR!$E:$Z,MATCH($A161,SPPR!$A:$A,0),7)),$C161*INDEX(SPPR!$E:$Z,MATCH($A161,SPPR!$A:$A,0),7),""),"")</f>
        <v/>
      </c>
      <c r="K161">
        <f>IFERROR(IF(ISNUMBER(INDEX(SPPR!$E:$Z,MATCH($A161,SPPR!$A:$A,0),8)),$C161*INDEX(SPPR!$E:$Z,MATCH($A161,SPPR!$A:$A,0),8),""),"")</f>
        <v/>
      </c>
      <c r="L161">
        <f>IFERROR(IF(ISNUMBER(INDEX(SPPR!$E:$Z,MATCH($A161,SPPR!$A:$A,0),9)),$C161*INDEX(SPPR!$E:$Z,MATCH($A161,SPPR!$A:$A,0),9),""),"")</f>
        <v/>
      </c>
      <c r="M161">
        <f>IFERROR(IF(ISNUMBER(INDEX(SPPR!$E:$Z,MATCH($A161,SPPR!$A:$A,0),10)),$C161*INDEX(SPPR!$E:$Z,MATCH($A161,SPPR!$A:$A,0),10),""),"")</f>
        <v/>
      </c>
      <c r="N161">
        <f>IFERROR(IF(ISNUMBER(INDEX(SPPR!$E:$Z,MATCH($A161,SPPR!$A:$A,0),11)),$C161*INDEX(SPPR!$E:$Z,MATCH($A161,SPPR!$A:$A,0),11),""),"")</f>
        <v/>
      </c>
      <c r="O161">
        <f>IFERROR(IF(ISNUMBER(INDEX(SPPR!$E:$Z,MATCH($A161,SPPR!$A:$A,0),12)),$C161*INDEX(SPPR!$E:$Z,MATCH($A161,SPPR!$A:$A,0),12),""),"")</f>
        <v/>
      </c>
      <c r="P161">
        <f>IFERROR(IF(ISNUMBER(INDEX(SPPR!$E:$Z,MATCH($A161,SPPR!$A:$A,0),13)),$C161*INDEX(SPPR!$E:$Z,MATCH($A161,SPPR!$A:$A,0),13),""),"")</f>
        <v/>
      </c>
      <c r="Q161">
        <f>IFERROR(IF(ISNUMBER(INDEX(SPPR!$E:$Z,MATCH($A161,SPPR!$A:$A,0),14)),$C161*INDEX(SPPR!$E:$Z,MATCH($A161,SPPR!$A:$A,0),14),""),"")</f>
        <v/>
      </c>
      <c r="R161">
        <f>IFERROR(IF(ISNUMBER(INDEX(SPPR!$E:$Z,MATCH($A161,SPPR!$A:$A,0),15)),$C161*INDEX(SPPR!$E:$Z,MATCH($A161,SPPR!$A:$A,0),15),""),"")</f>
        <v/>
      </c>
      <c r="S161">
        <f>IFERROR(IF(ISNUMBER(INDEX(SPPR!$E:$Z,MATCH($A161,SPPR!$A:$A,0),16)),$C161*INDEX(SPPR!$E:$Z,MATCH($A161,SPPR!$A:$A,0),16),""),"")</f>
        <v/>
      </c>
      <c r="T161">
        <f>IFERROR(IF(ISNUMBER(INDEX(SPPR!$E:$Z,MATCH($A161,SPPR!$A:$A,0),17)),$C161*INDEX(SPPR!$E:$Z,MATCH($A161,SPPR!$A:$A,0),17),""),"")</f>
        <v/>
      </c>
      <c r="U161">
        <f>IFERROR(IF(ISNUMBER(INDEX(SPPR!$E:$Z,MATCH($A161,SPPR!$A:$A,0),18)),$C161*INDEX(SPPR!$E:$Z,MATCH($A161,SPPR!$A:$A,0),18),""),"")</f>
        <v/>
      </c>
      <c r="V161">
        <f>IFERROR(IF(ISNUMBER(INDEX(SPPR!$E:$Z,MATCH($A161,SPPR!$A:$A,0),19)),$C161*INDEX(SPPR!$E:$Z,MATCH($A161,SPPR!$A:$A,0),19),""),"")</f>
        <v/>
      </c>
      <c r="W161">
        <f>IFERROR(IF(ISNUMBER(INDEX(SPPR!$E:$Z,MATCH($A161,SPPR!$A:$A,0),20)),$C161*INDEX(SPPR!$E:$Z,MATCH($A161,SPPR!$A:$A,0),20),""),"")</f>
        <v/>
      </c>
      <c r="X161">
        <f>IFERROR(IF(ISNUMBER(INDEX(SPPR!$E:$Z,MATCH($A161,SPPR!$A:$A,0),21)),$C161*INDEX(SPPR!$E:$Z,MATCH($A161,SPPR!$A:$A,0),21),""),"")</f>
        <v/>
      </c>
      <c r="Y161">
        <f>IFERROR(IF(ISNUMBER(INDEX(SPPR!$E:$Z,MATCH($A161,SPPR!$A:$A,0),22)),$C161*INDEX(SPPR!$E:$Z,MATCH($A161,SPPR!$A:$A,0),22),""),"")</f>
        <v/>
      </c>
    </row>
    <row r="162">
      <c r="A162" t="inlineStr">
        <is>
          <t>Lethrinus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IFERROR(IF(ISNUMBER(INDEX(SPPR!$E:$Z,MATCH($A162,SPPR!$A:$A,0),1)),$C162*INDEX(SPPR!$E:$Z,MATCH($A162,SPPR!$A:$A,0),1),""),"")</f>
        <v/>
      </c>
      <c r="E162">
        <f>IFERROR(IF(ISNUMBER(INDEX(SPPR!$E:$Z,MATCH($A162,SPPR!$A:$A,0),2)),$C162*INDEX(SPPR!$E:$Z,MATCH($A162,SPPR!$A:$A,0),2),""),"")</f>
        <v/>
      </c>
      <c r="F162">
        <f>IFERROR(IF(ISNUMBER(INDEX(SPPR!$E:$Z,MATCH($A162,SPPR!$A:$A,0),3)),$C162*INDEX(SPPR!$E:$Z,MATCH($A162,SPPR!$A:$A,0),3),""),"")</f>
        <v/>
      </c>
      <c r="G162">
        <f>IFERROR(IF(ISNUMBER(INDEX(SPPR!$E:$Z,MATCH($A162,SPPR!$A:$A,0),4)),$C162*INDEX(SPPR!$E:$Z,MATCH($A162,SPPR!$A:$A,0),4),""),"")</f>
        <v/>
      </c>
      <c r="H162">
        <f>IFERROR(IF(ISNUMBER(INDEX(SPPR!$E:$Z,MATCH($A162,SPPR!$A:$A,0),5)),$C162*INDEX(SPPR!$E:$Z,MATCH($A162,SPPR!$A:$A,0),5),""),"")</f>
        <v/>
      </c>
      <c r="I162">
        <f>IFERROR(IF(ISNUMBER(INDEX(SPPR!$E:$Z,MATCH($A162,SPPR!$A:$A,0),6)),$C162*INDEX(SPPR!$E:$Z,MATCH($A162,SPPR!$A:$A,0),6),""),"")</f>
        <v/>
      </c>
      <c r="J162">
        <f>IFERROR(IF(ISNUMBER(INDEX(SPPR!$E:$Z,MATCH($A162,SPPR!$A:$A,0),7)),$C162*INDEX(SPPR!$E:$Z,MATCH($A162,SPPR!$A:$A,0),7),""),"")</f>
        <v/>
      </c>
      <c r="K162">
        <f>IFERROR(IF(ISNUMBER(INDEX(SPPR!$E:$Z,MATCH($A162,SPPR!$A:$A,0),8)),$C162*INDEX(SPPR!$E:$Z,MATCH($A162,SPPR!$A:$A,0),8),""),"")</f>
        <v/>
      </c>
      <c r="L162">
        <f>IFERROR(IF(ISNUMBER(INDEX(SPPR!$E:$Z,MATCH($A162,SPPR!$A:$A,0),9)),$C162*INDEX(SPPR!$E:$Z,MATCH($A162,SPPR!$A:$A,0),9),""),"")</f>
        <v/>
      </c>
      <c r="M162">
        <f>IFERROR(IF(ISNUMBER(INDEX(SPPR!$E:$Z,MATCH($A162,SPPR!$A:$A,0),10)),$C162*INDEX(SPPR!$E:$Z,MATCH($A162,SPPR!$A:$A,0),10),""),"")</f>
        <v/>
      </c>
      <c r="N162">
        <f>IFERROR(IF(ISNUMBER(INDEX(SPPR!$E:$Z,MATCH($A162,SPPR!$A:$A,0),11)),$C162*INDEX(SPPR!$E:$Z,MATCH($A162,SPPR!$A:$A,0),11),""),"")</f>
        <v/>
      </c>
      <c r="O162">
        <f>IFERROR(IF(ISNUMBER(INDEX(SPPR!$E:$Z,MATCH($A162,SPPR!$A:$A,0),12)),$C162*INDEX(SPPR!$E:$Z,MATCH($A162,SPPR!$A:$A,0),12),""),"")</f>
        <v/>
      </c>
      <c r="P162">
        <f>IFERROR(IF(ISNUMBER(INDEX(SPPR!$E:$Z,MATCH($A162,SPPR!$A:$A,0),13)),$C162*INDEX(SPPR!$E:$Z,MATCH($A162,SPPR!$A:$A,0),13),""),"")</f>
        <v/>
      </c>
      <c r="Q162">
        <f>IFERROR(IF(ISNUMBER(INDEX(SPPR!$E:$Z,MATCH($A162,SPPR!$A:$A,0),14)),$C162*INDEX(SPPR!$E:$Z,MATCH($A162,SPPR!$A:$A,0),14),""),"")</f>
        <v/>
      </c>
      <c r="R162">
        <f>IFERROR(IF(ISNUMBER(INDEX(SPPR!$E:$Z,MATCH($A162,SPPR!$A:$A,0),15)),$C162*INDEX(SPPR!$E:$Z,MATCH($A162,SPPR!$A:$A,0),15),""),"")</f>
        <v/>
      </c>
      <c r="S162">
        <f>IFERROR(IF(ISNUMBER(INDEX(SPPR!$E:$Z,MATCH($A162,SPPR!$A:$A,0),16)),$C162*INDEX(SPPR!$E:$Z,MATCH($A162,SPPR!$A:$A,0),16),""),"")</f>
        <v/>
      </c>
      <c r="T162">
        <f>IFERROR(IF(ISNUMBER(INDEX(SPPR!$E:$Z,MATCH($A162,SPPR!$A:$A,0),17)),$C162*INDEX(SPPR!$E:$Z,MATCH($A162,SPPR!$A:$A,0),17),""),"")</f>
        <v/>
      </c>
      <c r="U162">
        <f>IFERROR(IF(ISNUMBER(INDEX(SPPR!$E:$Z,MATCH($A162,SPPR!$A:$A,0),18)),$C162*INDEX(SPPR!$E:$Z,MATCH($A162,SPPR!$A:$A,0),18),""),"")</f>
        <v/>
      </c>
      <c r="V162">
        <f>IFERROR(IF(ISNUMBER(INDEX(SPPR!$E:$Z,MATCH($A162,SPPR!$A:$A,0),19)),$C162*INDEX(SPPR!$E:$Z,MATCH($A162,SPPR!$A:$A,0),19),""),"")</f>
        <v/>
      </c>
      <c r="W162">
        <f>IFERROR(IF(ISNUMBER(INDEX(SPPR!$E:$Z,MATCH($A162,SPPR!$A:$A,0),20)),$C162*INDEX(SPPR!$E:$Z,MATCH($A162,SPPR!$A:$A,0),20),""),"")</f>
        <v/>
      </c>
      <c r="X162">
        <f>IFERROR(IF(ISNUMBER(INDEX(SPPR!$E:$Z,MATCH($A162,SPPR!$A:$A,0),21)),$C162*INDEX(SPPR!$E:$Z,MATCH($A162,SPPR!$A:$A,0),21),""),"")</f>
        <v/>
      </c>
      <c r="Y162">
        <f>IFERROR(IF(ISNUMBER(INDEX(SPPR!$E:$Z,MATCH($A162,SPPR!$A:$A,0),22)),$C162*INDEX(SPPR!$E:$Z,MATCH($A162,SPPR!$A:$A,0),22),""),"")</f>
        <v/>
      </c>
    </row>
    <row r="163">
      <c r="A163" t="inlineStr">
        <is>
          <t>Dussumieria elopsoides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IFERROR(IF(ISNUMBER(INDEX(SPPR!$E:$Z,MATCH($A163,SPPR!$A:$A,0),1)),$C163*INDEX(SPPR!$E:$Z,MATCH($A163,SPPR!$A:$A,0),1),""),"")</f>
        <v/>
      </c>
      <c r="E163">
        <f>IFERROR(IF(ISNUMBER(INDEX(SPPR!$E:$Z,MATCH($A163,SPPR!$A:$A,0),2)),$C163*INDEX(SPPR!$E:$Z,MATCH($A163,SPPR!$A:$A,0),2),""),"")</f>
        <v/>
      </c>
      <c r="F163">
        <f>IFERROR(IF(ISNUMBER(INDEX(SPPR!$E:$Z,MATCH($A163,SPPR!$A:$A,0),3)),$C163*INDEX(SPPR!$E:$Z,MATCH($A163,SPPR!$A:$A,0),3),""),"")</f>
        <v/>
      </c>
      <c r="G163">
        <f>IFERROR(IF(ISNUMBER(INDEX(SPPR!$E:$Z,MATCH($A163,SPPR!$A:$A,0),4)),$C163*INDEX(SPPR!$E:$Z,MATCH($A163,SPPR!$A:$A,0),4),""),"")</f>
        <v/>
      </c>
      <c r="H163">
        <f>IFERROR(IF(ISNUMBER(INDEX(SPPR!$E:$Z,MATCH($A163,SPPR!$A:$A,0),5)),$C163*INDEX(SPPR!$E:$Z,MATCH($A163,SPPR!$A:$A,0),5),""),"")</f>
        <v/>
      </c>
      <c r="I163">
        <f>IFERROR(IF(ISNUMBER(INDEX(SPPR!$E:$Z,MATCH($A163,SPPR!$A:$A,0),6)),$C163*INDEX(SPPR!$E:$Z,MATCH($A163,SPPR!$A:$A,0),6),""),"")</f>
        <v/>
      </c>
      <c r="J163">
        <f>IFERROR(IF(ISNUMBER(INDEX(SPPR!$E:$Z,MATCH($A163,SPPR!$A:$A,0),7)),$C163*INDEX(SPPR!$E:$Z,MATCH($A163,SPPR!$A:$A,0),7),""),"")</f>
        <v/>
      </c>
      <c r="K163">
        <f>IFERROR(IF(ISNUMBER(INDEX(SPPR!$E:$Z,MATCH($A163,SPPR!$A:$A,0),8)),$C163*INDEX(SPPR!$E:$Z,MATCH($A163,SPPR!$A:$A,0),8),""),"")</f>
        <v/>
      </c>
      <c r="L163">
        <f>IFERROR(IF(ISNUMBER(INDEX(SPPR!$E:$Z,MATCH($A163,SPPR!$A:$A,0),9)),$C163*INDEX(SPPR!$E:$Z,MATCH($A163,SPPR!$A:$A,0),9),""),"")</f>
        <v/>
      </c>
      <c r="M163">
        <f>IFERROR(IF(ISNUMBER(INDEX(SPPR!$E:$Z,MATCH($A163,SPPR!$A:$A,0),10)),$C163*INDEX(SPPR!$E:$Z,MATCH($A163,SPPR!$A:$A,0),10),""),"")</f>
        <v/>
      </c>
      <c r="N163">
        <f>IFERROR(IF(ISNUMBER(INDEX(SPPR!$E:$Z,MATCH($A163,SPPR!$A:$A,0),11)),$C163*INDEX(SPPR!$E:$Z,MATCH($A163,SPPR!$A:$A,0),11),""),"")</f>
        <v/>
      </c>
      <c r="O163">
        <f>IFERROR(IF(ISNUMBER(INDEX(SPPR!$E:$Z,MATCH($A163,SPPR!$A:$A,0),12)),$C163*INDEX(SPPR!$E:$Z,MATCH($A163,SPPR!$A:$A,0),12),""),"")</f>
        <v/>
      </c>
      <c r="P163">
        <f>IFERROR(IF(ISNUMBER(INDEX(SPPR!$E:$Z,MATCH($A163,SPPR!$A:$A,0),13)),$C163*INDEX(SPPR!$E:$Z,MATCH($A163,SPPR!$A:$A,0),13),""),"")</f>
        <v/>
      </c>
      <c r="Q163">
        <f>IFERROR(IF(ISNUMBER(INDEX(SPPR!$E:$Z,MATCH($A163,SPPR!$A:$A,0),14)),$C163*INDEX(SPPR!$E:$Z,MATCH($A163,SPPR!$A:$A,0),14),""),"")</f>
        <v/>
      </c>
      <c r="R163">
        <f>IFERROR(IF(ISNUMBER(INDEX(SPPR!$E:$Z,MATCH($A163,SPPR!$A:$A,0),15)),$C163*INDEX(SPPR!$E:$Z,MATCH($A163,SPPR!$A:$A,0),15),""),"")</f>
        <v/>
      </c>
      <c r="S163">
        <f>IFERROR(IF(ISNUMBER(INDEX(SPPR!$E:$Z,MATCH($A163,SPPR!$A:$A,0),16)),$C163*INDEX(SPPR!$E:$Z,MATCH($A163,SPPR!$A:$A,0),16),""),"")</f>
        <v/>
      </c>
      <c r="T163">
        <f>IFERROR(IF(ISNUMBER(INDEX(SPPR!$E:$Z,MATCH($A163,SPPR!$A:$A,0),17)),$C163*INDEX(SPPR!$E:$Z,MATCH($A163,SPPR!$A:$A,0),17),""),"")</f>
        <v/>
      </c>
      <c r="U163">
        <f>IFERROR(IF(ISNUMBER(INDEX(SPPR!$E:$Z,MATCH($A163,SPPR!$A:$A,0),18)),$C163*INDEX(SPPR!$E:$Z,MATCH($A163,SPPR!$A:$A,0),18),""),"")</f>
        <v/>
      </c>
      <c r="V163">
        <f>IFERROR(IF(ISNUMBER(INDEX(SPPR!$E:$Z,MATCH($A163,SPPR!$A:$A,0),19)),$C163*INDEX(SPPR!$E:$Z,MATCH($A163,SPPR!$A:$A,0),19),""),"")</f>
        <v/>
      </c>
      <c r="W163">
        <f>IFERROR(IF(ISNUMBER(INDEX(SPPR!$E:$Z,MATCH($A163,SPPR!$A:$A,0),20)),$C163*INDEX(SPPR!$E:$Z,MATCH($A163,SPPR!$A:$A,0),20),""),"")</f>
        <v/>
      </c>
      <c r="X163">
        <f>IFERROR(IF(ISNUMBER(INDEX(SPPR!$E:$Z,MATCH($A163,SPPR!$A:$A,0),21)),$C163*INDEX(SPPR!$E:$Z,MATCH($A163,SPPR!$A:$A,0),21),""),"")</f>
        <v/>
      </c>
      <c r="Y163">
        <f>IFERROR(IF(ISNUMBER(INDEX(SPPR!$E:$Z,MATCH($A163,SPPR!$A:$A,0),22)),$C163*INDEX(SPPR!$E:$Z,MATCH($A163,SPPR!$A:$A,0),22),""),"")</f>
        <v/>
      </c>
    </row>
    <row r="164">
      <c r="A164" t="inlineStr">
        <is>
          <t>Rastrelliger brachysoma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IFERROR(IF(ISNUMBER(INDEX(SPPR!$E:$Z,MATCH($A164,SPPR!$A:$A,0),1)),$C164*INDEX(SPPR!$E:$Z,MATCH($A164,SPPR!$A:$A,0),1),""),"")</f>
        <v/>
      </c>
      <c r="E164">
        <f>IFERROR(IF(ISNUMBER(INDEX(SPPR!$E:$Z,MATCH($A164,SPPR!$A:$A,0),2)),$C164*INDEX(SPPR!$E:$Z,MATCH($A164,SPPR!$A:$A,0),2),""),"")</f>
        <v/>
      </c>
      <c r="F164">
        <f>IFERROR(IF(ISNUMBER(INDEX(SPPR!$E:$Z,MATCH($A164,SPPR!$A:$A,0),3)),$C164*INDEX(SPPR!$E:$Z,MATCH($A164,SPPR!$A:$A,0),3),""),"")</f>
        <v/>
      </c>
      <c r="G164">
        <f>IFERROR(IF(ISNUMBER(INDEX(SPPR!$E:$Z,MATCH($A164,SPPR!$A:$A,0),4)),$C164*INDEX(SPPR!$E:$Z,MATCH($A164,SPPR!$A:$A,0),4),""),"")</f>
        <v/>
      </c>
      <c r="H164">
        <f>IFERROR(IF(ISNUMBER(INDEX(SPPR!$E:$Z,MATCH($A164,SPPR!$A:$A,0),5)),$C164*INDEX(SPPR!$E:$Z,MATCH($A164,SPPR!$A:$A,0),5),""),"")</f>
        <v/>
      </c>
      <c r="I164">
        <f>IFERROR(IF(ISNUMBER(INDEX(SPPR!$E:$Z,MATCH($A164,SPPR!$A:$A,0),6)),$C164*INDEX(SPPR!$E:$Z,MATCH($A164,SPPR!$A:$A,0),6),""),"")</f>
        <v/>
      </c>
      <c r="J164">
        <f>IFERROR(IF(ISNUMBER(INDEX(SPPR!$E:$Z,MATCH($A164,SPPR!$A:$A,0),7)),$C164*INDEX(SPPR!$E:$Z,MATCH($A164,SPPR!$A:$A,0),7),""),"")</f>
        <v/>
      </c>
      <c r="K164">
        <f>IFERROR(IF(ISNUMBER(INDEX(SPPR!$E:$Z,MATCH($A164,SPPR!$A:$A,0),8)),$C164*INDEX(SPPR!$E:$Z,MATCH($A164,SPPR!$A:$A,0),8),""),"")</f>
        <v/>
      </c>
      <c r="L164">
        <f>IFERROR(IF(ISNUMBER(INDEX(SPPR!$E:$Z,MATCH($A164,SPPR!$A:$A,0),9)),$C164*INDEX(SPPR!$E:$Z,MATCH($A164,SPPR!$A:$A,0),9),""),"")</f>
        <v/>
      </c>
      <c r="M164">
        <f>IFERROR(IF(ISNUMBER(INDEX(SPPR!$E:$Z,MATCH($A164,SPPR!$A:$A,0),10)),$C164*INDEX(SPPR!$E:$Z,MATCH($A164,SPPR!$A:$A,0),10),""),"")</f>
        <v/>
      </c>
      <c r="N164">
        <f>IFERROR(IF(ISNUMBER(INDEX(SPPR!$E:$Z,MATCH($A164,SPPR!$A:$A,0),11)),$C164*INDEX(SPPR!$E:$Z,MATCH($A164,SPPR!$A:$A,0),11),""),"")</f>
        <v/>
      </c>
      <c r="O164">
        <f>IFERROR(IF(ISNUMBER(INDEX(SPPR!$E:$Z,MATCH($A164,SPPR!$A:$A,0),12)),$C164*INDEX(SPPR!$E:$Z,MATCH($A164,SPPR!$A:$A,0),12),""),"")</f>
        <v/>
      </c>
      <c r="P164">
        <f>IFERROR(IF(ISNUMBER(INDEX(SPPR!$E:$Z,MATCH($A164,SPPR!$A:$A,0),13)),$C164*INDEX(SPPR!$E:$Z,MATCH($A164,SPPR!$A:$A,0),13),""),"")</f>
        <v/>
      </c>
      <c r="Q164">
        <f>IFERROR(IF(ISNUMBER(INDEX(SPPR!$E:$Z,MATCH($A164,SPPR!$A:$A,0),14)),$C164*INDEX(SPPR!$E:$Z,MATCH($A164,SPPR!$A:$A,0),14),""),"")</f>
        <v/>
      </c>
      <c r="R164">
        <f>IFERROR(IF(ISNUMBER(INDEX(SPPR!$E:$Z,MATCH($A164,SPPR!$A:$A,0),15)),$C164*INDEX(SPPR!$E:$Z,MATCH($A164,SPPR!$A:$A,0),15),""),"")</f>
        <v/>
      </c>
      <c r="S164">
        <f>IFERROR(IF(ISNUMBER(INDEX(SPPR!$E:$Z,MATCH($A164,SPPR!$A:$A,0),16)),$C164*INDEX(SPPR!$E:$Z,MATCH($A164,SPPR!$A:$A,0),16),""),"")</f>
        <v/>
      </c>
      <c r="T164">
        <f>IFERROR(IF(ISNUMBER(INDEX(SPPR!$E:$Z,MATCH($A164,SPPR!$A:$A,0),17)),$C164*INDEX(SPPR!$E:$Z,MATCH($A164,SPPR!$A:$A,0),17),""),"")</f>
        <v/>
      </c>
      <c r="U164">
        <f>IFERROR(IF(ISNUMBER(INDEX(SPPR!$E:$Z,MATCH($A164,SPPR!$A:$A,0),18)),$C164*INDEX(SPPR!$E:$Z,MATCH($A164,SPPR!$A:$A,0),18),""),"")</f>
        <v/>
      </c>
      <c r="V164">
        <f>IFERROR(IF(ISNUMBER(INDEX(SPPR!$E:$Z,MATCH($A164,SPPR!$A:$A,0),19)),$C164*INDEX(SPPR!$E:$Z,MATCH($A164,SPPR!$A:$A,0),19),""),"")</f>
        <v/>
      </c>
      <c r="W164">
        <f>IFERROR(IF(ISNUMBER(INDEX(SPPR!$E:$Z,MATCH($A164,SPPR!$A:$A,0),20)),$C164*INDEX(SPPR!$E:$Z,MATCH($A164,SPPR!$A:$A,0),20),""),"")</f>
        <v/>
      </c>
      <c r="X164">
        <f>IFERROR(IF(ISNUMBER(INDEX(SPPR!$E:$Z,MATCH($A164,SPPR!$A:$A,0),21)),$C164*INDEX(SPPR!$E:$Z,MATCH($A164,SPPR!$A:$A,0),21),""),"")</f>
        <v/>
      </c>
      <c r="Y164">
        <f>IFERROR(IF(ISNUMBER(INDEX(SPPR!$E:$Z,MATCH($A164,SPPR!$A:$A,0),22)),$C164*INDEX(SPPR!$E:$Z,MATCH($A164,SPPR!$A:$A,0),22),""),"")</f>
        <v/>
      </c>
    </row>
    <row r="165">
      <c r="A165" t="inlineStr">
        <is>
          <t>Photopectoralis bindus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IFERROR(IF(ISNUMBER(INDEX(SPPR!$E:$Z,MATCH($A165,SPPR!$A:$A,0),1)),$C165*INDEX(SPPR!$E:$Z,MATCH($A165,SPPR!$A:$A,0),1),""),"")</f>
        <v/>
      </c>
      <c r="E165">
        <f>IFERROR(IF(ISNUMBER(INDEX(SPPR!$E:$Z,MATCH($A165,SPPR!$A:$A,0),2)),$C165*INDEX(SPPR!$E:$Z,MATCH($A165,SPPR!$A:$A,0),2),""),"")</f>
        <v/>
      </c>
      <c r="F165">
        <f>IFERROR(IF(ISNUMBER(INDEX(SPPR!$E:$Z,MATCH($A165,SPPR!$A:$A,0),3)),$C165*INDEX(SPPR!$E:$Z,MATCH($A165,SPPR!$A:$A,0),3),""),"")</f>
        <v/>
      </c>
      <c r="G165">
        <f>IFERROR(IF(ISNUMBER(INDEX(SPPR!$E:$Z,MATCH($A165,SPPR!$A:$A,0),4)),$C165*INDEX(SPPR!$E:$Z,MATCH($A165,SPPR!$A:$A,0),4),""),"")</f>
        <v/>
      </c>
      <c r="H165">
        <f>IFERROR(IF(ISNUMBER(INDEX(SPPR!$E:$Z,MATCH($A165,SPPR!$A:$A,0),5)),$C165*INDEX(SPPR!$E:$Z,MATCH($A165,SPPR!$A:$A,0),5),""),"")</f>
        <v/>
      </c>
      <c r="I165">
        <f>IFERROR(IF(ISNUMBER(INDEX(SPPR!$E:$Z,MATCH($A165,SPPR!$A:$A,0),6)),$C165*INDEX(SPPR!$E:$Z,MATCH($A165,SPPR!$A:$A,0),6),""),"")</f>
        <v/>
      </c>
      <c r="J165">
        <f>IFERROR(IF(ISNUMBER(INDEX(SPPR!$E:$Z,MATCH($A165,SPPR!$A:$A,0),7)),$C165*INDEX(SPPR!$E:$Z,MATCH($A165,SPPR!$A:$A,0),7),""),"")</f>
        <v/>
      </c>
      <c r="K165">
        <f>IFERROR(IF(ISNUMBER(INDEX(SPPR!$E:$Z,MATCH($A165,SPPR!$A:$A,0),8)),$C165*INDEX(SPPR!$E:$Z,MATCH($A165,SPPR!$A:$A,0),8),""),"")</f>
        <v/>
      </c>
      <c r="L165">
        <f>IFERROR(IF(ISNUMBER(INDEX(SPPR!$E:$Z,MATCH($A165,SPPR!$A:$A,0),9)),$C165*INDEX(SPPR!$E:$Z,MATCH($A165,SPPR!$A:$A,0),9),""),"")</f>
        <v/>
      </c>
      <c r="M165">
        <f>IFERROR(IF(ISNUMBER(INDEX(SPPR!$E:$Z,MATCH($A165,SPPR!$A:$A,0),10)),$C165*INDEX(SPPR!$E:$Z,MATCH($A165,SPPR!$A:$A,0),10),""),"")</f>
        <v/>
      </c>
      <c r="N165">
        <f>IFERROR(IF(ISNUMBER(INDEX(SPPR!$E:$Z,MATCH($A165,SPPR!$A:$A,0),11)),$C165*INDEX(SPPR!$E:$Z,MATCH($A165,SPPR!$A:$A,0),11),""),"")</f>
        <v/>
      </c>
      <c r="O165">
        <f>IFERROR(IF(ISNUMBER(INDEX(SPPR!$E:$Z,MATCH($A165,SPPR!$A:$A,0),12)),$C165*INDEX(SPPR!$E:$Z,MATCH($A165,SPPR!$A:$A,0),12),""),"")</f>
        <v/>
      </c>
      <c r="P165">
        <f>IFERROR(IF(ISNUMBER(INDEX(SPPR!$E:$Z,MATCH($A165,SPPR!$A:$A,0),13)),$C165*INDEX(SPPR!$E:$Z,MATCH($A165,SPPR!$A:$A,0),13),""),"")</f>
        <v/>
      </c>
      <c r="Q165">
        <f>IFERROR(IF(ISNUMBER(INDEX(SPPR!$E:$Z,MATCH($A165,SPPR!$A:$A,0),14)),$C165*INDEX(SPPR!$E:$Z,MATCH($A165,SPPR!$A:$A,0),14),""),"")</f>
        <v/>
      </c>
      <c r="R165">
        <f>IFERROR(IF(ISNUMBER(INDEX(SPPR!$E:$Z,MATCH($A165,SPPR!$A:$A,0),15)),$C165*INDEX(SPPR!$E:$Z,MATCH($A165,SPPR!$A:$A,0),15),""),"")</f>
        <v/>
      </c>
      <c r="S165">
        <f>IFERROR(IF(ISNUMBER(INDEX(SPPR!$E:$Z,MATCH($A165,SPPR!$A:$A,0),16)),$C165*INDEX(SPPR!$E:$Z,MATCH($A165,SPPR!$A:$A,0),16),""),"")</f>
        <v/>
      </c>
      <c r="T165">
        <f>IFERROR(IF(ISNUMBER(INDEX(SPPR!$E:$Z,MATCH($A165,SPPR!$A:$A,0),17)),$C165*INDEX(SPPR!$E:$Z,MATCH($A165,SPPR!$A:$A,0),17),""),"")</f>
        <v/>
      </c>
      <c r="U165">
        <f>IFERROR(IF(ISNUMBER(INDEX(SPPR!$E:$Z,MATCH($A165,SPPR!$A:$A,0),18)),$C165*INDEX(SPPR!$E:$Z,MATCH($A165,SPPR!$A:$A,0),18),""),"")</f>
        <v/>
      </c>
      <c r="V165">
        <f>IFERROR(IF(ISNUMBER(INDEX(SPPR!$E:$Z,MATCH($A165,SPPR!$A:$A,0),19)),$C165*INDEX(SPPR!$E:$Z,MATCH($A165,SPPR!$A:$A,0),19),""),"")</f>
        <v/>
      </c>
      <c r="W165">
        <f>IFERROR(IF(ISNUMBER(INDEX(SPPR!$E:$Z,MATCH($A165,SPPR!$A:$A,0),20)),$C165*INDEX(SPPR!$E:$Z,MATCH($A165,SPPR!$A:$A,0),20),""),"")</f>
        <v/>
      </c>
      <c r="X165">
        <f>IFERROR(IF(ISNUMBER(INDEX(SPPR!$E:$Z,MATCH($A165,SPPR!$A:$A,0),21)),$C165*INDEX(SPPR!$E:$Z,MATCH($A165,SPPR!$A:$A,0),21),""),"")</f>
        <v/>
      </c>
      <c r="Y165">
        <f>IFERROR(IF(ISNUMBER(INDEX(SPPR!$E:$Z,MATCH($A165,SPPR!$A:$A,0),22)),$C165*INDEX(SPPR!$E:$Z,MATCH($A165,SPPR!$A:$A,0),22),""),"")</f>
        <v/>
      </c>
    </row>
    <row r="166">
      <c r="A166" t="inlineStr">
        <is>
          <t>Istiophoridae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IFERROR(IF(ISNUMBER(INDEX(SPPR!$E:$Z,MATCH($A166,SPPR!$A:$A,0),1)),$C166*INDEX(SPPR!$E:$Z,MATCH($A166,SPPR!$A:$A,0),1),""),"")</f>
        <v/>
      </c>
      <c r="E166">
        <f>IFERROR(IF(ISNUMBER(INDEX(SPPR!$E:$Z,MATCH($A166,SPPR!$A:$A,0),2)),$C166*INDEX(SPPR!$E:$Z,MATCH($A166,SPPR!$A:$A,0),2),""),"")</f>
        <v/>
      </c>
      <c r="F166">
        <f>IFERROR(IF(ISNUMBER(INDEX(SPPR!$E:$Z,MATCH($A166,SPPR!$A:$A,0),3)),$C166*INDEX(SPPR!$E:$Z,MATCH($A166,SPPR!$A:$A,0),3),""),"")</f>
        <v/>
      </c>
      <c r="G166">
        <f>IFERROR(IF(ISNUMBER(INDEX(SPPR!$E:$Z,MATCH($A166,SPPR!$A:$A,0),4)),$C166*INDEX(SPPR!$E:$Z,MATCH($A166,SPPR!$A:$A,0),4),""),"")</f>
        <v/>
      </c>
      <c r="H166">
        <f>IFERROR(IF(ISNUMBER(INDEX(SPPR!$E:$Z,MATCH($A166,SPPR!$A:$A,0),5)),$C166*INDEX(SPPR!$E:$Z,MATCH($A166,SPPR!$A:$A,0),5),""),"")</f>
        <v/>
      </c>
      <c r="I166">
        <f>IFERROR(IF(ISNUMBER(INDEX(SPPR!$E:$Z,MATCH($A166,SPPR!$A:$A,0),6)),$C166*INDEX(SPPR!$E:$Z,MATCH($A166,SPPR!$A:$A,0),6),""),"")</f>
        <v/>
      </c>
      <c r="J166">
        <f>IFERROR(IF(ISNUMBER(INDEX(SPPR!$E:$Z,MATCH($A166,SPPR!$A:$A,0),7)),$C166*INDEX(SPPR!$E:$Z,MATCH($A166,SPPR!$A:$A,0),7),""),"")</f>
        <v/>
      </c>
      <c r="K166">
        <f>IFERROR(IF(ISNUMBER(INDEX(SPPR!$E:$Z,MATCH($A166,SPPR!$A:$A,0),8)),$C166*INDEX(SPPR!$E:$Z,MATCH($A166,SPPR!$A:$A,0),8),""),"")</f>
        <v/>
      </c>
      <c r="L166">
        <f>IFERROR(IF(ISNUMBER(INDEX(SPPR!$E:$Z,MATCH($A166,SPPR!$A:$A,0),9)),$C166*INDEX(SPPR!$E:$Z,MATCH($A166,SPPR!$A:$A,0),9),""),"")</f>
        <v/>
      </c>
      <c r="M166">
        <f>IFERROR(IF(ISNUMBER(INDEX(SPPR!$E:$Z,MATCH($A166,SPPR!$A:$A,0),10)),$C166*INDEX(SPPR!$E:$Z,MATCH($A166,SPPR!$A:$A,0),10),""),"")</f>
        <v/>
      </c>
      <c r="N166">
        <f>IFERROR(IF(ISNUMBER(INDEX(SPPR!$E:$Z,MATCH($A166,SPPR!$A:$A,0),11)),$C166*INDEX(SPPR!$E:$Z,MATCH($A166,SPPR!$A:$A,0),11),""),"")</f>
        <v/>
      </c>
      <c r="O166">
        <f>IFERROR(IF(ISNUMBER(INDEX(SPPR!$E:$Z,MATCH($A166,SPPR!$A:$A,0),12)),$C166*INDEX(SPPR!$E:$Z,MATCH($A166,SPPR!$A:$A,0),12),""),"")</f>
        <v/>
      </c>
      <c r="P166">
        <f>IFERROR(IF(ISNUMBER(INDEX(SPPR!$E:$Z,MATCH($A166,SPPR!$A:$A,0),13)),$C166*INDEX(SPPR!$E:$Z,MATCH($A166,SPPR!$A:$A,0),13),""),"")</f>
        <v/>
      </c>
      <c r="Q166">
        <f>IFERROR(IF(ISNUMBER(INDEX(SPPR!$E:$Z,MATCH($A166,SPPR!$A:$A,0),14)),$C166*INDEX(SPPR!$E:$Z,MATCH($A166,SPPR!$A:$A,0),14),""),"")</f>
        <v/>
      </c>
      <c r="R166">
        <f>IFERROR(IF(ISNUMBER(INDEX(SPPR!$E:$Z,MATCH($A166,SPPR!$A:$A,0),15)),$C166*INDEX(SPPR!$E:$Z,MATCH($A166,SPPR!$A:$A,0),15),""),"")</f>
        <v/>
      </c>
      <c r="S166">
        <f>IFERROR(IF(ISNUMBER(INDEX(SPPR!$E:$Z,MATCH($A166,SPPR!$A:$A,0),16)),$C166*INDEX(SPPR!$E:$Z,MATCH($A166,SPPR!$A:$A,0),16),""),"")</f>
        <v/>
      </c>
      <c r="T166">
        <f>IFERROR(IF(ISNUMBER(INDEX(SPPR!$E:$Z,MATCH($A166,SPPR!$A:$A,0),17)),$C166*INDEX(SPPR!$E:$Z,MATCH($A166,SPPR!$A:$A,0),17),""),"")</f>
        <v/>
      </c>
      <c r="U166">
        <f>IFERROR(IF(ISNUMBER(INDEX(SPPR!$E:$Z,MATCH($A166,SPPR!$A:$A,0),18)),$C166*INDEX(SPPR!$E:$Z,MATCH($A166,SPPR!$A:$A,0),18),""),"")</f>
        <v/>
      </c>
      <c r="V166">
        <f>IFERROR(IF(ISNUMBER(INDEX(SPPR!$E:$Z,MATCH($A166,SPPR!$A:$A,0),19)),$C166*INDEX(SPPR!$E:$Z,MATCH($A166,SPPR!$A:$A,0),19),""),"")</f>
        <v/>
      </c>
      <c r="W166">
        <f>IFERROR(IF(ISNUMBER(INDEX(SPPR!$E:$Z,MATCH($A166,SPPR!$A:$A,0),20)),$C166*INDEX(SPPR!$E:$Z,MATCH($A166,SPPR!$A:$A,0),20),""),"")</f>
        <v/>
      </c>
      <c r="X166">
        <f>IFERROR(IF(ISNUMBER(INDEX(SPPR!$E:$Z,MATCH($A166,SPPR!$A:$A,0),21)),$C166*INDEX(SPPR!$E:$Z,MATCH($A166,SPPR!$A:$A,0),21),""),"")</f>
        <v/>
      </c>
      <c r="Y166">
        <f>IFERROR(IF(ISNUMBER(INDEX(SPPR!$E:$Z,MATCH($A166,SPPR!$A:$A,0),22)),$C166*INDEX(SPPR!$E:$Z,MATCH($A166,SPPR!$A:$A,0),22),""),"")</f>
        <v/>
      </c>
    </row>
    <row r="167">
      <c r="A167" t="inlineStr">
        <is>
          <t>Palinuridae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IFERROR(IF(ISNUMBER(INDEX(SPPR!$E:$Z,MATCH($A167,SPPR!$A:$A,0),1)),$C167*INDEX(SPPR!$E:$Z,MATCH($A167,SPPR!$A:$A,0),1),""),"")</f>
        <v/>
      </c>
      <c r="E167">
        <f>IFERROR(IF(ISNUMBER(INDEX(SPPR!$E:$Z,MATCH($A167,SPPR!$A:$A,0),2)),$C167*INDEX(SPPR!$E:$Z,MATCH($A167,SPPR!$A:$A,0),2),""),"")</f>
        <v/>
      </c>
      <c r="F167">
        <f>IFERROR(IF(ISNUMBER(INDEX(SPPR!$E:$Z,MATCH($A167,SPPR!$A:$A,0),3)),$C167*INDEX(SPPR!$E:$Z,MATCH($A167,SPPR!$A:$A,0),3),""),"")</f>
        <v/>
      </c>
      <c r="G167">
        <f>IFERROR(IF(ISNUMBER(INDEX(SPPR!$E:$Z,MATCH($A167,SPPR!$A:$A,0),4)),$C167*INDEX(SPPR!$E:$Z,MATCH($A167,SPPR!$A:$A,0),4),""),"")</f>
        <v/>
      </c>
      <c r="H167">
        <f>IFERROR(IF(ISNUMBER(INDEX(SPPR!$E:$Z,MATCH($A167,SPPR!$A:$A,0),5)),$C167*INDEX(SPPR!$E:$Z,MATCH($A167,SPPR!$A:$A,0),5),""),"")</f>
        <v/>
      </c>
      <c r="I167">
        <f>IFERROR(IF(ISNUMBER(INDEX(SPPR!$E:$Z,MATCH($A167,SPPR!$A:$A,0),6)),$C167*INDEX(SPPR!$E:$Z,MATCH($A167,SPPR!$A:$A,0),6),""),"")</f>
        <v/>
      </c>
      <c r="J167">
        <f>IFERROR(IF(ISNUMBER(INDEX(SPPR!$E:$Z,MATCH($A167,SPPR!$A:$A,0),7)),$C167*INDEX(SPPR!$E:$Z,MATCH($A167,SPPR!$A:$A,0),7),""),"")</f>
        <v/>
      </c>
      <c r="K167">
        <f>IFERROR(IF(ISNUMBER(INDEX(SPPR!$E:$Z,MATCH($A167,SPPR!$A:$A,0),8)),$C167*INDEX(SPPR!$E:$Z,MATCH($A167,SPPR!$A:$A,0),8),""),"")</f>
        <v/>
      </c>
      <c r="L167">
        <f>IFERROR(IF(ISNUMBER(INDEX(SPPR!$E:$Z,MATCH($A167,SPPR!$A:$A,0),9)),$C167*INDEX(SPPR!$E:$Z,MATCH($A167,SPPR!$A:$A,0),9),""),"")</f>
        <v/>
      </c>
      <c r="M167">
        <f>IFERROR(IF(ISNUMBER(INDEX(SPPR!$E:$Z,MATCH($A167,SPPR!$A:$A,0),10)),$C167*INDEX(SPPR!$E:$Z,MATCH($A167,SPPR!$A:$A,0),10),""),"")</f>
        <v/>
      </c>
      <c r="N167">
        <f>IFERROR(IF(ISNUMBER(INDEX(SPPR!$E:$Z,MATCH($A167,SPPR!$A:$A,0),11)),$C167*INDEX(SPPR!$E:$Z,MATCH($A167,SPPR!$A:$A,0),11),""),"")</f>
        <v/>
      </c>
      <c r="O167">
        <f>IFERROR(IF(ISNUMBER(INDEX(SPPR!$E:$Z,MATCH($A167,SPPR!$A:$A,0),12)),$C167*INDEX(SPPR!$E:$Z,MATCH($A167,SPPR!$A:$A,0),12),""),"")</f>
        <v/>
      </c>
      <c r="P167">
        <f>IFERROR(IF(ISNUMBER(INDEX(SPPR!$E:$Z,MATCH($A167,SPPR!$A:$A,0),13)),$C167*INDEX(SPPR!$E:$Z,MATCH($A167,SPPR!$A:$A,0),13),""),"")</f>
        <v/>
      </c>
      <c r="Q167">
        <f>IFERROR(IF(ISNUMBER(INDEX(SPPR!$E:$Z,MATCH($A167,SPPR!$A:$A,0),14)),$C167*INDEX(SPPR!$E:$Z,MATCH($A167,SPPR!$A:$A,0),14),""),"")</f>
        <v/>
      </c>
      <c r="R167">
        <f>IFERROR(IF(ISNUMBER(INDEX(SPPR!$E:$Z,MATCH($A167,SPPR!$A:$A,0),15)),$C167*INDEX(SPPR!$E:$Z,MATCH($A167,SPPR!$A:$A,0),15),""),"")</f>
        <v/>
      </c>
      <c r="S167">
        <f>IFERROR(IF(ISNUMBER(INDEX(SPPR!$E:$Z,MATCH($A167,SPPR!$A:$A,0),16)),$C167*INDEX(SPPR!$E:$Z,MATCH($A167,SPPR!$A:$A,0),16),""),"")</f>
        <v/>
      </c>
      <c r="T167">
        <f>IFERROR(IF(ISNUMBER(INDEX(SPPR!$E:$Z,MATCH($A167,SPPR!$A:$A,0),17)),$C167*INDEX(SPPR!$E:$Z,MATCH($A167,SPPR!$A:$A,0),17),""),"")</f>
        <v/>
      </c>
      <c r="U167">
        <f>IFERROR(IF(ISNUMBER(INDEX(SPPR!$E:$Z,MATCH($A167,SPPR!$A:$A,0),18)),$C167*INDEX(SPPR!$E:$Z,MATCH($A167,SPPR!$A:$A,0),18),""),"")</f>
        <v/>
      </c>
      <c r="V167">
        <f>IFERROR(IF(ISNUMBER(INDEX(SPPR!$E:$Z,MATCH($A167,SPPR!$A:$A,0),19)),$C167*INDEX(SPPR!$E:$Z,MATCH($A167,SPPR!$A:$A,0),19),""),"")</f>
        <v/>
      </c>
      <c r="W167">
        <f>IFERROR(IF(ISNUMBER(INDEX(SPPR!$E:$Z,MATCH($A167,SPPR!$A:$A,0),20)),$C167*INDEX(SPPR!$E:$Z,MATCH($A167,SPPR!$A:$A,0),20),""),"")</f>
        <v/>
      </c>
      <c r="X167">
        <f>IFERROR(IF(ISNUMBER(INDEX(SPPR!$E:$Z,MATCH($A167,SPPR!$A:$A,0),21)),$C167*INDEX(SPPR!$E:$Z,MATCH($A167,SPPR!$A:$A,0),21),""),"")</f>
        <v/>
      </c>
      <c r="Y167">
        <f>IFERROR(IF(ISNUMBER(INDEX(SPPR!$E:$Z,MATCH($A167,SPPR!$A:$A,0),22)),$C167*INDEX(SPPR!$E:$Z,MATCH($A167,SPPR!$A:$A,0),22),""),"")</f>
        <v/>
      </c>
    </row>
    <row r="168">
      <c r="A168" t="inlineStr">
        <is>
          <t>Gazza minuta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IFERROR(IF(ISNUMBER(INDEX(SPPR!$E:$Z,MATCH($A168,SPPR!$A:$A,0),1)),$C168*INDEX(SPPR!$E:$Z,MATCH($A168,SPPR!$A:$A,0),1),""),"")</f>
        <v/>
      </c>
      <c r="E168">
        <f>IFERROR(IF(ISNUMBER(INDEX(SPPR!$E:$Z,MATCH($A168,SPPR!$A:$A,0),2)),$C168*INDEX(SPPR!$E:$Z,MATCH($A168,SPPR!$A:$A,0),2),""),"")</f>
        <v/>
      </c>
      <c r="F168">
        <f>IFERROR(IF(ISNUMBER(INDEX(SPPR!$E:$Z,MATCH($A168,SPPR!$A:$A,0),3)),$C168*INDEX(SPPR!$E:$Z,MATCH($A168,SPPR!$A:$A,0),3),""),"")</f>
        <v/>
      </c>
      <c r="G168">
        <f>IFERROR(IF(ISNUMBER(INDEX(SPPR!$E:$Z,MATCH($A168,SPPR!$A:$A,0),4)),$C168*INDEX(SPPR!$E:$Z,MATCH($A168,SPPR!$A:$A,0),4),""),"")</f>
        <v/>
      </c>
      <c r="H168">
        <f>IFERROR(IF(ISNUMBER(INDEX(SPPR!$E:$Z,MATCH($A168,SPPR!$A:$A,0),5)),$C168*INDEX(SPPR!$E:$Z,MATCH($A168,SPPR!$A:$A,0),5),""),"")</f>
        <v/>
      </c>
      <c r="I168">
        <f>IFERROR(IF(ISNUMBER(INDEX(SPPR!$E:$Z,MATCH($A168,SPPR!$A:$A,0),6)),$C168*INDEX(SPPR!$E:$Z,MATCH($A168,SPPR!$A:$A,0),6),""),"")</f>
        <v/>
      </c>
      <c r="J168">
        <f>IFERROR(IF(ISNUMBER(INDEX(SPPR!$E:$Z,MATCH($A168,SPPR!$A:$A,0),7)),$C168*INDEX(SPPR!$E:$Z,MATCH($A168,SPPR!$A:$A,0),7),""),"")</f>
        <v/>
      </c>
      <c r="K168">
        <f>IFERROR(IF(ISNUMBER(INDEX(SPPR!$E:$Z,MATCH($A168,SPPR!$A:$A,0),8)),$C168*INDEX(SPPR!$E:$Z,MATCH($A168,SPPR!$A:$A,0),8),""),"")</f>
        <v/>
      </c>
      <c r="L168">
        <f>IFERROR(IF(ISNUMBER(INDEX(SPPR!$E:$Z,MATCH($A168,SPPR!$A:$A,0),9)),$C168*INDEX(SPPR!$E:$Z,MATCH($A168,SPPR!$A:$A,0),9),""),"")</f>
        <v/>
      </c>
      <c r="M168">
        <f>IFERROR(IF(ISNUMBER(INDEX(SPPR!$E:$Z,MATCH($A168,SPPR!$A:$A,0),10)),$C168*INDEX(SPPR!$E:$Z,MATCH($A168,SPPR!$A:$A,0),10),""),"")</f>
        <v/>
      </c>
      <c r="N168">
        <f>IFERROR(IF(ISNUMBER(INDEX(SPPR!$E:$Z,MATCH($A168,SPPR!$A:$A,0),11)),$C168*INDEX(SPPR!$E:$Z,MATCH($A168,SPPR!$A:$A,0),11),""),"")</f>
        <v/>
      </c>
      <c r="O168">
        <f>IFERROR(IF(ISNUMBER(INDEX(SPPR!$E:$Z,MATCH($A168,SPPR!$A:$A,0),12)),$C168*INDEX(SPPR!$E:$Z,MATCH($A168,SPPR!$A:$A,0),12),""),"")</f>
        <v/>
      </c>
      <c r="P168">
        <f>IFERROR(IF(ISNUMBER(INDEX(SPPR!$E:$Z,MATCH($A168,SPPR!$A:$A,0),13)),$C168*INDEX(SPPR!$E:$Z,MATCH($A168,SPPR!$A:$A,0),13),""),"")</f>
        <v/>
      </c>
      <c r="Q168">
        <f>IFERROR(IF(ISNUMBER(INDEX(SPPR!$E:$Z,MATCH($A168,SPPR!$A:$A,0),14)),$C168*INDEX(SPPR!$E:$Z,MATCH($A168,SPPR!$A:$A,0),14),""),"")</f>
        <v/>
      </c>
      <c r="R168">
        <f>IFERROR(IF(ISNUMBER(INDEX(SPPR!$E:$Z,MATCH($A168,SPPR!$A:$A,0),15)),$C168*INDEX(SPPR!$E:$Z,MATCH($A168,SPPR!$A:$A,0),15),""),"")</f>
        <v/>
      </c>
      <c r="S168">
        <f>IFERROR(IF(ISNUMBER(INDEX(SPPR!$E:$Z,MATCH($A168,SPPR!$A:$A,0),16)),$C168*INDEX(SPPR!$E:$Z,MATCH($A168,SPPR!$A:$A,0),16),""),"")</f>
        <v/>
      </c>
      <c r="T168">
        <f>IFERROR(IF(ISNUMBER(INDEX(SPPR!$E:$Z,MATCH($A168,SPPR!$A:$A,0),17)),$C168*INDEX(SPPR!$E:$Z,MATCH($A168,SPPR!$A:$A,0),17),""),"")</f>
        <v/>
      </c>
      <c r="U168">
        <f>IFERROR(IF(ISNUMBER(INDEX(SPPR!$E:$Z,MATCH($A168,SPPR!$A:$A,0),18)),$C168*INDEX(SPPR!$E:$Z,MATCH($A168,SPPR!$A:$A,0),18),""),"")</f>
        <v/>
      </c>
      <c r="V168">
        <f>IFERROR(IF(ISNUMBER(INDEX(SPPR!$E:$Z,MATCH($A168,SPPR!$A:$A,0),19)),$C168*INDEX(SPPR!$E:$Z,MATCH($A168,SPPR!$A:$A,0),19),""),"")</f>
        <v/>
      </c>
      <c r="W168">
        <f>IFERROR(IF(ISNUMBER(INDEX(SPPR!$E:$Z,MATCH($A168,SPPR!$A:$A,0),20)),$C168*INDEX(SPPR!$E:$Z,MATCH($A168,SPPR!$A:$A,0),20),""),"")</f>
        <v/>
      </c>
      <c r="X168">
        <f>IFERROR(IF(ISNUMBER(INDEX(SPPR!$E:$Z,MATCH($A168,SPPR!$A:$A,0),21)),$C168*INDEX(SPPR!$E:$Z,MATCH($A168,SPPR!$A:$A,0),21),""),"")</f>
        <v/>
      </c>
      <c r="Y168">
        <f>IFERROR(IF(ISNUMBER(INDEX(SPPR!$E:$Z,MATCH($A168,SPPR!$A:$A,0),22)),$C168*INDEX(SPPR!$E:$Z,MATCH($A168,SPPR!$A:$A,0),22),""),"")</f>
        <v/>
      </c>
    </row>
    <row r="169">
      <c r="A169" t="inlineStr">
        <is>
          <t>Sardinella fimbriata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IFERROR(IF(ISNUMBER(INDEX(SPPR!$E:$Z,MATCH($A169,SPPR!$A:$A,0),1)),$C169*INDEX(SPPR!$E:$Z,MATCH($A169,SPPR!$A:$A,0),1),""),"")</f>
        <v/>
      </c>
      <c r="E169">
        <f>IFERROR(IF(ISNUMBER(INDEX(SPPR!$E:$Z,MATCH($A169,SPPR!$A:$A,0),2)),$C169*INDEX(SPPR!$E:$Z,MATCH($A169,SPPR!$A:$A,0),2),""),"")</f>
        <v/>
      </c>
      <c r="F169">
        <f>IFERROR(IF(ISNUMBER(INDEX(SPPR!$E:$Z,MATCH($A169,SPPR!$A:$A,0),3)),$C169*INDEX(SPPR!$E:$Z,MATCH($A169,SPPR!$A:$A,0),3),""),"")</f>
        <v/>
      </c>
      <c r="G169">
        <f>IFERROR(IF(ISNUMBER(INDEX(SPPR!$E:$Z,MATCH($A169,SPPR!$A:$A,0),4)),$C169*INDEX(SPPR!$E:$Z,MATCH($A169,SPPR!$A:$A,0),4),""),"")</f>
        <v/>
      </c>
      <c r="H169">
        <f>IFERROR(IF(ISNUMBER(INDEX(SPPR!$E:$Z,MATCH($A169,SPPR!$A:$A,0),5)),$C169*INDEX(SPPR!$E:$Z,MATCH($A169,SPPR!$A:$A,0),5),""),"")</f>
        <v/>
      </c>
      <c r="I169">
        <f>IFERROR(IF(ISNUMBER(INDEX(SPPR!$E:$Z,MATCH($A169,SPPR!$A:$A,0),6)),$C169*INDEX(SPPR!$E:$Z,MATCH($A169,SPPR!$A:$A,0),6),""),"")</f>
        <v/>
      </c>
      <c r="J169">
        <f>IFERROR(IF(ISNUMBER(INDEX(SPPR!$E:$Z,MATCH($A169,SPPR!$A:$A,0),7)),$C169*INDEX(SPPR!$E:$Z,MATCH($A169,SPPR!$A:$A,0),7),""),"")</f>
        <v/>
      </c>
      <c r="K169">
        <f>IFERROR(IF(ISNUMBER(INDEX(SPPR!$E:$Z,MATCH($A169,SPPR!$A:$A,0),8)),$C169*INDEX(SPPR!$E:$Z,MATCH($A169,SPPR!$A:$A,0),8),""),"")</f>
        <v/>
      </c>
      <c r="L169">
        <f>IFERROR(IF(ISNUMBER(INDEX(SPPR!$E:$Z,MATCH($A169,SPPR!$A:$A,0),9)),$C169*INDEX(SPPR!$E:$Z,MATCH($A169,SPPR!$A:$A,0),9),""),"")</f>
        <v/>
      </c>
      <c r="M169">
        <f>IFERROR(IF(ISNUMBER(INDEX(SPPR!$E:$Z,MATCH($A169,SPPR!$A:$A,0),10)),$C169*INDEX(SPPR!$E:$Z,MATCH($A169,SPPR!$A:$A,0),10),""),"")</f>
        <v/>
      </c>
      <c r="N169">
        <f>IFERROR(IF(ISNUMBER(INDEX(SPPR!$E:$Z,MATCH($A169,SPPR!$A:$A,0),11)),$C169*INDEX(SPPR!$E:$Z,MATCH($A169,SPPR!$A:$A,0),11),""),"")</f>
        <v/>
      </c>
      <c r="O169">
        <f>IFERROR(IF(ISNUMBER(INDEX(SPPR!$E:$Z,MATCH($A169,SPPR!$A:$A,0),12)),$C169*INDEX(SPPR!$E:$Z,MATCH($A169,SPPR!$A:$A,0),12),""),"")</f>
        <v/>
      </c>
      <c r="P169">
        <f>IFERROR(IF(ISNUMBER(INDEX(SPPR!$E:$Z,MATCH($A169,SPPR!$A:$A,0),13)),$C169*INDEX(SPPR!$E:$Z,MATCH($A169,SPPR!$A:$A,0),13),""),"")</f>
        <v/>
      </c>
      <c r="Q169">
        <f>IFERROR(IF(ISNUMBER(INDEX(SPPR!$E:$Z,MATCH($A169,SPPR!$A:$A,0),14)),$C169*INDEX(SPPR!$E:$Z,MATCH($A169,SPPR!$A:$A,0),14),""),"")</f>
        <v/>
      </c>
      <c r="R169">
        <f>IFERROR(IF(ISNUMBER(INDEX(SPPR!$E:$Z,MATCH($A169,SPPR!$A:$A,0),15)),$C169*INDEX(SPPR!$E:$Z,MATCH($A169,SPPR!$A:$A,0),15),""),"")</f>
        <v/>
      </c>
      <c r="S169">
        <f>IFERROR(IF(ISNUMBER(INDEX(SPPR!$E:$Z,MATCH($A169,SPPR!$A:$A,0),16)),$C169*INDEX(SPPR!$E:$Z,MATCH($A169,SPPR!$A:$A,0),16),""),"")</f>
        <v/>
      </c>
      <c r="T169">
        <f>IFERROR(IF(ISNUMBER(INDEX(SPPR!$E:$Z,MATCH($A169,SPPR!$A:$A,0),17)),$C169*INDEX(SPPR!$E:$Z,MATCH($A169,SPPR!$A:$A,0),17),""),"")</f>
        <v/>
      </c>
      <c r="U169">
        <f>IFERROR(IF(ISNUMBER(INDEX(SPPR!$E:$Z,MATCH($A169,SPPR!$A:$A,0),18)),$C169*INDEX(SPPR!$E:$Z,MATCH($A169,SPPR!$A:$A,0),18),""),"")</f>
        <v/>
      </c>
      <c r="V169">
        <f>IFERROR(IF(ISNUMBER(INDEX(SPPR!$E:$Z,MATCH($A169,SPPR!$A:$A,0),19)),$C169*INDEX(SPPR!$E:$Z,MATCH($A169,SPPR!$A:$A,0),19),""),"")</f>
        <v/>
      </c>
      <c r="W169">
        <f>IFERROR(IF(ISNUMBER(INDEX(SPPR!$E:$Z,MATCH($A169,SPPR!$A:$A,0),20)),$C169*INDEX(SPPR!$E:$Z,MATCH($A169,SPPR!$A:$A,0),20),""),"")</f>
        <v/>
      </c>
      <c r="X169">
        <f>IFERROR(IF(ISNUMBER(INDEX(SPPR!$E:$Z,MATCH($A169,SPPR!$A:$A,0),21)),$C169*INDEX(SPPR!$E:$Z,MATCH($A169,SPPR!$A:$A,0),21),""),"")</f>
        <v/>
      </c>
      <c r="Y169">
        <f>IFERROR(IF(ISNUMBER(INDEX(SPPR!$E:$Z,MATCH($A169,SPPR!$A:$A,0),22)),$C169*INDEX(SPPR!$E:$Z,MATCH($A169,SPPR!$A:$A,0),22),""),"")</f>
        <v/>
      </c>
    </row>
    <row r="170">
      <c r="A170" t="inlineStr">
        <is>
          <t>Terapon theraps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IFERROR(IF(ISNUMBER(INDEX(SPPR!$E:$Z,MATCH($A170,SPPR!$A:$A,0),1)),$C170*INDEX(SPPR!$E:$Z,MATCH($A170,SPPR!$A:$A,0),1),""),"")</f>
        <v/>
      </c>
      <c r="E170">
        <f>IFERROR(IF(ISNUMBER(INDEX(SPPR!$E:$Z,MATCH($A170,SPPR!$A:$A,0),2)),$C170*INDEX(SPPR!$E:$Z,MATCH($A170,SPPR!$A:$A,0),2),""),"")</f>
        <v/>
      </c>
      <c r="F170">
        <f>IFERROR(IF(ISNUMBER(INDEX(SPPR!$E:$Z,MATCH($A170,SPPR!$A:$A,0),3)),$C170*INDEX(SPPR!$E:$Z,MATCH($A170,SPPR!$A:$A,0),3),""),"")</f>
        <v/>
      </c>
      <c r="G170">
        <f>IFERROR(IF(ISNUMBER(INDEX(SPPR!$E:$Z,MATCH($A170,SPPR!$A:$A,0),4)),$C170*INDEX(SPPR!$E:$Z,MATCH($A170,SPPR!$A:$A,0),4),""),"")</f>
        <v/>
      </c>
      <c r="H170">
        <f>IFERROR(IF(ISNUMBER(INDEX(SPPR!$E:$Z,MATCH($A170,SPPR!$A:$A,0),5)),$C170*INDEX(SPPR!$E:$Z,MATCH($A170,SPPR!$A:$A,0),5),""),"")</f>
        <v/>
      </c>
      <c r="I170">
        <f>IFERROR(IF(ISNUMBER(INDEX(SPPR!$E:$Z,MATCH($A170,SPPR!$A:$A,0),6)),$C170*INDEX(SPPR!$E:$Z,MATCH($A170,SPPR!$A:$A,0),6),""),"")</f>
        <v/>
      </c>
      <c r="J170">
        <f>IFERROR(IF(ISNUMBER(INDEX(SPPR!$E:$Z,MATCH($A170,SPPR!$A:$A,0),7)),$C170*INDEX(SPPR!$E:$Z,MATCH($A170,SPPR!$A:$A,0),7),""),"")</f>
        <v/>
      </c>
      <c r="K170">
        <f>IFERROR(IF(ISNUMBER(INDEX(SPPR!$E:$Z,MATCH($A170,SPPR!$A:$A,0),8)),$C170*INDEX(SPPR!$E:$Z,MATCH($A170,SPPR!$A:$A,0),8),""),"")</f>
        <v/>
      </c>
      <c r="L170">
        <f>IFERROR(IF(ISNUMBER(INDEX(SPPR!$E:$Z,MATCH($A170,SPPR!$A:$A,0),9)),$C170*INDEX(SPPR!$E:$Z,MATCH($A170,SPPR!$A:$A,0),9),""),"")</f>
        <v/>
      </c>
      <c r="M170">
        <f>IFERROR(IF(ISNUMBER(INDEX(SPPR!$E:$Z,MATCH($A170,SPPR!$A:$A,0),10)),$C170*INDEX(SPPR!$E:$Z,MATCH($A170,SPPR!$A:$A,0),10),""),"")</f>
        <v/>
      </c>
      <c r="N170">
        <f>IFERROR(IF(ISNUMBER(INDEX(SPPR!$E:$Z,MATCH($A170,SPPR!$A:$A,0),11)),$C170*INDEX(SPPR!$E:$Z,MATCH($A170,SPPR!$A:$A,0),11),""),"")</f>
        <v/>
      </c>
      <c r="O170">
        <f>IFERROR(IF(ISNUMBER(INDEX(SPPR!$E:$Z,MATCH($A170,SPPR!$A:$A,0),12)),$C170*INDEX(SPPR!$E:$Z,MATCH($A170,SPPR!$A:$A,0),12),""),"")</f>
        <v/>
      </c>
      <c r="P170">
        <f>IFERROR(IF(ISNUMBER(INDEX(SPPR!$E:$Z,MATCH($A170,SPPR!$A:$A,0),13)),$C170*INDEX(SPPR!$E:$Z,MATCH($A170,SPPR!$A:$A,0),13),""),"")</f>
        <v/>
      </c>
      <c r="Q170">
        <f>IFERROR(IF(ISNUMBER(INDEX(SPPR!$E:$Z,MATCH($A170,SPPR!$A:$A,0),14)),$C170*INDEX(SPPR!$E:$Z,MATCH($A170,SPPR!$A:$A,0),14),""),"")</f>
        <v/>
      </c>
      <c r="R170">
        <f>IFERROR(IF(ISNUMBER(INDEX(SPPR!$E:$Z,MATCH($A170,SPPR!$A:$A,0),15)),$C170*INDEX(SPPR!$E:$Z,MATCH($A170,SPPR!$A:$A,0),15),""),"")</f>
        <v/>
      </c>
      <c r="S170">
        <f>IFERROR(IF(ISNUMBER(INDEX(SPPR!$E:$Z,MATCH($A170,SPPR!$A:$A,0),16)),$C170*INDEX(SPPR!$E:$Z,MATCH($A170,SPPR!$A:$A,0),16),""),"")</f>
        <v/>
      </c>
      <c r="T170">
        <f>IFERROR(IF(ISNUMBER(INDEX(SPPR!$E:$Z,MATCH($A170,SPPR!$A:$A,0),17)),$C170*INDEX(SPPR!$E:$Z,MATCH($A170,SPPR!$A:$A,0),17),""),"")</f>
        <v/>
      </c>
      <c r="U170">
        <f>IFERROR(IF(ISNUMBER(INDEX(SPPR!$E:$Z,MATCH($A170,SPPR!$A:$A,0),18)),$C170*INDEX(SPPR!$E:$Z,MATCH($A170,SPPR!$A:$A,0),18),""),"")</f>
        <v/>
      </c>
      <c r="V170">
        <f>IFERROR(IF(ISNUMBER(INDEX(SPPR!$E:$Z,MATCH($A170,SPPR!$A:$A,0),19)),$C170*INDEX(SPPR!$E:$Z,MATCH($A170,SPPR!$A:$A,0),19),""),"")</f>
        <v/>
      </c>
      <c r="W170">
        <f>IFERROR(IF(ISNUMBER(INDEX(SPPR!$E:$Z,MATCH($A170,SPPR!$A:$A,0),20)),$C170*INDEX(SPPR!$E:$Z,MATCH($A170,SPPR!$A:$A,0),20),""),"")</f>
        <v/>
      </c>
      <c r="X170">
        <f>IFERROR(IF(ISNUMBER(INDEX(SPPR!$E:$Z,MATCH($A170,SPPR!$A:$A,0),21)),$C170*INDEX(SPPR!$E:$Z,MATCH($A170,SPPR!$A:$A,0),21),""),"")</f>
        <v/>
      </c>
      <c r="Y170">
        <f>IFERROR(IF(ISNUMBER(INDEX(SPPR!$E:$Z,MATCH($A170,SPPR!$A:$A,0),22)),$C170*INDEX(SPPR!$E:$Z,MATCH($A170,SPPR!$A:$A,0),22),""),"")</f>
        <v/>
      </c>
    </row>
    <row r="171">
      <c r="A171" t="inlineStr">
        <is>
          <t>Psettodidae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IFERROR(IF(ISNUMBER(INDEX(SPPR!$E:$Z,MATCH($A171,SPPR!$A:$A,0),1)),$C171*INDEX(SPPR!$E:$Z,MATCH($A171,SPPR!$A:$A,0),1),""),"")</f>
        <v/>
      </c>
      <c r="E171">
        <f>IFERROR(IF(ISNUMBER(INDEX(SPPR!$E:$Z,MATCH($A171,SPPR!$A:$A,0),2)),$C171*INDEX(SPPR!$E:$Z,MATCH($A171,SPPR!$A:$A,0),2),""),"")</f>
        <v/>
      </c>
      <c r="F171">
        <f>IFERROR(IF(ISNUMBER(INDEX(SPPR!$E:$Z,MATCH($A171,SPPR!$A:$A,0),3)),$C171*INDEX(SPPR!$E:$Z,MATCH($A171,SPPR!$A:$A,0),3),""),"")</f>
        <v/>
      </c>
      <c r="G171">
        <f>IFERROR(IF(ISNUMBER(INDEX(SPPR!$E:$Z,MATCH($A171,SPPR!$A:$A,0),4)),$C171*INDEX(SPPR!$E:$Z,MATCH($A171,SPPR!$A:$A,0),4),""),"")</f>
        <v/>
      </c>
      <c r="H171">
        <f>IFERROR(IF(ISNUMBER(INDEX(SPPR!$E:$Z,MATCH($A171,SPPR!$A:$A,0),5)),$C171*INDEX(SPPR!$E:$Z,MATCH($A171,SPPR!$A:$A,0),5),""),"")</f>
        <v/>
      </c>
      <c r="I171">
        <f>IFERROR(IF(ISNUMBER(INDEX(SPPR!$E:$Z,MATCH($A171,SPPR!$A:$A,0),6)),$C171*INDEX(SPPR!$E:$Z,MATCH($A171,SPPR!$A:$A,0),6),""),"")</f>
        <v/>
      </c>
      <c r="J171">
        <f>IFERROR(IF(ISNUMBER(INDEX(SPPR!$E:$Z,MATCH($A171,SPPR!$A:$A,0),7)),$C171*INDEX(SPPR!$E:$Z,MATCH($A171,SPPR!$A:$A,0),7),""),"")</f>
        <v/>
      </c>
      <c r="K171">
        <f>IFERROR(IF(ISNUMBER(INDEX(SPPR!$E:$Z,MATCH($A171,SPPR!$A:$A,0),8)),$C171*INDEX(SPPR!$E:$Z,MATCH($A171,SPPR!$A:$A,0),8),""),"")</f>
        <v/>
      </c>
      <c r="L171">
        <f>IFERROR(IF(ISNUMBER(INDEX(SPPR!$E:$Z,MATCH($A171,SPPR!$A:$A,0),9)),$C171*INDEX(SPPR!$E:$Z,MATCH($A171,SPPR!$A:$A,0),9),""),"")</f>
        <v/>
      </c>
      <c r="M171">
        <f>IFERROR(IF(ISNUMBER(INDEX(SPPR!$E:$Z,MATCH($A171,SPPR!$A:$A,0),10)),$C171*INDEX(SPPR!$E:$Z,MATCH($A171,SPPR!$A:$A,0),10),""),"")</f>
        <v/>
      </c>
      <c r="N171">
        <f>IFERROR(IF(ISNUMBER(INDEX(SPPR!$E:$Z,MATCH($A171,SPPR!$A:$A,0),11)),$C171*INDEX(SPPR!$E:$Z,MATCH($A171,SPPR!$A:$A,0),11),""),"")</f>
        <v/>
      </c>
      <c r="O171">
        <f>IFERROR(IF(ISNUMBER(INDEX(SPPR!$E:$Z,MATCH($A171,SPPR!$A:$A,0),12)),$C171*INDEX(SPPR!$E:$Z,MATCH($A171,SPPR!$A:$A,0),12),""),"")</f>
        <v/>
      </c>
      <c r="P171">
        <f>IFERROR(IF(ISNUMBER(INDEX(SPPR!$E:$Z,MATCH($A171,SPPR!$A:$A,0),13)),$C171*INDEX(SPPR!$E:$Z,MATCH($A171,SPPR!$A:$A,0),13),""),"")</f>
        <v/>
      </c>
      <c r="Q171">
        <f>IFERROR(IF(ISNUMBER(INDEX(SPPR!$E:$Z,MATCH($A171,SPPR!$A:$A,0),14)),$C171*INDEX(SPPR!$E:$Z,MATCH($A171,SPPR!$A:$A,0),14),""),"")</f>
        <v/>
      </c>
      <c r="R171">
        <f>IFERROR(IF(ISNUMBER(INDEX(SPPR!$E:$Z,MATCH($A171,SPPR!$A:$A,0),15)),$C171*INDEX(SPPR!$E:$Z,MATCH($A171,SPPR!$A:$A,0),15),""),"")</f>
        <v/>
      </c>
      <c r="S171">
        <f>IFERROR(IF(ISNUMBER(INDEX(SPPR!$E:$Z,MATCH($A171,SPPR!$A:$A,0),16)),$C171*INDEX(SPPR!$E:$Z,MATCH($A171,SPPR!$A:$A,0),16),""),"")</f>
        <v/>
      </c>
      <c r="T171">
        <f>IFERROR(IF(ISNUMBER(INDEX(SPPR!$E:$Z,MATCH($A171,SPPR!$A:$A,0),17)),$C171*INDEX(SPPR!$E:$Z,MATCH($A171,SPPR!$A:$A,0),17),""),"")</f>
        <v/>
      </c>
      <c r="U171">
        <f>IFERROR(IF(ISNUMBER(INDEX(SPPR!$E:$Z,MATCH($A171,SPPR!$A:$A,0),18)),$C171*INDEX(SPPR!$E:$Z,MATCH($A171,SPPR!$A:$A,0),18),""),"")</f>
        <v/>
      </c>
      <c r="V171">
        <f>IFERROR(IF(ISNUMBER(INDEX(SPPR!$E:$Z,MATCH($A171,SPPR!$A:$A,0),19)),$C171*INDEX(SPPR!$E:$Z,MATCH($A171,SPPR!$A:$A,0),19),""),"")</f>
        <v/>
      </c>
      <c r="W171">
        <f>IFERROR(IF(ISNUMBER(INDEX(SPPR!$E:$Z,MATCH($A171,SPPR!$A:$A,0),20)),$C171*INDEX(SPPR!$E:$Z,MATCH($A171,SPPR!$A:$A,0),20),""),"")</f>
        <v/>
      </c>
      <c r="X171">
        <f>IFERROR(IF(ISNUMBER(INDEX(SPPR!$E:$Z,MATCH($A171,SPPR!$A:$A,0),21)),$C171*INDEX(SPPR!$E:$Z,MATCH($A171,SPPR!$A:$A,0),21),""),"")</f>
        <v/>
      </c>
      <c r="Y171">
        <f>IFERROR(IF(ISNUMBER(INDEX(SPPR!$E:$Z,MATCH($A171,SPPR!$A:$A,0),22)),$C171*INDEX(SPPR!$E:$Z,MATCH($A171,SPPR!$A:$A,0),22),""),"")</f>
        <v/>
      </c>
    </row>
    <row r="172">
      <c r="A172" t="inlineStr">
        <is>
          <t>Pampus chinensis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IFERROR(IF(ISNUMBER(INDEX(SPPR!$E:$Z,MATCH($A172,SPPR!$A:$A,0),1)),$C172*INDEX(SPPR!$E:$Z,MATCH($A172,SPPR!$A:$A,0),1),""),"")</f>
        <v/>
      </c>
      <c r="E172">
        <f>IFERROR(IF(ISNUMBER(INDEX(SPPR!$E:$Z,MATCH($A172,SPPR!$A:$A,0),2)),$C172*INDEX(SPPR!$E:$Z,MATCH($A172,SPPR!$A:$A,0),2),""),"")</f>
        <v/>
      </c>
      <c r="F172">
        <f>IFERROR(IF(ISNUMBER(INDEX(SPPR!$E:$Z,MATCH($A172,SPPR!$A:$A,0),3)),$C172*INDEX(SPPR!$E:$Z,MATCH($A172,SPPR!$A:$A,0),3),""),"")</f>
        <v/>
      </c>
      <c r="G172">
        <f>IFERROR(IF(ISNUMBER(INDEX(SPPR!$E:$Z,MATCH($A172,SPPR!$A:$A,0),4)),$C172*INDEX(SPPR!$E:$Z,MATCH($A172,SPPR!$A:$A,0),4),""),"")</f>
        <v/>
      </c>
      <c r="H172">
        <f>IFERROR(IF(ISNUMBER(INDEX(SPPR!$E:$Z,MATCH($A172,SPPR!$A:$A,0),5)),$C172*INDEX(SPPR!$E:$Z,MATCH($A172,SPPR!$A:$A,0),5),""),"")</f>
        <v/>
      </c>
      <c r="I172">
        <f>IFERROR(IF(ISNUMBER(INDEX(SPPR!$E:$Z,MATCH($A172,SPPR!$A:$A,0),6)),$C172*INDEX(SPPR!$E:$Z,MATCH($A172,SPPR!$A:$A,0),6),""),"")</f>
        <v/>
      </c>
      <c r="J172">
        <f>IFERROR(IF(ISNUMBER(INDEX(SPPR!$E:$Z,MATCH($A172,SPPR!$A:$A,0),7)),$C172*INDEX(SPPR!$E:$Z,MATCH($A172,SPPR!$A:$A,0),7),""),"")</f>
        <v/>
      </c>
      <c r="K172">
        <f>IFERROR(IF(ISNUMBER(INDEX(SPPR!$E:$Z,MATCH($A172,SPPR!$A:$A,0),8)),$C172*INDEX(SPPR!$E:$Z,MATCH($A172,SPPR!$A:$A,0),8),""),"")</f>
        <v/>
      </c>
      <c r="L172">
        <f>IFERROR(IF(ISNUMBER(INDEX(SPPR!$E:$Z,MATCH($A172,SPPR!$A:$A,0),9)),$C172*INDEX(SPPR!$E:$Z,MATCH($A172,SPPR!$A:$A,0),9),""),"")</f>
        <v/>
      </c>
      <c r="M172">
        <f>IFERROR(IF(ISNUMBER(INDEX(SPPR!$E:$Z,MATCH($A172,SPPR!$A:$A,0),10)),$C172*INDEX(SPPR!$E:$Z,MATCH($A172,SPPR!$A:$A,0),10),""),"")</f>
        <v/>
      </c>
      <c r="N172">
        <f>IFERROR(IF(ISNUMBER(INDEX(SPPR!$E:$Z,MATCH($A172,SPPR!$A:$A,0),11)),$C172*INDEX(SPPR!$E:$Z,MATCH($A172,SPPR!$A:$A,0),11),""),"")</f>
        <v/>
      </c>
      <c r="O172">
        <f>IFERROR(IF(ISNUMBER(INDEX(SPPR!$E:$Z,MATCH($A172,SPPR!$A:$A,0),12)),$C172*INDEX(SPPR!$E:$Z,MATCH($A172,SPPR!$A:$A,0),12),""),"")</f>
        <v/>
      </c>
      <c r="P172">
        <f>IFERROR(IF(ISNUMBER(INDEX(SPPR!$E:$Z,MATCH($A172,SPPR!$A:$A,0),13)),$C172*INDEX(SPPR!$E:$Z,MATCH($A172,SPPR!$A:$A,0),13),""),"")</f>
        <v/>
      </c>
      <c r="Q172">
        <f>IFERROR(IF(ISNUMBER(INDEX(SPPR!$E:$Z,MATCH($A172,SPPR!$A:$A,0),14)),$C172*INDEX(SPPR!$E:$Z,MATCH($A172,SPPR!$A:$A,0),14),""),"")</f>
        <v/>
      </c>
      <c r="R172">
        <f>IFERROR(IF(ISNUMBER(INDEX(SPPR!$E:$Z,MATCH($A172,SPPR!$A:$A,0),15)),$C172*INDEX(SPPR!$E:$Z,MATCH($A172,SPPR!$A:$A,0),15),""),"")</f>
        <v/>
      </c>
      <c r="S172">
        <f>IFERROR(IF(ISNUMBER(INDEX(SPPR!$E:$Z,MATCH($A172,SPPR!$A:$A,0),16)),$C172*INDEX(SPPR!$E:$Z,MATCH($A172,SPPR!$A:$A,0),16),""),"")</f>
        <v/>
      </c>
      <c r="T172">
        <f>IFERROR(IF(ISNUMBER(INDEX(SPPR!$E:$Z,MATCH($A172,SPPR!$A:$A,0),17)),$C172*INDEX(SPPR!$E:$Z,MATCH($A172,SPPR!$A:$A,0),17),""),"")</f>
        <v/>
      </c>
      <c r="U172">
        <f>IFERROR(IF(ISNUMBER(INDEX(SPPR!$E:$Z,MATCH($A172,SPPR!$A:$A,0),18)),$C172*INDEX(SPPR!$E:$Z,MATCH($A172,SPPR!$A:$A,0),18),""),"")</f>
        <v/>
      </c>
      <c r="V172">
        <f>IFERROR(IF(ISNUMBER(INDEX(SPPR!$E:$Z,MATCH($A172,SPPR!$A:$A,0),19)),$C172*INDEX(SPPR!$E:$Z,MATCH($A172,SPPR!$A:$A,0),19),""),"")</f>
        <v/>
      </c>
      <c r="W172">
        <f>IFERROR(IF(ISNUMBER(INDEX(SPPR!$E:$Z,MATCH($A172,SPPR!$A:$A,0),20)),$C172*INDEX(SPPR!$E:$Z,MATCH($A172,SPPR!$A:$A,0),20),""),"")</f>
        <v/>
      </c>
      <c r="X172">
        <f>IFERROR(IF(ISNUMBER(INDEX(SPPR!$E:$Z,MATCH($A172,SPPR!$A:$A,0),21)),$C172*INDEX(SPPR!$E:$Z,MATCH($A172,SPPR!$A:$A,0),21),""),"")</f>
        <v/>
      </c>
      <c r="Y172">
        <f>IFERROR(IF(ISNUMBER(INDEX(SPPR!$E:$Z,MATCH($A172,SPPR!$A:$A,0),22)),$C172*INDEX(SPPR!$E:$Z,MATCH($A172,SPPR!$A:$A,0),22),""),"")</f>
        <v/>
      </c>
    </row>
    <row r="173">
      <c r="A173" t="inlineStr">
        <is>
          <t>Perciformes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IFERROR(IF(ISNUMBER(INDEX(SPPR!$E:$Z,MATCH($A173,SPPR!$A:$A,0),1)),$C173*INDEX(SPPR!$E:$Z,MATCH($A173,SPPR!$A:$A,0),1),""),"")</f>
        <v/>
      </c>
      <c r="E173">
        <f>IFERROR(IF(ISNUMBER(INDEX(SPPR!$E:$Z,MATCH($A173,SPPR!$A:$A,0),2)),$C173*INDEX(SPPR!$E:$Z,MATCH($A173,SPPR!$A:$A,0),2),""),"")</f>
        <v/>
      </c>
      <c r="F173">
        <f>IFERROR(IF(ISNUMBER(INDEX(SPPR!$E:$Z,MATCH($A173,SPPR!$A:$A,0),3)),$C173*INDEX(SPPR!$E:$Z,MATCH($A173,SPPR!$A:$A,0),3),""),"")</f>
        <v/>
      </c>
      <c r="G173">
        <f>IFERROR(IF(ISNUMBER(INDEX(SPPR!$E:$Z,MATCH($A173,SPPR!$A:$A,0),4)),$C173*INDEX(SPPR!$E:$Z,MATCH($A173,SPPR!$A:$A,0),4),""),"")</f>
        <v/>
      </c>
      <c r="H173">
        <f>IFERROR(IF(ISNUMBER(INDEX(SPPR!$E:$Z,MATCH($A173,SPPR!$A:$A,0),5)),$C173*INDEX(SPPR!$E:$Z,MATCH($A173,SPPR!$A:$A,0),5),""),"")</f>
        <v/>
      </c>
      <c r="I173">
        <f>IFERROR(IF(ISNUMBER(INDEX(SPPR!$E:$Z,MATCH($A173,SPPR!$A:$A,0),6)),$C173*INDEX(SPPR!$E:$Z,MATCH($A173,SPPR!$A:$A,0),6),""),"")</f>
        <v/>
      </c>
      <c r="J173">
        <f>IFERROR(IF(ISNUMBER(INDEX(SPPR!$E:$Z,MATCH($A173,SPPR!$A:$A,0),7)),$C173*INDEX(SPPR!$E:$Z,MATCH($A173,SPPR!$A:$A,0),7),""),"")</f>
        <v/>
      </c>
      <c r="K173">
        <f>IFERROR(IF(ISNUMBER(INDEX(SPPR!$E:$Z,MATCH($A173,SPPR!$A:$A,0),8)),$C173*INDEX(SPPR!$E:$Z,MATCH($A173,SPPR!$A:$A,0),8),""),"")</f>
        <v/>
      </c>
      <c r="L173">
        <f>IFERROR(IF(ISNUMBER(INDEX(SPPR!$E:$Z,MATCH($A173,SPPR!$A:$A,0),9)),$C173*INDEX(SPPR!$E:$Z,MATCH($A173,SPPR!$A:$A,0),9),""),"")</f>
        <v/>
      </c>
      <c r="M173">
        <f>IFERROR(IF(ISNUMBER(INDEX(SPPR!$E:$Z,MATCH($A173,SPPR!$A:$A,0),10)),$C173*INDEX(SPPR!$E:$Z,MATCH($A173,SPPR!$A:$A,0),10),""),"")</f>
        <v/>
      </c>
      <c r="N173">
        <f>IFERROR(IF(ISNUMBER(INDEX(SPPR!$E:$Z,MATCH($A173,SPPR!$A:$A,0),11)),$C173*INDEX(SPPR!$E:$Z,MATCH($A173,SPPR!$A:$A,0),11),""),"")</f>
        <v/>
      </c>
      <c r="O173">
        <f>IFERROR(IF(ISNUMBER(INDEX(SPPR!$E:$Z,MATCH($A173,SPPR!$A:$A,0),12)),$C173*INDEX(SPPR!$E:$Z,MATCH($A173,SPPR!$A:$A,0),12),""),"")</f>
        <v/>
      </c>
      <c r="P173">
        <f>IFERROR(IF(ISNUMBER(INDEX(SPPR!$E:$Z,MATCH($A173,SPPR!$A:$A,0),13)),$C173*INDEX(SPPR!$E:$Z,MATCH($A173,SPPR!$A:$A,0),13),""),"")</f>
        <v/>
      </c>
      <c r="Q173">
        <f>IFERROR(IF(ISNUMBER(INDEX(SPPR!$E:$Z,MATCH($A173,SPPR!$A:$A,0),14)),$C173*INDEX(SPPR!$E:$Z,MATCH($A173,SPPR!$A:$A,0),14),""),"")</f>
        <v/>
      </c>
      <c r="R173">
        <f>IFERROR(IF(ISNUMBER(INDEX(SPPR!$E:$Z,MATCH($A173,SPPR!$A:$A,0),15)),$C173*INDEX(SPPR!$E:$Z,MATCH($A173,SPPR!$A:$A,0),15),""),"")</f>
        <v/>
      </c>
      <c r="S173">
        <f>IFERROR(IF(ISNUMBER(INDEX(SPPR!$E:$Z,MATCH($A173,SPPR!$A:$A,0),16)),$C173*INDEX(SPPR!$E:$Z,MATCH($A173,SPPR!$A:$A,0),16),""),"")</f>
        <v/>
      </c>
      <c r="T173">
        <f>IFERROR(IF(ISNUMBER(INDEX(SPPR!$E:$Z,MATCH($A173,SPPR!$A:$A,0),17)),$C173*INDEX(SPPR!$E:$Z,MATCH($A173,SPPR!$A:$A,0),17),""),"")</f>
        <v/>
      </c>
      <c r="U173">
        <f>IFERROR(IF(ISNUMBER(INDEX(SPPR!$E:$Z,MATCH($A173,SPPR!$A:$A,0),18)),$C173*INDEX(SPPR!$E:$Z,MATCH($A173,SPPR!$A:$A,0),18),""),"")</f>
        <v/>
      </c>
      <c r="V173">
        <f>IFERROR(IF(ISNUMBER(INDEX(SPPR!$E:$Z,MATCH($A173,SPPR!$A:$A,0),19)),$C173*INDEX(SPPR!$E:$Z,MATCH($A173,SPPR!$A:$A,0),19),""),"")</f>
        <v/>
      </c>
      <c r="W173">
        <f>IFERROR(IF(ISNUMBER(INDEX(SPPR!$E:$Z,MATCH($A173,SPPR!$A:$A,0),20)),$C173*INDEX(SPPR!$E:$Z,MATCH($A173,SPPR!$A:$A,0),20),""),"")</f>
        <v/>
      </c>
      <c r="X173">
        <f>IFERROR(IF(ISNUMBER(INDEX(SPPR!$E:$Z,MATCH($A173,SPPR!$A:$A,0),21)),$C173*INDEX(SPPR!$E:$Z,MATCH($A173,SPPR!$A:$A,0),21),""),"")</f>
        <v/>
      </c>
      <c r="Y173">
        <f>IFERROR(IF(ISNUMBER(INDEX(SPPR!$E:$Z,MATCH($A173,SPPR!$A:$A,0),22)),$C173*INDEX(SPPR!$E:$Z,MATCH($A173,SPPR!$A:$A,0),22),""),"")</f>
        <v/>
      </c>
    </row>
    <row r="174">
      <c r="A174" t="inlineStr">
        <is>
          <t>Priacanthus tayenus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IFERROR(IF(ISNUMBER(INDEX(SPPR!$E:$Z,MATCH($A174,SPPR!$A:$A,0),1)),$C174*INDEX(SPPR!$E:$Z,MATCH($A174,SPPR!$A:$A,0),1),""),"")</f>
        <v/>
      </c>
      <c r="E174">
        <f>IFERROR(IF(ISNUMBER(INDEX(SPPR!$E:$Z,MATCH($A174,SPPR!$A:$A,0),2)),$C174*INDEX(SPPR!$E:$Z,MATCH($A174,SPPR!$A:$A,0),2),""),"")</f>
        <v/>
      </c>
      <c r="F174">
        <f>IFERROR(IF(ISNUMBER(INDEX(SPPR!$E:$Z,MATCH($A174,SPPR!$A:$A,0),3)),$C174*INDEX(SPPR!$E:$Z,MATCH($A174,SPPR!$A:$A,0),3),""),"")</f>
        <v/>
      </c>
      <c r="G174">
        <f>IFERROR(IF(ISNUMBER(INDEX(SPPR!$E:$Z,MATCH($A174,SPPR!$A:$A,0),4)),$C174*INDEX(SPPR!$E:$Z,MATCH($A174,SPPR!$A:$A,0),4),""),"")</f>
        <v/>
      </c>
      <c r="H174">
        <f>IFERROR(IF(ISNUMBER(INDEX(SPPR!$E:$Z,MATCH($A174,SPPR!$A:$A,0),5)),$C174*INDEX(SPPR!$E:$Z,MATCH($A174,SPPR!$A:$A,0),5),""),"")</f>
        <v/>
      </c>
      <c r="I174">
        <f>IFERROR(IF(ISNUMBER(INDEX(SPPR!$E:$Z,MATCH($A174,SPPR!$A:$A,0),6)),$C174*INDEX(SPPR!$E:$Z,MATCH($A174,SPPR!$A:$A,0),6),""),"")</f>
        <v/>
      </c>
      <c r="J174">
        <f>IFERROR(IF(ISNUMBER(INDEX(SPPR!$E:$Z,MATCH($A174,SPPR!$A:$A,0),7)),$C174*INDEX(SPPR!$E:$Z,MATCH($A174,SPPR!$A:$A,0),7),""),"")</f>
        <v/>
      </c>
      <c r="K174">
        <f>IFERROR(IF(ISNUMBER(INDEX(SPPR!$E:$Z,MATCH($A174,SPPR!$A:$A,0),8)),$C174*INDEX(SPPR!$E:$Z,MATCH($A174,SPPR!$A:$A,0),8),""),"")</f>
        <v/>
      </c>
      <c r="L174">
        <f>IFERROR(IF(ISNUMBER(INDEX(SPPR!$E:$Z,MATCH($A174,SPPR!$A:$A,0),9)),$C174*INDEX(SPPR!$E:$Z,MATCH($A174,SPPR!$A:$A,0),9),""),"")</f>
        <v/>
      </c>
      <c r="M174">
        <f>IFERROR(IF(ISNUMBER(INDEX(SPPR!$E:$Z,MATCH($A174,SPPR!$A:$A,0),10)),$C174*INDEX(SPPR!$E:$Z,MATCH($A174,SPPR!$A:$A,0),10),""),"")</f>
        <v/>
      </c>
      <c r="N174">
        <f>IFERROR(IF(ISNUMBER(INDEX(SPPR!$E:$Z,MATCH($A174,SPPR!$A:$A,0),11)),$C174*INDEX(SPPR!$E:$Z,MATCH($A174,SPPR!$A:$A,0),11),""),"")</f>
        <v/>
      </c>
      <c r="O174">
        <f>IFERROR(IF(ISNUMBER(INDEX(SPPR!$E:$Z,MATCH($A174,SPPR!$A:$A,0),12)),$C174*INDEX(SPPR!$E:$Z,MATCH($A174,SPPR!$A:$A,0),12),""),"")</f>
        <v/>
      </c>
      <c r="P174">
        <f>IFERROR(IF(ISNUMBER(INDEX(SPPR!$E:$Z,MATCH($A174,SPPR!$A:$A,0),13)),$C174*INDEX(SPPR!$E:$Z,MATCH($A174,SPPR!$A:$A,0),13),""),"")</f>
        <v/>
      </c>
      <c r="Q174">
        <f>IFERROR(IF(ISNUMBER(INDEX(SPPR!$E:$Z,MATCH($A174,SPPR!$A:$A,0),14)),$C174*INDEX(SPPR!$E:$Z,MATCH($A174,SPPR!$A:$A,0),14),""),"")</f>
        <v/>
      </c>
      <c r="R174">
        <f>IFERROR(IF(ISNUMBER(INDEX(SPPR!$E:$Z,MATCH($A174,SPPR!$A:$A,0),15)),$C174*INDEX(SPPR!$E:$Z,MATCH($A174,SPPR!$A:$A,0),15),""),"")</f>
        <v/>
      </c>
      <c r="S174">
        <f>IFERROR(IF(ISNUMBER(INDEX(SPPR!$E:$Z,MATCH($A174,SPPR!$A:$A,0),16)),$C174*INDEX(SPPR!$E:$Z,MATCH($A174,SPPR!$A:$A,0),16),""),"")</f>
        <v/>
      </c>
      <c r="T174">
        <f>IFERROR(IF(ISNUMBER(INDEX(SPPR!$E:$Z,MATCH($A174,SPPR!$A:$A,0),17)),$C174*INDEX(SPPR!$E:$Z,MATCH($A174,SPPR!$A:$A,0),17),""),"")</f>
        <v/>
      </c>
      <c r="U174">
        <f>IFERROR(IF(ISNUMBER(INDEX(SPPR!$E:$Z,MATCH($A174,SPPR!$A:$A,0),18)),$C174*INDEX(SPPR!$E:$Z,MATCH($A174,SPPR!$A:$A,0),18),""),"")</f>
        <v/>
      </c>
      <c r="V174">
        <f>IFERROR(IF(ISNUMBER(INDEX(SPPR!$E:$Z,MATCH($A174,SPPR!$A:$A,0),19)),$C174*INDEX(SPPR!$E:$Z,MATCH($A174,SPPR!$A:$A,0),19),""),"")</f>
        <v/>
      </c>
      <c r="W174">
        <f>IFERROR(IF(ISNUMBER(INDEX(SPPR!$E:$Z,MATCH($A174,SPPR!$A:$A,0),20)),$C174*INDEX(SPPR!$E:$Z,MATCH($A174,SPPR!$A:$A,0),20),""),"")</f>
        <v/>
      </c>
      <c r="X174">
        <f>IFERROR(IF(ISNUMBER(INDEX(SPPR!$E:$Z,MATCH($A174,SPPR!$A:$A,0),21)),$C174*INDEX(SPPR!$E:$Z,MATCH($A174,SPPR!$A:$A,0),21),""),"")</f>
        <v/>
      </c>
      <c r="Y174">
        <f>IFERROR(IF(ISNUMBER(INDEX(SPPR!$E:$Z,MATCH($A174,SPPR!$A:$A,0),22)),$C174*INDEX(SPPR!$E:$Z,MATCH($A174,SPPR!$A:$A,0),22),""),"")</f>
        <v/>
      </c>
    </row>
    <row r="175">
      <c r="A175" t="inlineStr">
        <is>
          <t>Eubleekeria splendens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IFERROR(IF(ISNUMBER(INDEX(SPPR!$E:$Z,MATCH($A175,SPPR!$A:$A,0),1)),$C175*INDEX(SPPR!$E:$Z,MATCH($A175,SPPR!$A:$A,0),1),""),"")</f>
        <v/>
      </c>
      <c r="E175">
        <f>IFERROR(IF(ISNUMBER(INDEX(SPPR!$E:$Z,MATCH($A175,SPPR!$A:$A,0),2)),$C175*INDEX(SPPR!$E:$Z,MATCH($A175,SPPR!$A:$A,0),2),""),"")</f>
        <v/>
      </c>
      <c r="F175">
        <f>IFERROR(IF(ISNUMBER(INDEX(SPPR!$E:$Z,MATCH($A175,SPPR!$A:$A,0),3)),$C175*INDEX(SPPR!$E:$Z,MATCH($A175,SPPR!$A:$A,0),3),""),"")</f>
        <v/>
      </c>
      <c r="G175">
        <f>IFERROR(IF(ISNUMBER(INDEX(SPPR!$E:$Z,MATCH($A175,SPPR!$A:$A,0),4)),$C175*INDEX(SPPR!$E:$Z,MATCH($A175,SPPR!$A:$A,0),4),""),"")</f>
        <v/>
      </c>
      <c r="H175">
        <f>IFERROR(IF(ISNUMBER(INDEX(SPPR!$E:$Z,MATCH($A175,SPPR!$A:$A,0),5)),$C175*INDEX(SPPR!$E:$Z,MATCH($A175,SPPR!$A:$A,0),5),""),"")</f>
        <v/>
      </c>
      <c r="I175">
        <f>IFERROR(IF(ISNUMBER(INDEX(SPPR!$E:$Z,MATCH($A175,SPPR!$A:$A,0),6)),$C175*INDEX(SPPR!$E:$Z,MATCH($A175,SPPR!$A:$A,0),6),""),"")</f>
        <v/>
      </c>
      <c r="J175">
        <f>IFERROR(IF(ISNUMBER(INDEX(SPPR!$E:$Z,MATCH($A175,SPPR!$A:$A,0),7)),$C175*INDEX(SPPR!$E:$Z,MATCH($A175,SPPR!$A:$A,0),7),""),"")</f>
        <v/>
      </c>
      <c r="K175">
        <f>IFERROR(IF(ISNUMBER(INDEX(SPPR!$E:$Z,MATCH($A175,SPPR!$A:$A,0),8)),$C175*INDEX(SPPR!$E:$Z,MATCH($A175,SPPR!$A:$A,0),8),""),"")</f>
        <v/>
      </c>
      <c r="L175">
        <f>IFERROR(IF(ISNUMBER(INDEX(SPPR!$E:$Z,MATCH($A175,SPPR!$A:$A,0),9)),$C175*INDEX(SPPR!$E:$Z,MATCH($A175,SPPR!$A:$A,0),9),""),"")</f>
        <v/>
      </c>
      <c r="M175">
        <f>IFERROR(IF(ISNUMBER(INDEX(SPPR!$E:$Z,MATCH($A175,SPPR!$A:$A,0),10)),$C175*INDEX(SPPR!$E:$Z,MATCH($A175,SPPR!$A:$A,0),10),""),"")</f>
        <v/>
      </c>
      <c r="N175">
        <f>IFERROR(IF(ISNUMBER(INDEX(SPPR!$E:$Z,MATCH($A175,SPPR!$A:$A,0),11)),$C175*INDEX(SPPR!$E:$Z,MATCH($A175,SPPR!$A:$A,0),11),""),"")</f>
        <v/>
      </c>
      <c r="O175">
        <f>IFERROR(IF(ISNUMBER(INDEX(SPPR!$E:$Z,MATCH($A175,SPPR!$A:$A,0),12)),$C175*INDEX(SPPR!$E:$Z,MATCH($A175,SPPR!$A:$A,0),12),""),"")</f>
        <v/>
      </c>
      <c r="P175">
        <f>IFERROR(IF(ISNUMBER(INDEX(SPPR!$E:$Z,MATCH($A175,SPPR!$A:$A,0),13)),$C175*INDEX(SPPR!$E:$Z,MATCH($A175,SPPR!$A:$A,0),13),""),"")</f>
        <v/>
      </c>
      <c r="Q175">
        <f>IFERROR(IF(ISNUMBER(INDEX(SPPR!$E:$Z,MATCH($A175,SPPR!$A:$A,0),14)),$C175*INDEX(SPPR!$E:$Z,MATCH($A175,SPPR!$A:$A,0),14),""),"")</f>
        <v/>
      </c>
      <c r="R175">
        <f>IFERROR(IF(ISNUMBER(INDEX(SPPR!$E:$Z,MATCH($A175,SPPR!$A:$A,0),15)),$C175*INDEX(SPPR!$E:$Z,MATCH($A175,SPPR!$A:$A,0),15),""),"")</f>
        <v/>
      </c>
      <c r="S175">
        <f>IFERROR(IF(ISNUMBER(INDEX(SPPR!$E:$Z,MATCH($A175,SPPR!$A:$A,0),16)),$C175*INDEX(SPPR!$E:$Z,MATCH($A175,SPPR!$A:$A,0),16),""),"")</f>
        <v/>
      </c>
      <c r="T175">
        <f>IFERROR(IF(ISNUMBER(INDEX(SPPR!$E:$Z,MATCH($A175,SPPR!$A:$A,0),17)),$C175*INDEX(SPPR!$E:$Z,MATCH($A175,SPPR!$A:$A,0),17),""),"")</f>
        <v/>
      </c>
      <c r="U175">
        <f>IFERROR(IF(ISNUMBER(INDEX(SPPR!$E:$Z,MATCH($A175,SPPR!$A:$A,0),18)),$C175*INDEX(SPPR!$E:$Z,MATCH($A175,SPPR!$A:$A,0),18),""),"")</f>
        <v/>
      </c>
      <c r="V175">
        <f>IFERROR(IF(ISNUMBER(INDEX(SPPR!$E:$Z,MATCH($A175,SPPR!$A:$A,0),19)),$C175*INDEX(SPPR!$E:$Z,MATCH($A175,SPPR!$A:$A,0),19),""),"")</f>
        <v/>
      </c>
      <c r="W175">
        <f>IFERROR(IF(ISNUMBER(INDEX(SPPR!$E:$Z,MATCH($A175,SPPR!$A:$A,0),20)),$C175*INDEX(SPPR!$E:$Z,MATCH($A175,SPPR!$A:$A,0),20),""),"")</f>
        <v/>
      </c>
      <c r="X175">
        <f>IFERROR(IF(ISNUMBER(INDEX(SPPR!$E:$Z,MATCH($A175,SPPR!$A:$A,0),21)),$C175*INDEX(SPPR!$E:$Z,MATCH($A175,SPPR!$A:$A,0),21),""),"")</f>
        <v/>
      </c>
      <c r="Y175">
        <f>IFERROR(IF(ISNUMBER(INDEX(SPPR!$E:$Z,MATCH($A175,SPPR!$A:$A,0),22)),$C175*INDEX(SPPR!$E:$Z,MATCH($A175,SPPR!$A:$A,0),22),""),"")</f>
        <v/>
      </c>
    </row>
    <row r="176">
      <c r="A176" t="inlineStr">
        <is>
          <t>Scyllaridae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IFERROR(IF(ISNUMBER(INDEX(SPPR!$E:$Z,MATCH($A176,SPPR!$A:$A,0),1)),$C176*INDEX(SPPR!$E:$Z,MATCH($A176,SPPR!$A:$A,0),1),""),"")</f>
        <v/>
      </c>
      <c r="E176">
        <f>IFERROR(IF(ISNUMBER(INDEX(SPPR!$E:$Z,MATCH($A176,SPPR!$A:$A,0),2)),$C176*INDEX(SPPR!$E:$Z,MATCH($A176,SPPR!$A:$A,0),2),""),"")</f>
        <v/>
      </c>
      <c r="F176">
        <f>IFERROR(IF(ISNUMBER(INDEX(SPPR!$E:$Z,MATCH($A176,SPPR!$A:$A,0),3)),$C176*INDEX(SPPR!$E:$Z,MATCH($A176,SPPR!$A:$A,0),3),""),"")</f>
        <v/>
      </c>
      <c r="G176">
        <f>IFERROR(IF(ISNUMBER(INDEX(SPPR!$E:$Z,MATCH($A176,SPPR!$A:$A,0),4)),$C176*INDEX(SPPR!$E:$Z,MATCH($A176,SPPR!$A:$A,0),4),""),"")</f>
        <v/>
      </c>
      <c r="H176">
        <f>IFERROR(IF(ISNUMBER(INDEX(SPPR!$E:$Z,MATCH($A176,SPPR!$A:$A,0),5)),$C176*INDEX(SPPR!$E:$Z,MATCH($A176,SPPR!$A:$A,0),5),""),"")</f>
        <v/>
      </c>
      <c r="I176">
        <f>IFERROR(IF(ISNUMBER(INDEX(SPPR!$E:$Z,MATCH($A176,SPPR!$A:$A,0),6)),$C176*INDEX(SPPR!$E:$Z,MATCH($A176,SPPR!$A:$A,0),6),""),"")</f>
        <v/>
      </c>
      <c r="J176">
        <f>IFERROR(IF(ISNUMBER(INDEX(SPPR!$E:$Z,MATCH($A176,SPPR!$A:$A,0),7)),$C176*INDEX(SPPR!$E:$Z,MATCH($A176,SPPR!$A:$A,0),7),""),"")</f>
        <v/>
      </c>
      <c r="K176">
        <f>IFERROR(IF(ISNUMBER(INDEX(SPPR!$E:$Z,MATCH($A176,SPPR!$A:$A,0),8)),$C176*INDEX(SPPR!$E:$Z,MATCH($A176,SPPR!$A:$A,0),8),""),"")</f>
        <v/>
      </c>
      <c r="L176">
        <f>IFERROR(IF(ISNUMBER(INDEX(SPPR!$E:$Z,MATCH($A176,SPPR!$A:$A,0),9)),$C176*INDEX(SPPR!$E:$Z,MATCH($A176,SPPR!$A:$A,0),9),""),"")</f>
        <v/>
      </c>
      <c r="M176">
        <f>IFERROR(IF(ISNUMBER(INDEX(SPPR!$E:$Z,MATCH($A176,SPPR!$A:$A,0),10)),$C176*INDEX(SPPR!$E:$Z,MATCH($A176,SPPR!$A:$A,0),10),""),"")</f>
        <v/>
      </c>
      <c r="N176">
        <f>IFERROR(IF(ISNUMBER(INDEX(SPPR!$E:$Z,MATCH($A176,SPPR!$A:$A,0),11)),$C176*INDEX(SPPR!$E:$Z,MATCH($A176,SPPR!$A:$A,0),11),""),"")</f>
        <v/>
      </c>
      <c r="O176">
        <f>IFERROR(IF(ISNUMBER(INDEX(SPPR!$E:$Z,MATCH($A176,SPPR!$A:$A,0),12)),$C176*INDEX(SPPR!$E:$Z,MATCH($A176,SPPR!$A:$A,0),12),""),"")</f>
        <v/>
      </c>
      <c r="P176">
        <f>IFERROR(IF(ISNUMBER(INDEX(SPPR!$E:$Z,MATCH($A176,SPPR!$A:$A,0),13)),$C176*INDEX(SPPR!$E:$Z,MATCH($A176,SPPR!$A:$A,0),13),""),"")</f>
        <v/>
      </c>
      <c r="Q176">
        <f>IFERROR(IF(ISNUMBER(INDEX(SPPR!$E:$Z,MATCH($A176,SPPR!$A:$A,0),14)),$C176*INDEX(SPPR!$E:$Z,MATCH($A176,SPPR!$A:$A,0),14),""),"")</f>
        <v/>
      </c>
      <c r="R176">
        <f>IFERROR(IF(ISNUMBER(INDEX(SPPR!$E:$Z,MATCH($A176,SPPR!$A:$A,0),15)),$C176*INDEX(SPPR!$E:$Z,MATCH($A176,SPPR!$A:$A,0),15),""),"")</f>
        <v/>
      </c>
      <c r="S176">
        <f>IFERROR(IF(ISNUMBER(INDEX(SPPR!$E:$Z,MATCH($A176,SPPR!$A:$A,0),16)),$C176*INDEX(SPPR!$E:$Z,MATCH($A176,SPPR!$A:$A,0),16),""),"")</f>
        <v/>
      </c>
      <c r="T176">
        <f>IFERROR(IF(ISNUMBER(INDEX(SPPR!$E:$Z,MATCH($A176,SPPR!$A:$A,0),17)),$C176*INDEX(SPPR!$E:$Z,MATCH($A176,SPPR!$A:$A,0),17),""),"")</f>
        <v/>
      </c>
      <c r="U176">
        <f>IFERROR(IF(ISNUMBER(INDEX(SPPR!$E:$Z,MATCH($A176,SPPR!$A:$A,0),18)),$C176*INDEX(SPPR!$E:$Z,MATCH($A176,SPPR!$A:$A,0),18),""),"")</f>
        <v/>
      </c>
      <c r="V176">
        <f>IFERROR(IF(ISNUMBER(INDEX(SPPR!$E:$Z,MATCH($A176,SPPR!$A:$A,0),19)),$C176*INDEX(SPPR!$E:$Z,MATCH($A176,SPPR!$A:$A,0),19),""),"")</f>
        <v/>
      </c>
      <c r="W176">
        <f>IFERROR(IF(ISNUMBER(INDEX(SPPR!$E:$Z,MATCH($A176,SPPR!$A:$A,0),20)),$C176*INDEX(SPPR!$E:$Z,MATCH($A176,SPPR!$A:$A,0),20),""),"")</f>
        <v/>
      </c>
      <c r="X176">
        <f>IFERROR(IF(ISNUMBER(INDEX(SPPR!$E:$Z,MATCH($A176,SPPR!$A:$A,0),21)),$C176*INDEX(SPPR!$E:$Z,MATCH($A176,SPPR!$A:$A,0),21),""),"")</f>
        <v/>
      </c>
      <c r="Y176">
        <f>IFERROR(IF(ISNUMBER(INDEX(SPPR!$E:$Z,MATCH($A176,SPPR!$A:$A,0),22)),$C176*INDEX(SPPR!$E:$Z,MATCH($A176,SPPR!$A:$A,0),22),""),"")</f>
        <v/>
      </c>
    </row>
    <row r="177">
      <c r="A177" t="inlineStr">
        <is>
          <t>Sphyraenidae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IFERROR(IF(ISNUMBER(INDEX(SPPR!$E:$Z,MATCH($A177,SPPR!$A:$A,0),1)),$C177*INDEX(SPPR!$E:$Z,MATCH($A177,SPPR!$A:$A,0),1),""),"")</f>
        <v/>
      </c>
      <c r="E177">
        <f>IFERROR(IF(ISNUMBER(INDEX(SPPR!$E:$Z,MATCH($A177,SPPR!$A:$A,0),2)),$C177*INDEX(SPPR!$E:$Z,MATCH($A177,SPPR!$A:$A,0),2),""),"")</f>
        <v/>
      </c>
      <c r="F177">
        <f>IFERROR(IF(ISNUMBER(INDEX(SPPR!$E:$Z,MATCH($A177,SPPR!$A:$A,0),3)),$C177*INDEX(SPPR!$E:$Z,MATCH($A177,SPPR!$A:$A,0),3),""),"")</f>
        <v/>
      </c>
      <c r="G177">
        <f>IFERROR(IF(ISNUMBER(INDEX(SPPR!$E:$Z,MATCH($A177,SPPR!$A:$A,0),4)),$C177*INDEX(SPPR!$E:$Z,MATCH($A177,SPPR!$A:$A,0),4),""),"")</f>
        <v/>
      </c>
      <c r="H177">
        <f>IFERROR(IF(ISNUMBER(INDEX(SPPR!$E:$Z,MATCH($A177,SPPR!$A:$A,0),5)),$C177*INDEX(SPPR!$E:$Z,MATCH($A177,SPPR!$A:$A,0),5),""),"")</f>
        <v/>
      </c>
      <c r="I177">
        <f>IFERROR(IF(ISNUMBER(INDEX(SPPR!$E:$Z,MATCH($A177,SPPR!$A:$A,0),6)),$C177*INDEX(SPPR!$E:$Z,MATCH($A177,SPPR!$A:$A,0),6),""),"")</f>
        <v/>
      </c>
      <c r="J177">
        <f>IFERROR(IF(ISNUMBER(INDEX(SPPR!$E:$Z,MATCH($A177,SPPR!$A:$A,0),7)),$C177*INDEX(SPPR!$E:$Z,MATCH($A177,SPPR!$A:$A,0),7),""),"")</f>
        <v/>
      </c>
      <c r="K177">
        <f>IFERROR(IF(ISNUMBER(INDEX(SPPR!$E:$Z,MATCH($A177,SPPR!$A:$A,0),8)),$C177*INDEX(SPPR!$E:$Z,MATCH($A177,SPPR!$A:$A,0),8),""),"")</f>
        <v/>
      </c>
      <c r="L177">
        <f>IFERROR(IF(ISNUMBER(INDEX(SPPR!$E:$Z,MATCH($A177,SPPR!$A:$A,0),9)),$C177*INDEX(SPPR!$E:$Z,MATCH($A177,SPPR!$A:$A,0),9),""),"")</f>
        <v/>
      </c>
      <c r="M177">
        <f>IFERROR(IF(ISNUMBER(INDEX(SPPR!$E:$Z,MATCH($A177,SPPR!$A:$A,0),10)),$C177*INDEX(SPPR!$E:$Z,MATCH($A177,SPPR!$A:$A,0),10),""),"")</f>
        <v/>
      </c>
      <c r="N177">
        <f>IFERROR(IF(ISNUMBER(INDEX(SPPR!$E:$Z,MATCH($A177,SPPR!$A:$A,0),11)),$C177*INDEX(SPPR!$E:$Z,MATCH($A177,SPPR!$A:$A,0),11),""),"")</f>
        <v/>
      </c>
      <c r="O177">
        <f>IFERROR(IF(ISNUMBER(INDEX(SPPR!$E:$Z,MATCH($A177,SPPR!$A:$A,0),12)),$C177*INDEX(SPPR!$E:$Z,MATCH($A177,SPPR!$A:$A,0),12),""),"")</f>
        <v/>
      </c>
      <c r="P177">
        <f>IFERROR(IF(ISNUMBER(INDEX(SPPR!$E:$Z,MATCH($A177,SPPR!$A:$A,0),13)),$C177*INDEX(SPPR!$E:$Z,MATCH($A177,SPPR!$A:$A,0),13),""),"")</f>
        <v/>
      </c>
      <c r="Q177">
        <f>IFERROR(IF(ISNUMBER(INDEX(SPPR!$E:$Z,MATCH($A177,SPPR!$A:$A,0),14)),$C177*INDEX(SPPR!$E:$Z,MATCH($A177,SPPR!$A:$A,0),14),""),"")</f>
        <v/>
      </c>
      <c r="R177">
        <f>IFERROR(IF(ISNUMBER(INDEX(SPPR!$E:$Z,MATCH($A177,SPPR!$A:$A,0),15)),$C177*INDEX(SPPR!$E:$Z,MATCH($A177,SPPR!$A:$A,0),15),""),"")</f>
        <v/>
      </c>
      <c r="S177">
        <f>IFERROR(IF(ISNUMBER(INDEX(SPPR!$E:$Z,MATCH($A177,SPPR!$A:$A,0),16)),$C177*INDEX(SPPR!$E:$Z,MATCH($A177,SPPR!$A:$A,0),16),""),"")</f>
        <v/>
      </c>
      <c r="T177">
        <f>IFERROR(IF(ISNUMBER(INDEX(SPPR!$E:$Z,MATCH($A177,SPPR!$A:$A,0),17)),$C177*INDEX(SPPR!$E:$Z,MATCH($A177,SPPR!$A:$A,0),17),""),"")</f>
        <v/>
      </c>
      <c r="U177">
        <f>IFERROR(IF(ISNUMBER(INDEX(SPPR!$E:$Z,MATCH($A177,SPPR!$A:$A,0),18)),$C177*INDEX(SPPR!$E:$Z,MATCH($A177,SPPR!$A:$A,0),18),""),"")</f>
        <v/>
      </c>
      <c r="V177">
        <f>IFERROR(IF(ISNUMBER(INDEX(SPPR!$E:$Z,MATCH($A177,SPPR!$A:$A,0),19)),$C177*INDEX(SPPR!$E:$Z,MATCH($A177,SPPR!$A:$A,0),19),""),"")</f>
        <v/>
      </c>
      <c r="W177">
        <f>IFERROR(IF(ISNUMBER(INDEX(SPPR!$E:$Z,MATCH($A177,SPPR!$A:$A,0),20)),$C177*INDEX(SPPR!$E:$Z,MATCH($A177,SPPR!$A:$A,0),20),""),"")</f>
        <v/>
      </c>
      <c r="X177">
        <f>IFERROR(IF(ISNUMBER(INDEX(SPPR!$E:$Z,MATCH($A177,SPPR!$A:$A,0),21)),$C177*INDEX(SPPR!$E:$Z,MATCH($A177,SPPR!$A:$A,0),21),""),"")</f>
        <v/>
      </c>
      <c r="Y177">
        <f>IFERROR(IF(ISNUMBER(INDEX(SPPR!$E:$Z,MATCH($A177,SPPR!$A:$A,0),22)),$C177*INDEX(SPPR!$E:$Z,MATCH($A177,SPPR!$A:$A,0),22),""),"")</f>
        <v/>
      </c>
    </row>
    <row r="178">
      <c r="A178" t="inlineStr">
        <is>
          <t>Gerres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IFERROR(IF(ISNUMBER(INDEX(SPPR!$E:$Z,MATCH($A178,SPPR!$A:$A,0),1)),$C178*INDEX(SPPR!$E:$Z,MATCH($A178,SPPR!$A:$A,0),1),""),"")</f>
        <v/>
      </c>
      <c r="E178">
        <f>IFERROR(IF(ISNUMBER(INDEX(SPPR!$E:$Z,MATCH($A178,SPPR!$A:$A,0),2)),$C178*INDEX(SPPR!$E:$Z,MATCH($A178,SPPR!$A:$A,0),2),""),"")</f>
        <v/>
      </c>
      <c r="F178">
        <f>IFERROR(IF(ISNUMBER(INDEX(SPPR!$E:$Z,MATCH($A178,SPPR!$A:$A,0),3)),$C178*INDEX(SPPR!$E:$Z,MATCH($A178,SPPR!$A:$A,0),3),""),"")</f>
        <v/>
      </c>
      <c r="G178">
        <f>IFERROR(IF(ISNUMBER(INDEX(SPPR!$E:$Z,MATCH($A178,SPPR!$A:$A,0),4)),$C178*INDEX(SPPR!$E:$Z,MATCH($A178,SPPR!$A:$A,0),4),""),"")</f>
        <v/>
      </c>
      <c r="H178">
        <f>IFERROR(IF(ISNUMBER(INDEX(SPPR!$E:$Z,MATCH($A178,SPPR!$A:$A,0),5)),$C178*INDEX(SPPR!$E:$Z,MATCH($A178,SPPR!$A:$A,0),5),""),"")</f>
        <v/>
      </c>
      <c r="I178">
        <f>IFERROR(IF(ISNUMBER(INDEX(SPPR!$E:$Z,MATCH($A178,SPPR!$A:$A,0),6)),$C178*INDEX(SPPR!$E:$Z,MATCH($A178,SPPR!$A:$A,0),6),""),"")</f>
        <v/>
      </c>
      <c r="J178">
        <f>IFERROR(IF(ISNUMBER(INDEX(SPPR!$E:$Z,MATCH($A178,SPPR!$A:$A,0),7)),$C178*INDEX(SPPR!$E:$Z,MATCH($A178,SPPR!$A:$A,0),7),""),"")</f>
        <v/>
      </c>
      <c r="K178">
        <f>IFERROR(IF(ISNUMBER(INDEX(SPPR!$E:$Z,MATCH($A178,SPPR!$A:$A,0),8)),$C178*INDEX(SPPR!$E:$Z,MATCH($A178,SPPR!$A:$A,0),8),""),"")</f>
        <v/>
      </c>
      <c r="L178">
        <f>IFERROR(IF(ISNUMBER(INDEX(SPPR!$E:$Z,MATCH($A178,SPPR!$A:$A,0),9)),$C178*INDEX(SPPR!$E:$Z,MATCH($A178,SPPR!$A:$A,0),9),""),"")</f>
        <v/>
      </c>
      <c r="M178">
        <f>IFERROR(IF(ISNUMBER(INDEX(SPPR!$E:$Z,MATCH($A178,SPPR!$A:$A,0),10)),$C178*INDEX(SPPR!$E:$Z,MATCH($A178,SPPR!$A:$A,0),10),""),"")</f>
        <v/>
      </c>
      <c r="N178">
        <f>IFERROR(IF(ISNUMBER(INDEX(SPPR!$E:$Z,MATCH($A178,SPPR!$A:$A,0),11)),$C178*INDEX(SPPR!$E:$Z,MATCH($A178,SPPR!$A:$A,0),11),""),"")</f>
        <v/>
      </c>
      <c r="O178">
        <f>IFERROR(IF(ISNUMBER(INDEX(SPPR!$E:$Z,MATCH($A178,SPPR!$A:$A,0),12)),$C178*INDEX(SPPR!$E:$Z,MATCH($A178,SPPR!$A:$A,0),12),""),"")</f>
        <v/>
      </c>
      <c r="P178">
        <f>IFERROR(IF(ISNUMBER(INDEX(SPPR!$E:$Z,MATCH($A178,SPPR!$A:$A,0),13)),$C178*INDEX(SPPR!$E:$Z,MATCH($A178,SPPR!$A:$A,0),13),""),"")</f>
        <v/>
      </c>
      <c r="Q178">
        <f>IFERROR(IF(ISNUMBER(INDEX(SPPR!$E:$Z,MATCH($A178,SPPR!$A:$A,0),14)),$C178*INDEX(SPPR!$E:$Z,MATCH($A178,SPPR!$A:$A,0),14),""),"")</f>
        <v/>
      </c>
      <c r="R178">
        <f>IFERROR(IF(ISNUMBER(INDEX(SPPR!$E:$Z,MATCH($A178,SPPR!$A:$A,0),15)),$C178*INDEX(SPPR!$E:$Z,MATCH($A178,SPPR!$A:$A,0),15),""),"")</f>
        <v/>
      </c>
      <c r="S178">
        <f>IFERROR(IF(ISNUMBER(INDEX(SPPR!$E:$Z,MATCH($A178,SPPR!$A:$A,0),16)),$C178*INDEX(SPPR!$E:$Z,MATCH($A178,SPPR!$A:$A,0),16),""),"")</f>
        <v/>
      </c>
      <c r="T178">
        <f>IFERROR(IF(ISNUMBER(INDEX(SPPR!$E:$Z,MATCH($A178,SPPR!$A:$A,0),17)),$C178*INDEX(SPPR!$E:$Z,MATCH($A178,SPPR!$A:$A,0),17),""),"")</f>
        <v/>
      </c>
      <c r="U178">
        <f>IFERROR(IF(ISNUMBER(INDEX(SPPR!$E:$Z,MATCH($A178,SPPR!$A:$A,0),18)),$C178*INDEX(SPPR!$E:$Z,MATCH($A178,SPPR!$A:$A,0),18),""),"")</f>
        <v/>
      </c>
      <c r="V178">
        <f>IFERROR(IF(ISNUMBER(INDEX(SPPR!$E:$Z,MATCH($A178,SPPR!$A:$A,0),19)),$C178*INDEX(SPPR!$E:$Z,MATCH($A178,SPPR!$A:$A,0),19),""),"")</f>
        <v/>
      </c>
      <c r="W178">
        <f>IFERROR(IF(ISNUMBER(INDEX(SPPR!$E:$Z,MATCH($A178,SPPR!$A:$A,0),20)),$C178*INDEX(SPPR!$E:$Z,MATCH($A178,SPPR!$A:$A,0),20),""),"")</f>
        <v/>
      </c>
      <c r="X178">
        <f>IFERROR(IF(ISNUMBER(INDEX(SPPR!$E:$Z,MATCH($A178,SPPR!$A:$A,0),21)),$C178*INDEX(SPPR!$E:$Z,MATCH($A178,SPPR!$A:$A,0),21),""),"")</f>
        <v/>
      </c>
      <c r="Y178">
        <f>IFERROR(IF(ISNUMBER(INDEX(SPPR!$E:$Z,MATCH($A178,SPPR!$A:$A,0),22)),$C178*INDEX(SPPR!$E:$Z,MATCH($A178,SPPR!$A:$A,0),22),""),"")</f>
        <v/>
      </c>
    </row>
    <row r="179">
      <c r="A179" t="inlineStr">
        <is>
          <t>Xiphias gladius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IFERROR(IF(ISNUMBER(INDEX(SPPR!$E:$Z,MATCH($A179,SPPR!$A:$A,0),1)),$C179*INDEX(SPPR!$E:$Z,MATCH($A179,SPPR!$A:$A,0),1),""),"")</f>
        <v/>
      </c>
      <c r="E179">
        <f>IFERROR(IF(ISNUMBER(INDEX(SPPR!$E:$Z,MATCH($A179,SPPR!$A:$A,0),2)),$C179*INDEX(SPPR!$E:$Z,MATCH($A179,SPPR!$A:$A,0),2),""),"")</f>
        <v/>
      </c>
      <c r="F179">
        <f>IFERROR(IF(ISNUMBER(INDEX(SPPR!$E:$Z,MATCH($A179,SPPR!$A:$A,0),3)),$C179*INDEX(SPPR!$E:$Z,MATCH($A179,SPPR!$A:$A,0),3),""),"")</f>
        <v/>
      </c>
      <c r="G179">
        <f>IFERROR(IF(ISNUMBER(INDEX(SPPR!$E:$Z,MATCH($A179,SPPR!$A:$A,0),4)),$C179*INDEX(SPPR!$E:$Z,MATCH($A179,SPPR!$A:$A,0),4),""),"")</f>
        <v/>
      </c>
      <c r="H179">
        <f>IFERROR(IF(ISNUMBER(INDEX(SPPR!$E:$Z,MATCH($A179,SPPR!$A:$A,0),5)),$C179*INDEX(SPPR!$E:$Z,MATCH($A179,SPPR!$A:$A,0),5),""),"")</f>
        <v/>
      </c>
      <c r="I179">
        <f>IFERROR(IF(ISNUMBER(INDEX(SPPR!$E:$Z,MATCH($A179,SPPR!$A:$A,0),6)),$C179*INDEX(SPPR!$E:$Z,MATCH($A179,SPPR!$A:$A,0),6),""),"")</f>
        <v/>
      </c>
      <c r="J179">
        <f>IFERROR(IF(ISNUMBER(INDEX(SPPR!$E:$Z,MATCH($A179,SPPR!$A:$A,0),7)),$C179*INDEX(SPPR!$E:$Z,MATCH($A179,SPPR!$A:$A,0),7),""),"")</f>
        <v/>
      </c>
      <c r="K179">
        <f>IFERROR(IF(ISNUMBER(INDEX(SPPR!$E:$Z,MATCH($A179,SPPR!$A:$A,0),8)),$C179*INDEX(SPPR!$E:$Z,MATCH($A179,SPPR!$A:$A,0),8),""),"")</f>
        <v/>
      </c>
      <c r="L179">
        <f>IFERROR(IF(ISNUMBER(INDEX(SPPR!$E:$Z,MATCH($A179,SPPR!$A:$A,0),9)),$C179*INDEX(SPPR!$E:$Z,MATCH($A179,SPPR!$A:$A,0),9),""),"")</f>
        <v/>
      </c>
      <c r="M179">
        <f>IFERROR(IF(ISNUMBER(INDEX(SPPR!$E:$Z,MATCH($A179,SPPR!$A:$A,0),10)),$C179*INDEX(SPPR!$E:$Z,MATCH($A179,SPPR!$A:$A,0),10),""),"")</f>
        <v/>
      </c>
      <c r="N179">
        <f>IFERROR(IF(ISNUMBER(INDEX(SPPR!$E:$Z,MATCH($A179,SPPR!$A:$A,0),11)),$C179*INDEX(SPPR!$E:$Z,MATCH($A179,SPPR!$A:$A,0),11),""),"")</f>
        <v/>
      </c>
      <c r="O179">
        <f>IFERROR(IF(ISNUMBER(INDEX(SPPR!$E:$Z,MATCH($A179,SPPR!$A:$A,0),12)),$C179*INDEX(SPPR!$E:$Z,MATCH($A179,SPPR!$A:$A,0),12),""),"")</f>
        <v/>
      </c>
      <c r="P179">
        <f>IFERROR(IF(ISNUMBER(INDEX(SPPR!$E:$Z,MATCH($A179,SPPR!$A:$A,0),13)),$C179*INDEX(SPPR!$E:$Z,MATCH($A179,SPPR!$A:$A,0),13),""),"")</f>
        <v/>
      </c>
      <c r="Q179">
        <f>IFERROR(IF(ISNUMBER(INDEX(SPPR!$E:$Z,MATCH($A179,SPPR!$A:$A,0),14)),$C179*INDEX(SPPR!$E:$Z,MATCH($A179,SPPR!$A:$A,0),14),""),"")</f>
        <v/>
      </c>
      <c r="R179">
        <f>IFERROR(IF(ISNUMBER(INDEX(SPPR!$E:$Z,MATCH($A179,SPPR!$A:$A,0),15)),$C179*INDEX(SPPR!$E:$Z,MATCH($A179,SPPR!$A:$A,0),15),""),"")</f>
        <v/>
      </c>
      <c r="S179">
        <f>IFERROR(IF(ISNUMBER(INDEX(SPPR!$E:$Z,MATCH($A179,SPPR!$A:$A,0),16)),$C179*INDEX(SPPR!$E:$Z,MATCH($A179,SPPR!$A:$A,0),16),""),"")</f>
        <v/>
      </c>
      <c r="T179">
        <f>IFERROR(IF(ISNUMBER(INDEX(SPPR!$E:$Z,MATCH($A179,SPPR!$A:$A,0),17)),$C179*INDEX(SPPR!$E:$Z,MATCH($A179,SPPR!$A:$A,0),17),""),"")</f>
        <v/>
      </c>
      <c r="U179">
        <f>IFERROR(IF(ISNUMBER(INDEX(SPPR!$E:$Z,MATCH($A179,SPPR!$A:$A,0),18)),$C179*INDEX(SPPR!$E:$Z,MATCH($A179,SPPR!$A:$A,0),18),""),"")</f>
        <v/>
      </c>
      <c r="V179">
        <f>IFERROR(IF(ISNUMBER(INDEX(SPPR!$E:$Z,MATCH($A179,SPPR!$A:$A,0),19)),$C179*INDEX(SPPR!$E:$Z,MATCH($A179,SPPR!$A:$A,0),19),""),"")</f>
        <v/>
      </c>
      <c r="W179">
        <f>IFERROR(IF(ISNUMBER(INDEX(SPPR!$E:$Z,MATCH($A179,SPPR!$A:$A,0),20)),$C179*INDEX(SPPR!$E:$Z,MATCH($A179,SPPR!$A:$A,0),20),""),"")</f>
        <v/>
      </c>
      <c r="X179">
        <f>IFERROR(IF(ISNUMBER(INDEX(SPPR!$E:$Z,MATCH($A179,SPPR!$A:$A,0),21)),$C179*INDEX(SPPR!$E:$Z,MATCH($A179,SPPR!$A:$A,0),21),""),"")</f>
        <v/>
      </c>
      <c r="Y179">
        <f>IFERROR(IF(ISNUMBER(INDEX(SPPR!$E:$Z,MATCH($A179,SPPR!$A:$A,0),22)),$C179*INDEX(SPPR!$E:$Z,MATCH($A179,SPPR!$A:$A,0),22),""),"")</f>
        <v/>
      </c>
    </row>
    <row r="180">
      <c r="A180" t="inlineStr">
        <is>
          <t>Haemulidae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IFERROR(IF(ISNUMBER(INDEX(SPPR!$E:$Z,MATCH($A180,SPPR!$A:$A,0),1)),$C180*INDEX(SPPR!$E:$Z,MATCH($A180,SPPR!$A:$A,0),1),""),"")</f>
        <v/>
      </c>
      <c r="E180">
        <f>IFERROR(IF(ISNUMBER(INDEX(SPPR!$E:$Z,MATCH($A180,SPPR!$A:$A,0),2)),$C180*INDEX(SPPR!$E:$Z,MATCH($A180,SPPR!$A:$A,0),2),""),"")</f>
        <v/>
      </c>
      <c r="F180">
        <f>IFERROR(IF(ISNUMBER(INDEX(SPPR!$E:$Z,MATCH($A180,SPPR!$A:$A,0),3)),$C180*INDEX(SPPR!$E:$Z,MATCH($A180,SPPR!$A:$A,0),3),""),"")</f>
        <v/>
      </c>
      <c r="G180">
        <f>IFERROR(IF(ISNUMBER(INDEX(SPPR!$E:$Z,MATCH($A180,SPPR!$A:$A,0),4)),$C180*INDEX(SPPR!$E:$Z,MATCH($A180,SPPR!$A:$A,0),4),""),"")</f>
        <v/>
      </c>
      <c r="H180">
        <f>IFERROR(IF(ISNUMBER(INDEX(SPPR!$E:$Z,MATCH($A180,SPPR!$A:$A,0),5)),$C180*INDEX(SPPR!$E:$Z,MATCH($A180,SPPR!$A:$A,0),5),""),"")</f>
        <v/>
      </c>
      <c r="I180">
        <f>IFERROR(IF(ISNUMBER(INDEX(SPPR!$E:$Z,MATCH($A180,SPPR!$A:$A,0),6)),$C180*INDEX(SPPR!$E:$Z,MATCH($A180,SPPR!$A:$A,0),6),""),"")</f>
        <v/>
      </c>
      <c r="J180">
        <f>IFERROR(IF(ISNUMBER(INDEX(SPPR!$E:$Z,MATCH($A180,SPPR!$A:$A,0),7)),$C180*INDEX(SPPR!$E:$Z,MATCH($A180,SPPR!$A:$A,0),7),""),"")</f>
        <v/>
      </c>
      <c r="K180">
        <f>IFERROR(IF(ISNUMBER(INDEX(SPPR!$E:$Z,MATCH($A180,SPPR!$A:$A,0),8)),$C180*INDEX(SPPR!$E:$Z,MATCH($A180,SPPR!$A:$A,0),8),""),"")</f>
        <v/>
      </c>
      <c r="L180">
        <f>IFERROR(IF(ISNUMBER(INDEX(SPPR!$E:$Z,MATCH($A180,SPPR!$A:$A,0),9)),$C180*INDEX(SPPR!$E:$Z,MATCH($A180,SPPR!$A:$A,0),9),""),"")</f>
        <v/>
      </c>
      <c r="M180">
        <f>IFERROR(IF(ISNUMBER(INDEX(SPPR!$E:$Z,MATCH($A180,SPPR!$A:$A,0),10)),$C180*INDEX(SPPR!$E:$Z,MATCH($A180,SPPR!$A:$A,0),10),""),"")</f>
        <v/>
      </c>
      <c r="N180">
        <f>IFERROR(IF(ISNUMBER(INDEX(SPPR!$E:$Z,MATCH($A180,SPPR!$A:$A,0),11)),$C180*INDEX(SPPR!$E:$Z,MATCH($A180,SPPR!$A:$A,0),11),""),"")</f>
        <v/>
      </c>
      <c r="O180">
        <f>IFERROR(IF(ISNUMBER(INDEX(SPPR!$E:$Z,MATCH($A180,SPPR!$A:$A,0),12)),$C180*INDEX(SPPR!$E:$Z,MATCH($A180,SPPR!$A:$A,0),12),""),"")</f>
        <v/>
      </c>
      <c r="P180">
        <f>IFERROR(IF(ISNUMBER(INDEX(SPPR!$E:$Z,MATCH($A180,SPPR!$A:$A,0),13)),$C180*INDEX(SPPR!$E:$Z,MATCH($A180,SPPR!$A:$A,0),13),""),"")</f>
        <v/>
      </c>
      <c r="Q180">
        <f>IFERROR(IF(ISNUMBER(INDEX(SPPR!$E:$Z,MATCH($A180,SPPR!$A:$A,0),14)),$C180*INDEX(SPPR!$E:$Z,MATCH($A180,SPPR!$A:$A,0),14),""),"")</f>
        <v/>
      </c>
      <c r="R180">
        <f>IFERROR(IF(ISNUMBER(INDEX(SPPR!$E:$Z,MATCH($A180,SPPR!$A:$A,0),15)),$C180*INDEX(SPPR!$E:$Z,MATCH($A180,SPPR!$A:$A,0),15),""),"")</f>
        <v/>
      </c>
      <c r="S180">
        <f>IFERROR(IF(ISNUMBER(INDEX(SPPR!$E:$Z,MATCH($A180,SPPR!$A:$A,0),16)),$C180*INDEX(SPPR!$E:$Z,MATCH($A180,SPPR!$A:$A,0),16),""),"")</f>
        <v/>
      </c>
      <c r="T180">
        <f>IFERROR(IF(ISNUMBER(INDEX(SPPR!$E:$Z,MATCH($A180,SPPR!$A:$A,0),17)),$C180*INDEX(SPPR!$E:$Z,MATCH($A180,SPPR!$A:$A,0),17),""),"")</f>
        <v/>
      </c>
      <c r="U180">
        <f>IFERROR(IF(ISNUMBER(INDEX(SPPR!$E:$Z,MATCH($A180,SPPR!$A:$A,0),18)),$C180*INDEX(SPPR!$E:$Z,MATCH($A180,SPPR!$A:$A,0),18),""),"")</f>
        <v/>
      </c>
      <c r="V180">
        <f>IFERROR(IF(ISNUMBER(INDEX(SPPR!$E:$Z,MATCH($A180,SPPR!$A:$A,0),19)),$C180*INDEX(SPPR!$E:$Z,MATCH($A180,SPPR!$A:$A,0),19),""),"")</f>
        <v/>
      </c>
      <c r="W180">
        <f>IFERROR(IF(ISNUMBER(INDEX(SPPR!$E:$Z,MATCH($A180,SPPR!$A:$A,0),20)),$C180*INDEX(SPPR!$E:$Z,MATCH($A180,SPPR!$A:$A,0),20),""),"")</f>
        <v/>
      </c>
      <c r="X180">
        <f>IFERROR(IF(ISNUMBER(INDEX(SPPR!$E:$Z,MATCH($A180,SPPR!$A:$A,0),21)),$C180*INDEX(SPPR!$E:$Z,MATCH($A180,SPPR!$A:$A,0),21),""),"")</f>
        <v/>
      </c>
      <c r="Y180">
        <f>IFERROR(IF(ISNUMBER(INDEX(SPPR!$E:$Z,MATCH($A180,SPPR!$A:$A,0),22)),$C180*INDEX(SPPR!$E:$Z,MATCH($A180,SPPR!$A:$A,0),22),""),"")</f>
        <v/>
      </c>
    </row>
    <row r="181">
      <c r="A181" t="inlineStr">
        <is>
          <t>Thryssa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IFERROR(IF(ISNUMBER(INDEX(SPPR!$E:$Z,MATCH($A181,SPPR!$A:$A,0),1)),$C181*INDEX(SPPR!$E:$Z,MATCH($A181,SPPR!$A:$A,0),1),""),"")</f>
        <v/>
      </c>
      <c r="E181">
        <f>IFERROR(IF(ISNUMBER(INDEX(SPPR!$E:$Z,MATCH($A181,SPPR!$A:$A,0),2)),$C181*INDEX(SPPR!$E:$Z,MATCH($A181,SPPR!$A:$A,0),2),""),"")</f>
        <v/>
      </c>
      <c r="F181">
        <f>IFERROR(IF(ISNUMBER(INDEX(SPPR!$E:$Z,MATCH($A181,SPPR!$A:$A,0),3)),$C181*INDEX(SPPR!$E:$Z,MATCH($A181,SPPR!$A:$A,0),3),""),"")</f>
        <v/>
      </c>
      <c r="G181">
        <f>IFERROR(IF(ISNUMBER(INDEX(SPPR!$E:$Z,MATCH($A181,SPPR!$A:$A,0),4)),$C181*INDEX(SPPR!$E:$Z,MATCH($A181,SPPR!$A:$A,0),4),""),"")</f>
        <v/>
      </c>
      <c r="H181">
        <f>IFERROR(IF(ISNUMBER(INDEX(SPPR!$E:$Z,MATCH($A181,SPPR!$A:$A,0),5)),$C181*INDEX(SPPR!$E:$Z,MATCH($A181,SPPR!$A:$A,0),5),""),"")</f>
        <v/>
      </c>
      <c r="I181">
        <f>IFERROR(IF(ISNUMBER(INDEX(SPPR!$E:$Z,MATCH($A181,SPPR!$A:$A,0),6)),$C181*INDEX(SPPR!$E:$Z,MATCH($A181,SPPR!$A:$A,0),6),""),"")</f>
        <v/>
      </c>
      <c r="J181">
        <f>IFERROR(IF(ISNUMBER(INDEX(SPPR!$E:$Z,MATCH($A181,SPPR!$A:$A,0),7)),$C181*INDEX(SPPR!$E:$Z,MATCH($A181,SPPR!$A:$A,0),7),""),"")</f>
        <v/>
      </c>
      <c r="K181">
        <f>IFERROR(IF(ISNUMBER(INDEX(SPPR!$E:$Z,MATCH($A181,SPPR!$A:$A,0),8)),$C181*INDEX(SPPR!$E:$Z,MATCH($A181,SPPR!$A:$A,0),8),""),"")</f>
        <v/>
      </c>
      <c r="L181">
        <f>IFERROR(IF(ISNUMBER(INDEX(SPPR!$E:$Z,MATCH($A181,SPPR!$A:$A,0),9)),$C181*INDEX(SPPR!$E:$Z,MATCH($A181,SPPR!$A:$A,0),9),""),"")</f>
        <v/>
      </c>
      <c r="M181">
        <f>IFERROR(IF(ISNUMBER(INDEX(SPPR!$E:$Z,MATCH($A181,SPPR!$A:$A,0),10)),$C181*INDEX(SPPR!$E:$Z,MATCH($A181,SPPR!$A:$A,0),10),""),"")</f>
        <v/>
      </c>
      <c r="N181">
        <f>IFERROR(IF(ISNUMBER(INDEX(SPPR!$E:$Z,MATCH($A181,SPPR!$A:$A,0),11)),$C181*INDEX(SPPR!$E:$Z,MATCH($A181,SPPR!$A:$A,0),11),""),"")</f>
        <v/>
      </c>
      <c r="O181">
        <f>IFERROR(IF(ISNUMBER(INDEX(SPPR!$E:$Z,MATCH($A181,SPPR!$A:$A,0),12)),$C181*INDEX(SPPR!$E:$Z,MATCH($A181,SPPR!$A:$A,0),12),""),"")</f>
        <v/>
      </c>
      <c r="P181">
        <f>IFERROR(IF(ISNUMBER(INDEX(SPPR!$E:$Z,MATCH($A181,SPPR!$A:$A,0),13)),$C181*INDEX(SPPR!$E:$Z,MATCH($A181,SPPR!$A:$A,0),13),""),"")</f>
        <v/>
      </c>
      <c r="Q181">
        <f>IFERROR(IF(ISNUMBER(INDEX(SPPR!$E:$Z,MATCH($A181,SPPR!$A:$A,0),14)),$C181*INDEX(SPPR!$E:$Z,MATCH($A181,SPPR!$A:$A,0),14),""),"")</f>
        <v/>
      </c>
      <c r="R181">
        <f>IFERROR(IF(ISNUMBER(INDEX(SPPR!$E:$Z,MATCH($A181,SPPR!$A:$A,0),15)),$C181*INDEX(SPPR!$E:$Z,MATCH($A181,SPPR!$A:$A,0),15),""),"")</f>
        <v/>
      </c>
      <c r="S181">
        <f>IFERROR(IF(ISNUMBER(INDEX(SPPR!$E:$Z,MATCH($A181,SPPR!$A:$A,0),16)),$C181*INDEX(SPPR!$E:$Z,MATCH($A181,SPPR!$A:$A,0),16),""),"")</f>
        <v/>
      </c>
      <c r="T181">
        <f>IFERROR(IF(ISNUMBER(INDEX(SPPR!$E:$Z,MATCH($A181,SPPR!$A:$A,0),17)),$C181*INDEX(SPPR!$E:$Z,MATCH($A181,SPPR!$A:$A,0),17),""),"")</f>
        <v/>
      </c>
      <c r="U181">
        <f>IFERROR(IF(ISNUMBER(INDEX(SPPR!$E:$Z,MATCH($A181,SPPR!$A:$A,0),18)),$C181*INDEX(SPPR!$E:$Z,MATCH($A181,SPPR!$A:$A,0),18),""),"")</f>
        <v/>
      </c>
      <c r="V181">
        <f>IFERROR(IF(ISNUMBER(INDEX(SPPR!$E:$Z,MATCH($A181,SPPR!$A:$A,0),19)),$C181*INDEX(SPPR!$E:$Z,MATCH($A181,SPPR!$A:$A,0),19),""),"")</f>
        <v/>
      </c>
      <c r="W181">
        <f>IFERROR(IF(ISNUMBER(INDEX(SPPR!$E:$Z,MATCH($A181,SPPR!$A:$A,0),20)),$C181*INDEX(SPPR!$E:$Z,MATCH($A181,SPPR!$A:$A,0),20),""),"")</f>
        <v/>
      </c>
      <c r="X181">
        <f>IFERROR(IF(ISNUMBER(INDEX(SPPR!$E:$Z,MATCH($A181,SPPR!$A:$A,0),21)),$C181*INDEX(SPPR!$E:$Z,MATCH($A181,SPPR!$A:$A,0),21),""),"")</f>
        <v/>
      </c>
      <c r="Y181">
        <f>IFERROR(IF(ISNUMBER(INDEX(SPPR!$E:$Z,MATCH($A181,SPPR!$A:$A,0),22)),$C181*INDEX(SPPR!$E:$Z,MATCH($A181,SPPR!$A:$A,0),22),""),"")</f>
        <v/>
      </c>
    </row>
    <row r="182">
      <c r="A182" t="inlineStr">
        <is>
          <t>Hilsa kelee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IFERROR(IF(ISNUMBER(INDEX(SPPR!$E:$Z,MATCH($A182,SPPR!$A:$A,0),1)),$C182*INDEX(SPPR!$E:$Z,MATCH($A182,SPPR!$A:$A,0),1),""),"")</f>
        <v/>
      </c>
      <c r="E182">
        <f>IFERROR(IF(ISNUMBER(INDEX(SPPR!$E:$Z,MATCH($A182,SPPR!$A:$A,0),2)),$C182*INDEX(SPPR!$E:$Z,MATCH($A182,SPPR!$A:$A,0),2),""),"")</f>
        <v/>
      </c>
      <c r="F182">
        <f>IFERROR(IF(ISNUMBER(INDEX(SPPR!$E:$Z,MATCH($A182,SPPR!$A:$A,0),3)),$C182*INDEX(SPPR!$E:$Z,MATCH($A182,SPPR!$A:$A,0),3),""),"")</f>
        <v/>
      </c>
      <c r="G182">
        <f>IFERROR(IF(ISNUMBER(INDEX(SPPR!$E:$Z,MATCH($A182,SPPR!$A:$A,0),4)),$C182*INDEX(SPPR!$E:$Z,MATCH($A182,SPPR!$A:$A,0),4),""),"")</f>
        <v/>
      </c>
      <c r="H182">
        <f>IFERROR(IF(ISNUMBER(INDEX(SPPR!$E:$Z,MATCH($A182,SPPR!$A:$A,0),5)),$C182*INDEX(SPPR!$E:$Z,MATCH($A182,SPPR!$A:$A,0),5),""),"")</f>
        <v/>
      </c>
      <c r="I182">
        <f>IFERROR(IF(ISNUMBER(INDEX(SPPR!$E:$Z,MATCH($A182,SPPR!$A:$A,0),6)),$C182*INDEX(SPPR!$E:$Z,MATCH($A182,SPPR!$A:$A,0),6),""),"")</f>
        <v/>
      </c>
      <c r="J182">
        <f>IFERROR(IF(ISNUMBER(INDEX(SPPR!$E:$Z,MATCH($A182,SPPR!$A:$A,0),7)),$C182*INDEX(SPPR!$E:$Z,MATCH($A182,SPPR!$A:$A,0),7),""),"")</f>
        <v/>
      </c>
      <c r="K182">
        <f>IFERROR(IF(ISNUMBER(INDEX(SPPR!$E:$Z,MATCH($A182,SPPR!$A:$A,0),8)),$C182*INDEX(SPPR!$E:$Z,MATCH($A182,SPPR!$A:$A,0),8),""),"")</f>
        <v/>
      </c>
      <c r="L182">
        <f>IFERROR(IF(ISNUMBER(INDEX(SPPR!$E:$Z,MATCH($A182,SPPR!$A:$A,0),9)),$C182*INDEX(SPPR!$E:$Z,MATCH($A182,SPPR!$A:$A,0),9),""),"")</f>
        <v/>
      </c>
      <c r="M182">
        <f>IFERROR(IF(ISNUMBER(INDEX(SPPR!$E:$Z,MATCH($A182,SPPR!$A:$A,0),10)),$C182*INDEX(SPPR!$E:$Z,MATCH($A182,SPPR!$A:$A,0),10),""),"")</f>
        <v/>
      </c>
      <c r="N182">
        <f>IFERROR(IF(ISNUMBER(INDEX(SPPR!$E:$Z,MATCH($A182,SPPR!$A:$A,0),11)),$C182*INDEX(SPPR!$E:$Z,MATCH($A182,SPPR!$A:$A,0),11),""),"")</f>
        <v/>
      </c>
      <c r="O182">
        <f>IFERROR(IF(ISNUMBER(INDEX(SPPR!$E:$Z,MATCH($A182,SPPR!$A:$A,0),12)),$C182*INDEX(SPPR!$E:$Z,MATCH($A182,SPPR!$A:$A,0),12),""),"")</f>
        <v/>
      </c>
      <c r="P182">
        <f>IFERROR(IF(ISNUMBER(INDEX(SPPR!$E:$Z,MATCH($A182,SPPR!$A:$A,0),13)),$C182*INDEX(SPPR!$E:$Z,MATCH($A182,SPPR!$A:$A,0),13),""),"")</f>
        <v/>
      </c>
      <c r="Q182">
        <f>IFERROR(IF(ISNUMBER(INDEX(SPPR!$E:$Z,MATCH($A182,SPPR!$A:$A,0),14)),$C182*INDEX(SPPR!$E:$Z,MATCH($A182,SPPR!$A:$A,0),14),""),"")</f>
        <v/>
      </c>
      <c r="R182">
        <f>IFERROR(IF(ISNUMBER(INDEX(SPPR!$E:$Z,MATCH($A182,SPPR!$A:$A,0),15)),$C182*INDEX(SPPR!$E:$Z,MATCH($A182,SPPR!$A:$A,0),15),""),"")</f>
        <v/>
      </c>
      <c r="S182">
        <f>IFERROR(IF(ISNUMBER(INDEX(SPPR!$E:$Z,MATCH($A182,SPPR!$A:$A,0),16)),$C182*INDEX(SPPR!$E:$Z,MATCH($A182,SPPR!$A:$A,0),16),""),"")</f>
        <v/>
      </c>
      <c r="T182">
        <f>IFERROR(IF(ISNUMBER(INDEX(SPPR!$E:$Z,MATCH($A182,SPPR!$A:$A,0),17)),$C182*INDEX(SPPR!$E:$Z,MATCH($A182,SPPR!$A:$A,0),17),""),"")</f>
        <v/>
      </c>
      <c r="U182">
        <f>IFERROR(IF(ISNUMBER(INDEX(SPPR!$E:$Z,MATCH($A182,SPPR!$A:$A,0),18)),$C182*INDEX(SPPR!$E:$Z,MATCH($A182,SPPR!$A:$A,0),18),""),"")</f>
        <v/>
      </c>
      <c r="V182">
        <f>IFERROR(IF(ISNUMBER(INDEX(SPPR!$E:$Z,MATCH($A182,SPPR!$A:$A,0),19)),$C182*INDEX(SPPR!$E:$Z,MATCH($A182,SPPR!$A:$A,0),19),""),"")</f>
        <v/>
      </c>
      <c r="W182">
        <f>IFERROR(IF(ISNUMBER(INDEX(SPPR!$E:$Z,MATCH($A182,SPPR!$A:$A,0),20)),$C182*INDEX(SPPR!$E:$Z,MATCH($A182,SPPR!$A:$A,0),20),""),"")</f>
        <v/>
      </c>
      <c r="X182">
        <f>IFERROR(IF(ISNUMBER(INDEX(SPPR!$E:$Z,MATCH($A182,SPPR!$A:$A,0),21)),$C182*INDEX(SPPR!$E:$Z,MATCH($A182,SPPR!$A:$A,0),21),""),"")</f>
        <v/>
      </c>
      <c r="Y182">
        <f>IFERROR(IF(ISNUMBER(INDEX(SPPR!$E:$Z,MATCH($A182,SPPR!$A:$A,0),22)),$C182*INDEX(SPPR!$E:$Z,MATCH($A182,SPPR!$A:$A,0),22),""),"")</f>
        <v/>
      </c>
    </row>
    <row r="183">
      <c r="A183" t="inlineStr">
        <is>
          <t>Octopus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IFERROR(IF(ISNUMBER(INDEX(SPPR!$E:$Z,MATCH($A183,SPPR!$A:$A,0),1)),$C183*INDEX(SPPR!$E:$Z,MATCH($A183,SPPR!$A:$A,0),1),""),"")</f>
        <v/>
      </c>
      <c r="E183">
        <f>IFERROR(IF(ISNUMBER(INDEX(SPPR!$E:$Z,MATCH($A183,SPPR!$A:$A,0),2)),$C183*INDEX(SPPR!$E:$Z,MATCH($A183,SPPR!$A:$A,0),2),""),"")</f>
        <v/>
      </c>
      <c r="F183">
        <f>IFERROR(IF(ISNUMBER(INDEX(SPPR!$E:$Z,MATCH($A183,SPPR!$A:$A,0),3)),$C183*INDEX(SPPR!$E:$Z,MATCH($A183,SPPR!$A:$A,0),3),""),"")</f>
        <v/>
      </c>
      <c r="G183">
        <f>IFERROR(IF(ISNUMBER(INDEX(SPPR!$E:$Z,MATCH($A183,SPPR!$A:$A,0),4)),$C183*INDEX(SPPR!$E:$Z,MATCH($A183,SPPR!$A:$A,0),4),""),"")</f>
        <v/>
      </c>
      <c r="H183">
        <f>IFERROR(IF(ISNUMBER(INDEX(SPPR!$E:$Z,MATCH($A183,SPPR!$A:$A,0),5)),$C183*INDEX(SPPR!$E:$Z,MATCH($A183,SPPR!$A:$A,0),5),""),"")</f>
        <v/>
      </c>
      <c r="I183">
        <f>IFERROR(IF(ISNUMBER(INDEX(SPPR!$E:$Z,MATCH($A183,SPPR!$A:$A,0),6)),$C183*INDEX(SPPR!$E:$Z,MATCH($A183,SPPR!$A:$A,0),6),""),"")</f>
        <v/>
      </c>
      <c r="J183">
        <f>IFERROR(IF(ISNUMBER(INDEX(SPPR!$E:$Z,MATCH($A183,SPPR!$A:$A,0),7)),$C183*INDEX(SPPR!$E:$Z,MATCH($A183,SPPR!$A:$A,0),7),""),"")</f>
        <v/>
      </c>
      <c r="K183">
        <f>IFERROR(IF(ISNUMBER(INDEX(SPPR!$E:$Z,MATCH($A183,SPPR!$A:$A,0),8)),$C183*INDEX(SPPR!$E:$Z,MATCH($A183,SPPR!$A:$A,0),8),""),"")</f>
        <v/>
      </c>
      <c r="L183">
        <f>IFERROR(IF(ISNUMBER(INDEX(SPPR!$E:$Z,MATCH($A183,SPPR!$A:$A,0),9)),$C183*INDEX(SPPR!$E:$Z,MATCH($A183,SPPR!$A:$A,0),9),""),"")</f>
        <v/>
      </c>
      <c r="M183">
        <f>IFERROR(IF(ISNUMBER(INDEX(SPPR!$E:$Z,MATCH($A183,SPPR!$A:$A,0),10)),$C183*INDEX(SPPR!$E:$Z,MATCH($A183,SPPR!$A:$A,0),10),""),"")</f>
        <v/>
      </c>
      <c r="N183">
        <f>IFERROR(IF(ISNUMBER(INDEX(SPPR!$E:$Z,MATCH($A183,SPPR!$A:$A,0),11)),$C183*INDEX(SPPR!$E:$Z,MATCH($A183,SPPR!$A:$A,0),11),""),"")</f>
        <v/>
      </c>
      <c r="O183">
        <f>IFERROR(IF(ISNUMBER(INDEX(SPPR!$E:$Z,MATCH($A183,SPPR!$A:$A,0),12)),$C183*INDEX(SPPR!$E:$Z,MATCH($A183,SPPR!$A:$A,0),12),""),"")</f>
        <v/>
      </c>
      <c r="P183">
        <f>IFERROR(IF(ISNUMBER(INDEX(SPPR!$E:$Z,MATCH($A183,SPPR!$A:$A,0),13)),$C183*INDEX(SPPR!$E:$Z,MATCH($A183,SPPR!$A:$A,0),13),""),"")</f>
        <v/>
      </c>
      <c r="Q183">
        <f>IFERROR(IF(ISNUMBER(INDEX(SPPR!$E:$Z,MATCH($A183,SPPR!$A:$A,0),14)),$C183*INDEX(SPPR!$E:$Z,MATCH($A183,SPPR!$A:$A,0),14),""),"")</f>
        <v/>
      </c>
      <c r="R183">
        <f>IFERROR(IF(ISNUMBER(INDEX(SPPR!$E:$Z,MATCH($A183,SPPR!$A:$A,0),15)),$C183*INDEX(SPPR!$E:$Z,MATCH($A183,SPPR!$A:$A,0),15),""),"")</f>
        <v/>
      </c>
      <c r="S183">
        <f>IFERROR(IF(ISNUMBER(INDEX(SPPR!$E:$Z,MATCH($A183,SPPR!$A:$A,0),16)),$C183*INDEX(SPPR!$E:$Z,MATCH($A183,SPPR!$A:$A,0),16),""),"")</f>
        <v/>
      </c>
      <c r="T183">
        <f>IFERROR(IF(ISNUMBER(INDEX(SPPR!$E:$Z,MATCH($A183,SPPR!$A:$A,0),17)),$C183*INDEX(SPPR!$E:$Z,MATCH($A183,SPPR!$A:$A,0),17),""),"")</f>
        <v/>
      </c>
      <c r="U183">
        <f>IFERROR(IF(ISNUMBER(INDEX(SPPR!$E:$Z,MATCH($A183,SPPR!$A:$A,0),18)),$C183*INDEX(SPPR!$E:$Z,MATCH($A183,SPPR!$A:$A,0),18),""),"")</f>
        <v/>
      </c>
      <c r="V183">
        <f>IFERROR(IF(ISNUMBER(INDEX(SPPR!$E:$Z,MATCH($A183,SPPR!$A:$A,0),19)),$C183*INDEX(SPPR!$E:$Z,MATCH($A183,SPPR!$A:$A,0),19),""),"")</f>
        <v/>
      </c>
      <c r="W183">
        <f>IFERROR(IF(ISNUMBER(INDEX(SPPR!$E:$Z,MATCH($A183,SPPR!$A:$A,0),20)),$C183*INDEX(SPPR!$E:$Z,MATCH($A183,SPPR!$A:$A,0),20),""),"")</f>
        <v/>
      </c>
      <c r="X183">
        <f>IFERROR(IF(ISNUMBER(INDEX(SPPR!$E:$Z,MATCH($A183,SPPR!$A:$A,0),21)),$C183*INDEX(SPPR!$E:$Z,MATCH($A183,SPPR!$A:$A,0),21),""),"")</f>
        <v/>
      </c>
      <c r="Y183">
        <f>IFERROR(IF(ISNUMBER(INDEX(SPPR!$E:$Z,MATCH($A183,SPPR!$A:$A,0),22)),$C183*INDEX(SPPR!$E:$Z,MATCH($A183,SPPR!$A:$A,0),22),""),"")</f>
        <v/>
      </c>
    </row>
    <row r="184">
      <c r="A184" t="inlineStr">
        <is>
          <t>Lethrinidae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IFERROR(IF(ISNUMBER(INDEX(SPPR!$E:$Z,MATCH($A184,SPPR!$A:$A,0),1)),$C184*INDEX(SPPR!$E:$Z,MATCH($A184,SPPR!$A:$A,0),1),""),"")</f>
        <v/>
      </c>
      <c r="E184">
        <f>IFERROR(IF(ISNUMBER(INDEX(SPPR!$E:$Z,MATCH($A184,SPPR!$A:$A,0),2)),$C184*INDEX(SPPR!$E:$Z,MATCH($A184,SPPR!$A:$A,0),2),""),"")</f>
        <v/>
      </c>
      <c r="F184">
        <f>IFERROR(IF(ISNUMBER(INDEX(SPPR!$E:$Z,MATCH($A184,SPPR!$A:$A,0),3)),$C184*INDEX(SPPR!$E:$Z,MATCH($A184,SPPR!$A:$A,0),3),""),"")</f>
        <v/>
      </c>
      <c r="G184">
        <f>IFERROR(IF(ISNUMBER(INDEX(SPPR!$E:$Z,MATCH($A184,SPPR!$A:$A,0),4)),$C184*INDEX(SPPR!$E:$Z,MATCH($A184,SPPR!$A:$A,0),4),""),"")</f>
        <v/>
      </c>
      <c r="H184">
        <f>IFERROR(IF(ISNUMBER(INDEX(SPPR!$E:$Z,MATCH($A184,SPPR!$A:$A,0),5)),$C184*INDEX(SPPR!$E:$Z,MATCH($A184,SPPR!$A:$A,0),5),""),"")</f>
        <v/>
      </c>
      <c r="I184">
        <f>IFERROR(IF(ISNUMBER(INDEX(SPPR!$E:$Z,MATCH($A184,SPPR!$A:$A,0),6)),$C184*INDEX(SPPR!$E:$Z,MATCH($A184,SPPR!$A:$A,0),6),""),"")</f>
        <v/>
      </c>
      <c r="J184">
        <f>IFERROR(IF(ISNUMBER(INDEX(SPPR!$E:$Z,MATCH($A184,SPPR!$A:$A,0),7)),$C184*INDEX(SPPR!$E:$Z,MATCH($A184,SPPR!$A:$A,0),7),""),"")</f>
        <v/>
      </c>
      <c r="K184">
        <f>IFERROR(IF(ISNUMBER(INDEX(SPPR!$E:$Z,MATCH($A184,SPPR!$A:$A,0),8)),$C184*INDEX(SPPR!$E:$Z,MATCH($A184,SPPR!$A:$A,0),8),""),"")</f>
        <v/>
      </c>
      <c r="L184">
        <f>IFERROR(IF(ISNUMBER(INDEX(SPPR!$E:$Z,MATCH($A184,SPPR!$A:$A,0),9)),$C184*INDEX(SPPR!$E:$Z,MATCH($A184,SPPR!$A:$A,0),9),""),"")</f>
        <v/>
      </c>
      <c r="M184">
        <f>IFERROR(IF(ISNUMBER(INDEX(SPPR!$E:$Z,MATCH($A184,SPPR!$A:$A,0),10)),$C184*INDEX(SPPR!$E:$Z,MATCH($A184,SPPR!$A:$A,0),10),""),"")</f>
        <v/>
      </c>
      <c r="N184">
        <f>IFERROR(IF(ISNUMBER(INDEX(SPPR!$E:$Z,MATCH($A184,SPPR!$A:$A,0),11)),$C184*INDEX(SPPR!$E:$Z,MATCH($A184,SPPR!$A:$A,0),11),""),"")</f>
        <v/>
      </c>
      <c r="O184">
        <f>IFERROR(IF(ISNUMBER(INDEX(SPPR!$E:$Z,MATCH($A184,SPPR!$A:$A,0),12)),$C184*INDEX(SPPR!$E:$Z,MATCH($A184,SPPR!$A:$A,0),12),""),"")</f>
        <v/>
      </c>
      <c r="P184">
        <f>IFERROR(IF(ISNUMBER(INDEX(SPPR!$E:$Z,MATCH($A184,SPPR!$A:$A,0),13)),$C184*INDEX(SPPR!$E:$Z,MATCH($A184,SPPR!$A:$A,0),13),""),"")</f>
        <v/>
      </c>
      <c r="Q184">
        <f>IFERROR(IF(ISNUMBER(INDEX(SPPR!$E:$Z,MATCH($A184,SPPR!$A:$A,0),14)),$C184*INDEX(SPPR!$E:$Z,MATCH($A184,SPPR!$A:$A,0),14),""),"")</f>
        <v/>
      </c>
      <c r="R184">
        <f>IFERROR(IF(ISNUMBER(INDEX(SPPR!$E:$Z,MATCH($A184,SPPR!$A:$A,0),15)),$C184*INDEX(SPPR!$E:$Z,MATCH($A184,SPPR!$A:$A,0),15),""),"")</f>
        <v/>
      </c>
      <c r="S184">
        <f>IFERROR(IF(ISNUMBER(INDEX(SPPR!$E:$Z,MATCH($A184,SPPR!$A:$A,0),16)),$C184*INDEX(SPPR!$E:$Z,MATCH($A184,SPPR!$A:$A,0),16),""),"")</f>
        <v/>
      </c>
      <c r="T184">
        <f>IFERROR(IF(ISNUMBER(INDEX(SPPR!$E:$Z,MATCH($A184,SPPR!$A:$A,0),17)),$C184*INDEX(SPPR!$E:$Z,MATCH($A184,SPPR!$A:$A,0),17),""),"")</f>
        <v/>
      </c>
      <c r="U184">
        <f>IFERROR(IF(ISNUMBER(INDEX(SPPR!$E:$Z,MATCH($A184,SPPR!$A:$A,0),18)),$C184*INDEX(SPPR!$E:$Z,MATCH($A184,SPPR!$A:$A,0),18),""),"")</f>
        <v/>
      </c>
      <c r="V184">
        <f>IFERROR(IF(ISNUMBER(INDEX(SPPR!$E:$Z,MATCH($A184,SPPR!$A:$A,0),19)),$C184*INDEX(SPPR!$E:$Z,MATCH($A184,SPPR!$A:$A,0),19),""),"")</f>
        <v/>
      </c>
      <c r="W184">
        <f>IFERROR(IF(ISNUMBER(INDEX(SPPR!$E:$Z,MATCH($A184,SPPR!$A:$A,0),20)),$C184*INDEX(SPPR!$E:$Z,MATCH($A184,SPPR!$A:$A,0),20),""),"")</f>
        <v/>
      </c>
      <c r="X184">
        <f>IFERROR(IF(ISNUMBER(INDEX(SPPR!$E:$Z,MATCH($A184,SPPR!$A:$A,0),21)),$C184*INDEX(SPPR!$E:$Z,MATCH($A184,SPPR!$A:$A,0),21),""),"")</f>
        <v/>
      </c>
      <c r="Y184">
        <f>IFERROR(IF(ISNUMBER(INDEX(SPPR!$E:$Z,MATCH($A184,SPPR!$A:$A,0),22)),$C184*INDEX(SPPR!$E:$Z,MATCH($A184,SPPR!$A:$A,0),22),""),"")</f>
        <v/>
      </c>
    </row>
    <row r="185">
      <c r="A185" t="inlineStr">
        <is>
          <t>Pampus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IFERROR(IF(ISNUMBER(INDEX(SPPR!$E:$Z,MATCH($A185,SPPR!$A:$A,0),1)),$C185*INDEX(SPPR!$E:$Z,MATCH($A185,SPPR!$A:$A,0),1),""),"")</f>
        <v/>
      </c>
      <c r="E185">
        <f>IFERROR(IF(ISNUMBER(INDEX(SPPR!$E:$Z,MATCH($A185,SPPR!$A:$A,0),2)),$C185*INDEX(SPPR!$E:$Z,MATCH($A185,SPPR!$A:$A,0),2),""),"")</f>
        <v/>
      </c>
      <c r="F185">
        <f>IFERROR(IF(ISNUMBER(INDEX(SPPR!$E:$Z,MATCH($A185,SPPR!$A:$A,0),3)),$C185*INDEX(SPPR!$E:$Z,MATCH($A185,SPPR!$A:$A,0),3),""),"")</f>
        <v/>
      </c>
      <c r="G185">
        <f>IFERROR(IF(ISNUMBER(INDEX(SPPR!$E:$Z,MATCH($A185,SPPR!$A:$A,0),4)),$C185*INDEX(SPPR!$E:$Z,MATCH($A185,SPPR!$A:$A,0),4),""),"")</f>
        <v/>
      </c>
      <c r="H185">
        <f>IFERROR(IF(ISNUMBER(INDEX(SPPR!$E:$Z,MATCH($A185,SPPR!$A:$A,0),5)),$C185*INDEX(SPPR!$E:$Z,MATCH($A185,SPPR!$A:$A,0),5),""),"")</f>
        <v/>
      </c>
      <c r="I185">
        <f>IFERROR(IF(ISNUMBER(INDEX(SPPR!$E:$Z,MATCH($A185,SPPR!$A:$A,0),6)),$C185*INDEX(SPPR!$E:$Z,MATCH($A185,SPPR!$A:$A,0),6),""),"")</f>
        <v/>
      </c>
      <c r="J185">
        <f>IFERROR(IF(ISNUMBER(INDEX(SPPR!$E:$Z,MATCH($A185,SPPR!$A:$A,0),7)),$C185*INDEX(SPPR!$E:$Z,MATCH($A185,SPPR!$A:$A,0),7),""),"")</f>
        <v/>
      </c>
      <c r="K185">
        <f>IFERROR(IF(ISNUMBER(INDEX(SPPR!$E:$Z,MATCH($A185,SPPR!$A:$A,0),8)),$C185*INDEX(SPPR!$E:$Z,MATCH($A185,SPPR!$A:$A,0),8),""),"")</f>
        <v/>
      </c>
      <c r="L185">
        <f>IFERROR(IF(ISNUMBER(INDEX(SPPR!$E:$Z,MATCH($A185,SPPR!$A:$A,0),9)),$C185*INDEX(SPPR!$E:$Z,MATCH($A185,SPPR!$A:$A,0),9),""),"")</f>
        <v/>
      </c>
      <c r="M185">
        <f>IFERROR(IF(ISNUMBER(INDEX(SPPR!$E:$Z,MATCH($A185,SPPR!$A:$A,0),10)),$C185*INDEX(SPPR!$E:$Z,MATCH($A185,SPPR!$A:$A,0),10),""),"")</f>
        <v/>
      </c>
      <c r="N185">
        <f>IFERROR(IF(ISNUMBER(INDEX(SPPR!$E:$Z,MATCH($A185,SPPR!$A:$A,0),11)),$C185*INDEX(SPPR!$E:$Z,MATCH($A185,SPPR!$A:$A,0),11),""),"")</f>
        <v/>
      </c>
      <c r="O185">
        <f>IFERROR(IF(ISNUMBER(INDEX(SPPR!$E:$Z,MATCH($A185,SPPR!$A:$A,0),12)),$C185*INDEX(SPPR!$E:$Z,MATCH($A185,SPPR!$A:$A,0),12),""),"")</f>
        <v/>
      </c>
      <c r="P185">
        <f>IFERROR(IF(ISNUMBER(INDEX(SPPR!$E:$Z,MATCH($A185,SPPR!$A:$A,0),13)),$C185*INDEX(SPPR!$E:$Z,MATCH($A185,SPPR!$A:$A,0),13),""),"")</f>
        <v/>
      </c>
      <c r="Q185">
        <f>IFERROR(IF(ISNUMBER(INDEX(SPPR!$E:$Z,MATCH($A185,SPPR!$A:$A,0),14)),$C185*INDEX(SPPR!$E:$Z,MATCH($A185,SPPR!$A:$A,0),14),""),"")</f>
        <v/>
      </c>
      <c r="R185">
        <f>IFERROR(IF(ISNUMBER(INDEX(SPPR!$E:$Z,MATCH($A185,SPPR!$A:$A,0),15)),$C185*INDEX(SPPR!$E:$Z,MATCH($A185,SPPR!$A:$A,0),15),""),"")</f>
        <v/>
      </c>
      <c r="S185">
        <f>IFERROR(IF(ISNUMBER(INDEX(SPPR!$E:$Z,MATCH($A185,SPPR!$A:$A,0),16)),$C185*INDEX(SPPR!$E:$Z,MATCH($A185,SPPR!$A:$A,0),16),""),"")</f>
        <v/>
      </c>
      <c r="T185">
        <f>IFERROR(IF(ISNUMBER(INDEX(SPPR!$E:$Z,MATCH($A185,SPPR!$A:$A,0),17)),$C185*INDEX(SPPR!$E:$Z,MATCH($A185,SPPR!$A:$A,0),17),""),"")</f>
        <v/>
      </c>
      <c r="U185">
        <f>IFERROR(IF(ISNUMBER(INDEX(SPPR!$E:$Z,MATCH($A185,SPPR!$A:$A,0),18)),$C185*INDEX(SPPR!$E:$Z,MATCH($A185,SPPR!$A:$A,0),18),""),"")</f>
        <v/>
      </c>
      <c r="V185">
        <f>IFERROR(IF(ISNUMBER(INDEX(SPPR!$E:$Z,MATCH($A185,SPPR!$A:$A,0),19)),$C185*INDEX(SPPR!$E:$Z,MATCH($A185,SPPR!$A:$A,0),19),""),"")</f>
        <v/>
      </c>
      <c r="W185">
        <f>IFERROR(IF(ISNUMBER(INDEX(SPPR!$E:$Z,MATCH($A185,SPPR!$A:$A,0),20)),$C185*INDEX(SPPR!$E:$Z,MATCH($A185,SPPR!$A:$A,0),20),""),"")</f>
        <v/>
      </c>
      <c r="X185">
        <f>IFERROR(IF(ISNUMBER(INDEX(SPPR!$E:$Z,MATCH($A185,SPPR!$A:$A,0),21)),$C185*INDEX(SPPR!$E:$Z,MATCH($A185,SPPR!$A:$A,0),21),""),"")</f>
        <v/>
      </c>
      <c r="Y185">
        <f>IFERROR(IF(ISNUMBER(INDEX(SPPR!$E:$Z,MATCH($A185,SPPR!$A:$A,0),22)),$C185*INDEX(SPPR!$E:$Z,MATCH($A185,SPPR!$A:$A,0),22),""),"")</f>
        <v/>
      </c>
    </row>
    <row r="186">
      <c r="A186" t="inlineStr">
        <is>
          <t>Platycaranx malabaricus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IFERROR(IF(ISNUMBER(INDEX(SPPR!$E:$Z,MATCH($A186,SPPR!$A:$A,0),1)),$C186*INDEX(SPPR!$E:$Z,MATCH($A186,SPPR!$A:$A,0),1),""),"")</f>
        <v/>
      </c>
      <c r="E186">
        <f>IFERROR(IF(ISNUMBER(INDEX(SPPR!$E:$Z,MATCH($A186,SPPR!$A:$A,0),2)),$C186*INDEX(SPPR!$E:$Z,MATCH($A186,SPPR!$A:$A,0),2),""),"")</f>
        <v/>
      </c>
      <c r="F186">
        <f>IFERROR(IF(ISNUMBER(INDEX(SPPR!$E:$Z,MATCH($A186,SPPR!$A:$A,0),3)),$C186*INDEX(SPPR!$E:$Z,MATCH($A186,SPPR!$A:$A,0),3),""),"")</f>
        <v/>
      </c>
      <c r="G186">
        <f>IFERROR(IF(ISNUMBER(INDEX(SPPR!$E:$Z,MATCH($A186,SPPR!$A:$A,0),4)),$C186*INDEX(SPPR!$E:$Z,MATCH($A186,SPPR!$A:$A,0),4),""),"")</f>
        <v/>
      </c>
      <c r="H186">
        <f>IFERROR(IF(ISNUMBER(INDEX(SPPR!$E:$Z,MATCH($A186,SPPR!$A:$A,0),5)),$C186*INDEX(SPPR!$E:$Z,MATCH($A186,SPPR!$A:$A,0),5),""),"")</f>
        <v/>
      </c>
      <c r="I186">
        <f>IFERROR(IF(ISNUMBER(INDEX(SPPR!$E:$Z,MATCH($A186,SPPR!$A:$A,0),6)),$C186*INDEX(SPPR!$E:$Z,MATCH($A186,SPPR!$A:$A,0),6),""),"")</f>
        <v/>
      </c>
      <c r="J186">
        <f>IFERROR(IF(ISNUMBER(INDEX(SPPR!$E:$Z,MATCH($A186,SPPR!$A:$A,0),7)),$C186*INDEX(SPPR!$E:$Z,MATCH($A186,SPPR!$A:$A,0),7),""),"")</f>
        <v/>
      </c>
      <c r="K186">
        <f>IFERROR(IF(ISNUMBER(INDEX(SPPR!$E:$Z,MATCH($A186,SPPR!$A:$A,0),8)),$C186*INDEX(SPPR!$E:$Z,MATCH($A186,SPPR!$A:$A,0),8),""),"")</f>
        <v/>
      </c>
      <c r="L186">
        <f>IFERROR(IF(ISNUMBER(INDEX(SPPR!$E:$Z,MATCH($A186,SPPR!$A:$A,0),9)),$C186*INDEX(SPPR!$E:$Z,MATCH($A186,SPPR!$A:$A,0),9),""),"")</f>
        <v/>
      </c>
      <c r="M186">
        <f>IFERROR(IF(ISNUMBER(INDEX(SPPR!$E:$Z,MATCH($A186,SPPR!$A:$A,0),10)),$C186*INDEX(SPPR!$E:$Z,MATCH($A186,SPPR!$A:$A,0),10),""),"")</f>
        <v/>
      </c>
      <c r="N186">
        <f>IFERROR(IF(ISNUMBER(INDEX(SPPR!$E:$Z,MATCH($A186,SPPR!$A:$A,0),11)),$C186*INDEX(SPPR!$E:$Z,MATCH($A186,SPPR!$A:$A,0),11),""),"")</f>
        <v/>
      </c>
      <c r="O186">
        <f>IFERROR(IF(ISNUMBER(INDEX(SPPR!$E:$Z,MATCH($A186,SPPR!$A:$A,0),12)),$C186*INDEX(SPPR!$E:$Z,MATCH($A186,SPPR!$A:$A,0),12),""),"")</f>
        <v/>
      </c>
      <c r="P186">
        <f>IFERROR(IF(ISNUMBER(INDEX(SPPR!$E:$Z,MATCH($A186,SPPR!$A:$A,0),13)),$C186*INDEX(SPPR!$E:$Z,MATCH($A186,SPPR!$A:$A,0),13),""),"")</f>
        <v/>
      </c>
      <c r="Q186">
        <f>IFERROR(IF(ISNUMBER(INDEX(SPPR!$E:$Z,MATCH($A186,SPPR!$A:$A,0),14)),$C186*INDEX(SPPR!$E:$Z,MATCH($A186,SPPR!$A:$A,0),14),""),"")</f>
        <v/>
      </c>
      <c r="R186">
        <f>IFERROR(IF(ISNUMBER(INDEX(SPPR!$E:$Z,MATCH($A186,SPPR!$A:$A,0),15)),$C186*INDEX(SPPR!$E:$Z,MATCH($A186,SPPR!$A:$A,0),15),""),"")</f>
        <v/>
      </c>
      <c r="S186">
        <f>IFERROR(IF(ISNUMBER(INDEX(SPPR!$E:$Z,MATCH($A186,SPPR!$A:$A,0),16)),$C186*INDEX(SPPR!$E:$Z,MATCH($A186,SPPR!$A:$A,0),16),""),"")</f>
        <v/>
      </c>
      <c r="T186">
        <f>IFERROR(IF(ISNUMBER(INDEX(SPPR!$E:$Z,MATCH($A186,SPPR!$A:$A,0),17)),$C186*INDEX(SPPR!$E:$Z,MATCH($A186,SPPR!$A:$A,0),17),""),"")</f>
        <v/>
      </c>
      <c r="U186">
        <f>IFERROR(IF(ISNUMBER(INDEX(SPPR!$E:$Z,MATCH($A186,SPPR!$A:$A,0),18)),$C186*INDEX(SPPR!$E:$Z,MATCH($A186,SPPR!$A:$A,0),18),""),"")</f>
        <v/>
      </c>
      <c r="V186">
        <f>IFERROR(IF(ISNUMBER(INDEX(SPPR!$E:$Z,MATCH($A186,SPPR!$A:$A,0),19)),$C186*INDEX(SPPR!$E:$Z,MATCH($A186,SPPR!$A:$A,0),19),""),"")</f>
        <v/>
      </c>
      <c r="W186">
        <f>IFERROR(IF(ISNUMBER(INDEX(SPPR!$E:$Z,MATCH($A186,SPPR!$A:$A,0),20)),$C186*INDEX(SPPR!$E:$Z,MATCH($A186,SPPR!$A:$A,0),20),""),"")</f>
        <v/>
      </c>
      <c r="X186">
        <f>IFERROR(IF(ISNUMBER(INDEX(SPPR!$E:$Z,MATCH($A186,SPPR!$A:$A,0),21)),$C186*INDEX(SPPR!$E:$Z,MATCH($A186,SPPR!$A:$A,0),21),""),"")</f>
        <v/>
      </c>
      <c r="Y186">
        <f>IFERROR(IF(ISNUMBER(INDEX(SPPR!$E:$Z,MATCH($A186,SPPR!$A:$A,0),22)),$C186*INDEX(SPPR!$E:$Z,MATCH($A186,SPPR!$A:$A,0),22),""),"")</f>
        <v/>
      </c>
    </row>
    <row r="187">
      <c r="A187" t="inlineStr">
        <is>
          <t>Crassostrea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IFERROR(IF(ISNUMBER(INDEX(SPPR!$E:$Z,MATCH($A187,SPPR!$A:$A,0),1)),$C187*INDEX(SPPR!$E:$Z,MATCH($A187,SPPR!$A:$A,0),1),""),"")</f>
        <v/>
      </c>
      <c r="E187">
        <f>IFERROR(IF(ISNUMBER(INDEX(SPPR!$E:$Z,MATCH($A187,SPPR!$A:$A,0),2)),$C187*INDEX(SPPR!$E:$Z,MATCH($A187,SPPR!$A:$A,0),2),""),"")</f>
        <v/>
      </c>
      <c r="F187">
        <f>IFERROR(IF(ISNUMBER(INDEX(SPPR!$E:$Z,MATCH($A187,SPPR!$A:$A,0),3)),$C187*INDEX(SPPR!$E:$Z,MATCH($A187,SPPR!$A:$A,0),3),""),"")</f>
        <v/>
      </c>
      <c r="G187">
        <f>IFERROR(IF(ISNUMBER(INDEX(SPPR!$E:$Z,MATCH($A187,SPPR!$A:$A,0),4)),$C187*INDEX(SPPR!$E:$Z,MATCH($A187,SPPR!$A:$A,0),4),""),"")</f>
        <v/>
      </c>
      <c r="H187">
        <f>IFERROR(IF(ISNUMBER(INDEX(SPPR!$E:$Z,MATCH($A187,SPPR!$A:$A,0),5)),$C187*INDEX(SPPR!$E:$Z,MATCH($A187,SPPR!$A:$A,0),5),""),"")</f>
        <v/>
      </c>
      <c r="I187">
        <f>IFERROR(IF(ISNUMBER(INDEX(SPPR!$E:$Z,MATCH($A187,SPPR!$A:$A,0),6)),$C187*INDEX(SPPR!$E:$Z,MATCH($A187,SPPR!$A:$A,0),6),""),"")</f>
        <v/>
      </c>
      <c r="J187">
        <f>IFERROR(IF(ISNUMBER(INDEX(SPPR!$E:$Z,MATCH($A187,SPPR!$A:$A,0),7)),$C187*INDEX(SPPR!$E:$Z,MATCH($A187,SPPR!$A:$A,0),7),""),"")</f>
        <v/>
      </c>
      <c r="K187">
        <f>IFERROR(IF(ISNUMBER(INDEX(SPPR!$E:$Z,MATCH($A187,SPPR!$A:$A,0),8)),$C187*INDEX(SPPR!$E:$Z,MATCH($A187,SPPR!$A:$A,0),8),""),"")</f>
        <v/>
      </c>
      <c r="L187">
        <f>IFERROR(IF(ISNUMBER(INDEX(SPPR!$E:$Z,MATCH($A187,SPPR!$A:$A,0),9)),$C187*INDEX(SPPR!$E:$Z,MATCH($A187,SPPR!$A:$A,0),9),""),"")</f>
        <v/>
      </c>
      <c r="M187">
        <f>IFERROR(IF(ISNUMBER(INDEX(SPPR!$E:$Z,MATCH($A187,SPPR!$A:$A,0),10)),$C187*INDEX(SPPR!$E:$Z,MATCH($A187,SPPR!$A:$A,0),10),""),"")</f>
        <v/>
      </c>
      <c r="N187">
        <f>IFERROR(IF(ISNUMBER(INDEX(SPPR!$E:$Z,MATCH($A187,SPPR!$A:$A,0),11)),$C187*INDEX(SPPR!$E:$Z,MATCH($A187,SPPR!$A:$A,0),11),""),"")</f>
        <v/>
      </c>
      <c r="O187">
        <f>IFERROR(IF(ISNUMBER(INDEX(SPPR!$E:$Z,MATCH($A187,SPPR!$A:$A,0),12)),$C187*INDEX(SPPR!$E:$Z,MATCH($A187,SPPR!$A:$A,0),12),""),"")</f>
        <v/>
      </c>
      <c r="P187">
        <f>IFERROR(IF(ISNUMBER(INDEX(SPPR!$E:$Z,MATCH($A187,SPPR!$A:$A,0),13)),$C187*INDEX(SPPR!$E:$Z,MATCH($A187,SPPR!$A:$A,0),13),""),"")</f>
        <v/>
      </c>
      <c r="Q187">
        <f>IFERROR(IF(ISNUMBER(INDEX(SPPR!$E:$Z,MATCH($A187,SPPR!$A:$A,0),14)),$C187*INDEX(SPPR!$E:$Z,MATCH($A187,SPPR!$A:$A,0),14),""),"")</f>
        <v/>
      </c>
      <c r="R187">
        <f>IFERROR(IF(ISNUMBER(INDEX(SPPR!$E:$Z,MATCH($A187,SPPR!$A:$A,0),15)),$C187*INDEX(SPPR!$E:$Z,MATCH($A187,SPPR!$A:$A,0),15),""),"")</f>
        <v/>
      </c>
      <c r="S187">
        <f>IFERROR(IF(ISNUMBER(INDEX(SPPR!$E:$Z,MATCH($A187,SPPR!$A:$A,0),16)),$C187*INDEX(SPPR!$E:$Z,MATCH($A187,SPPR!$A:$A,0),16),""),"")</f>
        <v/>
      </c>
      <c r="T187">
        <f>IFERROR(IF(ISNUMBER(INDEX(SPPR!$E:$Z,MATCH($A187,SPPR!$A:$A,0),17)),$C187*INDEX(SPPR!$E:$Z,MATCH($A187,SPPR!$A:$A,0),17),""),"")</f>
        <v/>
      </c>
      <c r="U187">
        <f>IFERROR(IF(ISNUMBER(INDEX(SPPR!$E:$Z,MATCH($A187,SPPR!$A:$A,0),18)),$C187*INDEX(SPPR!$E:$Z,MATCH($A187,SPPR!$A:$A,0),18),""),"")</f>
        <v/>
      </c>
      <c r="V187">
        <f>IFERROR(IF(ISNUMBER(INDEX(SPPR!$E:$Z,MATCH($A187,SPPR!$A:$A,0),19)),$C187*INDEX(SPPR!$E:$Z,MATCH($A187,SPPR!$A:$A,0),19),""),"")</f>
        <v/>
      </c>
      <c r="W187">
        <f>IFERROR(IF(ISNUMBER(INDEX(SPPR!$E:$Z,MATCH($A187,SPPR!$A:$A,0),20)),$C187*INDEX(SPPR!$E:$Z,MATCH($A187,SPPR!$A:$A,0),20),""),"")</f>
        <v/>
      </c>
      <c r="X187">
        <f>IFERROR(IF(ISNUMBER(INDEX(SPPR!$E:$Z,MATCH($A187,SPPR!$A:$A,0),21)),$C187*INDEX(SPPR!$E:$Z,MATCH($A187,SPPR!$A:$A,0),21),""),"")</f>
        <v/>
      </c>
      <c r="Y187">
        <f>IFERROR(IF(ISNUMBER(INDEX(SPPR!$E:$Z,MATCH($A187,SPPR!$A:$A,0),22)),$C187*INDEX(SPPR!$E:$Z,MATCH($A187,SPPR!$A:$A,0),22),""),"")</f>
        <v/>
      </c>
    </row>
    <row r="188">
      <c r="A188" t="inlineStr">
        <is>
          <t>Gnathanodon speciosus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IFERROR(IF(ISNUMBER(INDEX(SPPR!$E:$Z,MATCH($A188,SPPR!$A:$A,0),1)),$C188*INDEX(SPPR!$E:$Z,MATCH($A188,SPPR!$A:$A,0),1),""),"")</f>
        <v/>
      </c>
      <c r="E188">
        <f>IFERROR(IF(ISNUMBER(INDEX(SPPR!$E:$Z,MATCH($A188,SPPR!$A:$A,0),2)),$C188*INDEX(SPPR!$E:$Z,MATCH($A188,SPPR!$A:$A,0),2),""),"")</f>
        <v/>
      </c>
      <c r="F188">
        <f>IFERROR(IF(ISNUMBER(INDEX(SPPR!$E:$Z,MATCH($A188,SPPR!$A:$A,0),3)),$C188*INDEX(SPPR!$E:$Z,MATCH($A188,SPPR!$A:$A,0),3),""),"")</f>
        <v/>
      </c>
      <c r="G188">
        <f>IFERROR(IF(ISNUMBER(INDEX(SPPR!$E:$Z,MATCH($A188,SPPR!$A:$A,0),4)),$C188*INDEX(SPPR!$E:$Z,MATCH($A188,SPPR!$A:$A,0),4),""),"")</f>
        <v/>
      </c>
      <c r="H188">
        <f>IFERROR(IF(ISNUMBER(INDEX(SPPR!$E:$Z,MATCH($A188,SPPR!$A:$A,0),5)),$C188*INDEX(SPPR!$E:$Z,MATCH($A188,SPPR!$A:$A,0),5),""),"")</f>
        <v/>
      </c>
      <c r="I188">
        <f>IFERROR(IF(ISNUMBER(INDEX(SPPR!$E:$Z,MATCH($A188,SPPR!$A:$A,0),6)),$C188*INDEX(SPPR!$E:$Z,MATCH($A188,SPPR!$A:$A,0),6),""),"")</f>
        <v/>
      </c>
      <c r="J188">
        <f>IFERROR(IF(ISNUMBER(INDEX(SPPR!$E:$Z,MATCH($A188,SPPR!$A:$A,0),7)),$C188*INDEX(SPPR!$E:$Z,MATCH($A188,SPPR!$A:$A,0),7),""),"")</f>
        <v/>
      </c>
      <c r="K188">
        <f>IFERROR(IF(ISNUMBER(INDEX(SPPR!$E:$Z,MATCH($A188,SPPR!$A:$A,0),8)),$C188*INDEX(SPPR!$E:$Z,MATCH($A188,SPPR!$A:$A,0),8),""),"")</f>
        <v/>
      </c>
      <c r="L188">
        <f>IFERROR(IF(ISNUMBER(INDEX(SPPR!$E:$Z,MATCH($A188,SPPR!$A:$A,0),9)),$C188*INDEX(SPPR!$E:$Z,MATCH($A188,SPPR!$A:$A,0),9),""),"")</f>
        <v/>
      </c>
      <c r="M188">
        <f>IFERROR(IF(ISNUMBER(INDEX(SPPR!$E:$Z,MATCH($A188,SPPR!$A:$A,0),10)),$C188*INDEX(SPPR!$E:$Z,MATCH($A188,SPPR!$A:$A,0),10),""),"")</f>
        <v/>
      </c>
      <c r="N188">
        <f>IFERROR(IF(ISNUMBER(INDEX(SPPR!$E:$Z,MATCH($A188,SPPR!$A:$A,0),11)),$C188*INDEX(SPPR!$E:$Z,MATCH($A188,SPPR!$A:$A,0),11),""),"")</f>
        <v/>
      </c>
      <c r="O188">
        <f>IFERROR(IF(ISNUMBER(INDEX(SPPR!$E:$Z,MATCH($A188,SPPR!$A:$A,0),12)),$C188*INDEX(SPPR!$E:$Z,MATCH($A188,SPPR!$A:$A,0),12),""),"")</f>
        <v/>
      </c>
      <c r="P188">
        <f>IFERROR(IF(ISNUMBER(INDEX(SPPR!$E:$Z,MATCH($A188,SPPR!$A:$A,0),13)),$C188*INDEX(SPPR!$E:$Z,MATCH($A188,SPPR!$A:$A,0),13),""),"")</f>
        <v/>
      </c>
      <c r="Q188">
        <f>IFERROR(IF(ISNUMBER(INDEX(SPPR!$E:$Z,MATCH($A188,SPPR!$A:$A,0),14)),$C188*INDEX(SPPR!$E:$Z,MATCH($A188,SPPR!$A:$A,0),14),""),"")</f>
        <v/>
      </c>
      <c r="R188">
        <f>IFERROR(IF(ISNUMBER(INDEX(SPPR!$E:$Z,MATCH($A188,SPPR!$A:$A,0),15)),$C188*INDEX(SPPR!$E:$Z,MATCH($A188,SPPR!$A:$A,0),15),""),"")</f>
        <v/>
      </c>
      <c r="S188">
        <f>IFERROR(IF(ISNUMBER(INDEX(SPPR!$E:$Z,MATCH($A188,SPPR!$A:$A,0),16)),$C188*INDEX(SPPR!$E:$Z,MATCH($A188,SPPR!$A:$A,0),16),""),"")</f>
        <v/>
      </c>
      <c r="T188">
        <f>IFERROR(IF(ISNUMBER(INDEX(SPPR!$E:$Z,MATCH($A188,SPPR!$A:$A,0),17)),$C188*INDEX(SPPR!$E:$Z,MATCH($A188,SPPR!$A:$A,0),17),""),"")</f>
        <v/>
      </c>
      <c r="U188">
        <f>IFERROR(IF(ISNUMBER(INDEX(SPPR!$E:$Z,MATCH($A188,SPPR!$A:$A,0),18)),$C188*INDEX(SPPR!$E:$Z,MATCH($A188,SPPR!$A:$A,0),18),""),"")</f>
        <v/>
      </c>
      <c r="V188">
        <f>IFERROR(IF(ISNUMBER(INDEX(SPPR!$E:$Z,MATCH($A188,SPPR!$A:$A,0),19)),$C188*INDEX(SPPR!$E:$Z,MATCH($A188,SPPR!$A:$A,0),19),""),"")</f>
        <v/>
      </c>
      <c r="W188">
        <f>IFERROR(IF(ISNUMBER(INDEX(SPPR!$E:$Z,MATCH($A188,SPPR!$A:$A,0),20)),$C188*INDEX(SPPR!$E:$Z,MATCH($A188,SPPR!$A:$A,0),20),""),"")</f>
        <v/>
      </c>
      <c r="X188">
        <f>IFERROR(IF(ISNUMBER(INDEX(SPPR!$E:$Z,MATCH($A188,SPPR!$A:$A,0),21)),$C188*INDEX(SPPR!$E:$Z,MATCH($A188,SPPR!$A:$A,0),21),""),"")</f>
        <v/>
      </c>
      <c r="Y188">
        <f>IFERROR(IF(ISNUMBER(INDEX(SPPR!$E:$Z,MATCH($A188,SPPR!$A:$A,0),22)),$C188*INDEX(SPPR!$E:$Z,MATCH($A188,SPPR!$A:$A,0),22),""),"")</f>
        <v/>
      </c>
    </row>
    <row r="189">
      <c r="A189" t="inlineStr">
        <is>
          <t>Aluterus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IFERROR(IF(ISNUMBER(INDEX(SPPR!$E:$Z,MATCH($A189,SPPR!$A:$A,0),1)),$C189*INDEX(SPPR!$E:$Z,MATCH($A189,SPPR!$A:$A,0),1),""),"")</f>
        <v/>
      </c>
      <c r="E189">
        <f>IFERROR(IF(ISNUMBER(INDEX(SPPR!$E:$Z,MATCH($A189,SPPR!$A:$A,0),2)),$C189*INDEX(SPPR!$E:$Z,MATCH($A189,SPPR!$A:$A,0),2),""),"")</f>
        <v/>
      </c>
      <c r="F189">
        <f>IFERROR(IF(ISNUMBER(INDEX(SPPR!$E:$Z,MATCH($A189,SPPR!$A:$A,0),3)),$C189*INDEX(SPPR!$E:$Z,MATCH($A189,SPPR!$A:$A,0),3),""),"")</f>
        <v/>
      </c>
      <c r="G189">
        <f>IFERROR(IF(ISNUMBER(INDEX(SPPR!$E:$Z,MATCH($A189,SPPR!$A:$A,0),4)),$C189*INDEX(SPPR!$E:$Z,MATCH($A189,SPPR!$A:$A,0),4),""),"")</f>
        <v/>
      </c>
      <c r="H189">
        <f>IFERROR(IF(ISNUMBER(INDEX(SPPR!$E:$Z,MATCH($A189,SPPR!$A:$A,0),5)),$C189*INDEX(SPPR!$E:$Z,MATCH($A189,SPPR!$A:$A,0),5),""),"")</f>
        <v/>
      </c>
      <c r="I189">
        <f>IFERROR(IF(ISNUMBER(INDEX(SPPR!$E:$Z,MATCH($A189,SPPR!$A:$A,0),6)),$C189*INDEX(SPPR!$E:$Z,MATCH($A189,SPPR!$A:$A,0),6),""),"")</f>
        <v/>
      </c>
      <c r="J189">
        <f>IFERROR(IF(ISNUMBER(INDEX(SPPR!$E:$Z,MATCH($A189,SPPR!$A:$A,0),7)),$C189*INDEX(SPPR!$E:$Z,MATCH($A189,SPPR!$A:$A,0),7),""),"")</f>
        <v/>
      </c>
      <c r="K189">
        <f>IFERROR(IF(ISNUMBER(INDEX(SPPR!$E:$Z,MATCH($A189,SPPR!$A:$A,0),8)),$C189*INDEX(SPPR!$E:$Z,MATCH($A189,SPPR!$A:$A,0),8),""),"")</f>
        <v/>
      </c>
      <c r="L189">
        <f>IFERROR(IF(ISNUMBER(INDEX(SPPR!$E:$Z,MATCH($A189,SPPR!$A:$A,0),9)),$C189*INDEX(SPPR!$E:$Z,MATCH($A189,SPPR!$A:$A,0),9),""),"")</f>
        <v/>
      </c>
      <c r="M189">
        <f>IFERROR(IF(ISNUMBER(INDEX(SPPR!$E:$Z,MATCH($A189,SPPR!$A:$A,0),10)),$C189*INDEX(SPPR!$E:$Z,MATCH($A189,SPPR!$A:$A,0),10),""),"")</f>
        <v/>
      </c>
      <c r="N189">
        <f>IFERROR(IF(ISNUMBER(INDEX(SPPR!$E:$Z,MATCH($A189,SPPR!$A:$A,0),11)),$C189*INDEX(SPPR!$E:$Z,MATCH($A189,SPPR!$A:$A,0),11),""),"")</f>
        <v/>
      </c>
      <c r="O189">
        <f>IFERROR(IF(ISNUMBER(INDEX(SPPR!$E:$Z,MATCH($A189,SPPR!$A:$A,0),12)),$C189*INDEX(SPPR!$E:$Z,MATCH($A189,SPPR!$A:$A,0),12),""),"")</f>
        <v/>
      </c>
      <c r="P189">
        <f>IFERROR(IF(ISNUMBER(INDEX(SPPR!$E:$Z,MATCH($A189,SPPR!$A:$A,0),13)),$C189*INDEX(SPPR!$E:$Z,MATCH($A189,SPPR!$A:$A,0),13),""),"")</f>
        <v/>
      </c>
      <c r="Q189">
        <f>IFERROR(IF(ISNUMBER(INDEX(SPPR!$E:$Z,MATCH($A189,SPPR!$A:$A,0),14)),$C189*INDEX(SPPR!$E:$Z,MATCH($A189,SPPR!$A:$A,0),14),""),"")</f>
        <v/>
      </c>
      <c r="R189">
        <f>IFERROR(IF(ISNUMBER(INDEX(SPPR!$E:$Z,MATCH($A189,SPPR!$A:$A,0),15)),$C189*INDEX(SPPR!$E:$Z,MATCH($A189,SPPR!$A:$A,0),15),""),"")</f>
        <v/>
      </c>
      <c r="S189">
        <f>IFERROR(IF(ISNUMBER(INDEX(SPPR!$E:$Z,MATCH($A189,SPPR!$A:$A,0),16)),$C189*INDEX(SPPR!$E:$Z,MATCH($A189,SPPR!$A:$A,0),16),""),"")</f>
        <v/>
      </c>
      <c r="T189">
        <f>IFERROR(IF(ISNUMBER(INDEX(SPPR!$E:$Z,MATCH($A189,SPPR!$A:$A,0),17)),$C189*INDEX(SPPR!$E:$Z,MATCH($A189,SPPR!$A:$A,0),17),""),"")</f>
        <v/>
      </c>
      <c r="U189">
        <f>IFERROR(IF(ISNUMBER(INDEX(SPPR!$E:$Z,MATCH($A189,SPPR!$A:$A,0),18)),$C189*INDEX(SPPR!$E:$Z,MATCH($A189,SPPR!$A:$A,0),18),""),"")</f>
        <v/>
      </c>
      <c r="V189">
        <f>IFERROR(IF(ISNUMBER(INDEX(SPPR!$E:$Z,MATCH($A189,SPPR!$A:$A,0),19)),$C189*INDEX(SPPR!$E:$Z,MATCH($A189,SPPR!$A:$A,0),19),""),"")</f>
        <v/>
      </c>
      <c r="W189">
        <f>IFERROR(IF(ISNUMBER(INDEX(SPPR!$E:$Z,MATCH($A189,SPPR!$A:$A,0),20)),$C189*INDEX(SPPR!$E:$Z,MATCH($A189,SPPR!$A:$A,0),20),""),"")</f>
        <v/>
      </c>
      <c r="X189">
        <f>IFERROR(IF(ISNUMBER(INDEX(SPPR!$E:$Z,MATCH($A189,SPPR!$A:$A,0),21)),$C189*INDEX(SPPR!$E:$Z,MATCH($A189,SPPR!$A:$A,0),21),""),"")</f>
        <v/>
      </c>
      <c r="Y189">
        <f>IFERROR(IF(ISNUMBER(INDEX(SPPR!$E:$Z,MATCH($A189,SPPR!$A:$A,0),22)),$C189*INDEX(SPPR!$E:$Z,MATCH($A189,SPPR!$A:$A,0),22),""),"")</f>
        <v/>
      </c>
    </row>
    <row r="190">
      <c r="A190" t="inlineStr">
        <is>
          <t>Scatophagus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IFERROR(IF(ISNUMBER(INDEX(SPPR!$E:$Z,MATCH($A190,SPPR!$A:$A,0),1)),$C190*INDEX(SPPR!$E:$Z,MATCH($A190,SPPR!$A:$A,0),1),""),"")</f>
        <v/>
      </c>
      <c r="E190">
        <f>IFERROR(IF(ISNUMBER(INDEX(SPPR!$E:$Z,MATCH($A190,SPPR!$A:$A,0),2)),$C190*INDEX(SPPR!$E:$Z,MATCH($A190,SPPR!$A:$A,0),2),""),"")</f>
        <v/>
      </c>
      <c r="F190">
        <f>IFERROR(IF(ISNUMBER(INDEX(SPPR!$E:$Z,MATCH($A190,SPPR!$A:$A,0),3)),$C190*INDEX(SPPR!$E:$Z,MATCH($A190,SPPR!$A:$A,0),3),""),"")</f>
        <v/>
      </c>
      <c r="G190">
        <f>IFERROR(IF(ISNUMBER(INDEX(SPPR!$E:$Z,MATCH($A190,SPPR!$A:$A,0),4)),$C190*INDEX(SPPR!$E:$Z,MATCH($A190,SPPR!$A:$A,0),4),""),"")</f>
        <v/>
      </c>
      <c r="H190">
        <f>IFERROR(IF(ISNUMBER(INDEX(SPPR!$E:$Z,MATCH($A190,SPPR!$A:$A,0),5)),$C190*INDEX(SPPR!$E:$Z,MATCH($A190,SPPR!$A:$A,0),5),""),"")</f>
        <v/>
      </c>
      <c r="I190">
        <f>IFERROR(IF(ISNUMBER(INDEX(SPPR!$E:$Z,MATCH($A190,SPPR!$A:$A,0),6)),$C190*INDEX(SPPR!$E:$Z,MATCH($A190,SPPR!$A:$A,0),6),""),"")</f>
        <v/>
      </c>
      <c r="J190">
        <f>IFERROR(IF(ISNUMBER(INDEX(SPPR!$E:$Z,MATCH($A190,SPPR!$A:$A,0),7)),$C190*INDEX(SPPR!$E:$Z,MATCH($A190,SPPR!$A:$A,0),7),""),"")</f>
        <v/>
      </c>
      <c r="K190">
        <f>IFERROR(IF(ISNUMBER(INDEX(SPPR!$E:$Z,MATCH($A190,SPPR!$A:$A,0),8)),$C190*INDEX(SPPR!$E:$Z,MATCH($A190,SPPR!$A:$A,0),8),""),"")</f>
        <v/>
      </c>
      <c r="L190">
        <f>IFERROR(IF(ISNUMBER(INDEX(SPPR!$E:$Z,MATCH($A190,SPPR!$A:$A,0),9)),$C190*INDEX(SPPR!$E:$Z,MATCH($A190,SPPR!$A:$A,0),9),""),"")</f>
        <v/>
      </c>
      <c r="M190">
        <f>IFERROR(IF(ISNUMBER(INDEX(SPPR!$E:$Z,MATCH($A190,SPPR!$A:$A,0),10)),$C190*INDEX(SPPR!$E:$Z,MATCH($A190,SPPR!$A:$A,0),10),""),"")</f>
        <v/>
      </c>
      <c r="N190">
        <f>IFERROR(IF(ISNUMBER(INDEX(SPPR!$E:$Z,MATCH($A190,SPPR!$A:$A,0),11)),$C190*INDEX(SPPR!$E:$Z,MATCH($A190,SPPR!$A:$A,0),11),""),"")</f>
        <v/>
      </c>
      <c r="O190">
        <f>IFERROR(IF(ISNUMBER(INDEX(SPPR!$E:$Z,MATCH($A190,SPPR!$A:$A,0),12)),$C190*INDEX(SPPR!$E:$Z,MATCH($A190,SPPR!$A:$A,0),12),""),"")</f>
        <v/>
      </c>
      <c r="P190">
        <f>IFERROR(IF(ISNUMBER(INDEX(SPPR!$E:$Z,MATCH($A190,SPPR!$A:$A,0),13)),$C190*INDEX(SPPR!$E:$Z,MATCH($A190,SPPR!$A:$A,0),13),""),"")</f>
        <v/>
      </c>
      <c r="Q190">
        <f>IFERROR(IF(ISNUMBER(INDEX(SPPR!$E:$Z,MATCH($A190,SPPR!$A:$A,0),14)),$C190*INDEX(SPPR!$E:$Z,MATCH($A190,SPPR!$A:$A,0),14),""),"")</f>
        <v/>
      </c>
      <c r="R190">
        <f>IFERROR(IF(ISNUMBER(INDEX(SPPR!$E:$Z,MATCH($A190,SPPR!$A:$A,0),15)),$C190*INDEX(SPPR!$E:$Z,MATCH($A190,SPPR!$A:$A,0),15),""),"")</f>
        <v/>
      </c>
      <c r="S190">
        <f>IFERROR(IF(ISNUMBER(INDEX(SPPR!$E:$Z,MATCH($A190,SPPR!$A:$A,0),16)),$C190*INDEX(SPPR!$E:$Z,MATCH($A190,SPPR!$A:$A,0),16),""),"")</f>
        <v/>
      </c>
      <c r="T190">
        <f>IFERROR(IF(ISNUMBER(INDEX(SPPR!$E:$Z,MATCH($A190,SPPR!$A:$A,0),17)),$C190*INDEX(SPPR!$E:$Z,MATCH($A190,SPPR!$A:$A,0),17),""),"")</f>
        <v/>
      </c>
      <c r="U190">
        <f>IFERROR(IF(ISNUMBER(INDEX(SPPR!$E:$Z,MATCH($A190,SPPR!$A:$A,0),18)),$C190*INDEX(SPPR!$E:$Z,MATCH($A190,SPPR!$A:$A,0),18),""),"")</f>
        <v/>
      </c>
      <c r="V190">
        <f>IFERROR(IF(ISNUMBER(INDEX(SPPR!$E:$Z,MATCH($A190,SPPR!$A:$A,0),19)),$C190*INDEX(SPPR!$E:$Z,MATCH($A190,SPPR!$A:$A,0),19),""),"")</f>
        <v/>
      </c>
      <c r="W190">
        <f>IFERROR(IF(ISNUMBER(INDEX(SPPR!$E:$Z,MATCH($A190,SPPR!$A:$A,0),20)),$C190*INDEX(SPPR!$E:$Z,MATCH($A190,SPPR!$A:$A,0),20),""),"")</f>
        <v/>
      </c>
      <c r="X190">
        <f>IFERROR(IF(ISNUMBER(INDEX(SPPR!$E:$Z,MATCH($A190,SPPR!$A:$A,0),21)),$C190*INDEX(SPPR!$E:$Z,MATCH($A190,SPPR!$A:$A,0),21),""),"")</f>
        <v/>
      </c>
      <c r="Y190">
        <f>IFERROR(IF(ISNUMBER(INDEX(SPPR!$E:$Z,MATCH($A190,SPPR!$A:$A,0),22)),$C190*INDEX(SPPR!$E:$Z,MATCH($A190,SPPR!$A:$A,0),22),""),"")</f>
        <v/>
      </c>
    </row>
    <row r="191">
      <c r="A191" t="inlineStr">
        <is>
          <t>Panulirus polyphagus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IFERROR(IF(ISNUMBER(INDEX(SPPR!$E:$Z,MATCH($A191,SPPR!$A:$A,0),1)),$C191*INDEX(SPPR!$E:$Z,MATCH($A191,SPPR!$A:$A,0),1),""),"")</f>
        <v/>
      </c>
      <c r="E191">
        <f>IFERROR(IF(ISNUMBER(INDEX(SPPR!$E:$Z,MATCH($A191,SPPR!$A:$A,0),2)),$C191*INDEX(SPPR!$E:$Z,MATCH($A191,SPPR!$A:$A,0),2),""),"")</f>
        <v/>
      </c>
      <c r="F191">
        <f>IFERROR(IF(ISNUMBER(INDEX(SPPR!$E:$Z,MATCH($A191,SPPR!$A:$A,0),3)),$C191*INDEX(SPPR!$E:$Z,MATCH($A191,SPPR!$A:$A,0),3),""),"")</f>
        <v/>
      </c>
      <c r="G191">
        <f>IFERROR(IF(ISNUMBER(INDEX(SPPR!$E:$Z,MATCH($A191,SPPR!$A:$A,0),4)),$C191*INDEX(SPPR!$E:$Z,MATCH($A191,SPPR!$A:$A,0),4),""),"")</f>
        <v/>
      </c>
      <c r="H191">
        <f>IFERROR(IF(ISNUMBER(INDEX(SPPR!$E:$Z,MATCH($A191,SPPR!$A:$A,0),5)),$C191*INDEX(SPPR!$E:$Z,MATCH($A191,SPPR!$A:$A,0),5),""),"")</f>
        <v/>
      </c>
      <c r="I191">
        <f>IFERROR(IF(ISNUMBER(INDEX(SPPR!$E:$Z,MATCH($A191,SPPR!$A:$A,0),6)),$C191*INDEX(SPPR!$E:$Z,MATCH($A191,SPPR!$A:$A,0),6),""),"")</f>
        <v/>
      </c>
      <c r="J191">
        <f>IFERROR(IF(ISNUMBER(INDEX(SPPR!$E:$Z,MATCH($A191,SPPR!$A:$A,0),7)),$C191*INDEX(SPPR!$E:$Z,MATCH($A191,SPPR!$A:$A,0),7),""),"")</f>
        <v/>
      </c>
      <c r="K191">
        <f>IFERROR(IF(ISNUMBER(INDEX(SPPR!$E:$Z,MATCH($A191,SPPR!$A:$A,0),8)),$C191*INDEX(SPPR!$E:$Z,MATCH($A191,SPPR!$A:$A,0),8),""),"")</f>
        <v/>
      </c>
      <c r="L191">
        <f>IFERROR(IF(ISNUMBER(INDEX(SPPR!$E:$Z,MATCH($A191,SPPR!$A:$A,0),9)),$C191*INDEX(SPPR!$E:$Z,MATCH($A191,SPPR!$A:$A,0),9),""),"")</f>
        <v/>
      </c>
      <c r="M191">
        <f>IFERROR(IF(ISNUMBER(INDEX(SPPR!$E:$Z,MATCH($A191,SPPR!$A:$A,0),10)),$C191*INDEX(SPPR!$E:$Z,MATCH($A191,SPPR!$A:$A,0),10),""),"")</f>
        <v/>
      </c>
      <c r="N191">
        <f>IFERROR(IF(ISNUMBER(INDEX(SPPR!$E:$Z,MATCH($A191,SPPR!$A:$A,0),11)),$C191*INDEX(SPPR!$E:$Z,MATCH($A191,SPPR!$A:$A,0),11),""),"")</f>
        <v/>
      </c>
      <c r="O191">
        <f>IFERROR(IF(ISNUMBER(INDEX(SPPR!$E:$Z,MATCH($A191,SPPR!$A:$A,0),12)),$C191*INDEX(SPPR!$E:$Z,MATCH($A191,SPPR!$A:$A,0),12),""),"")</f>
        <v/>
      </c>
      <c r="P191">
        <f>IFERROR(IF(ISNUMBER(INDEX(SPPR!$E:$Z,MATCH($A191,SPPR!$A:$A,0),13)),$C191*INDEX(SPPR!$E:$Z,MATCH($A191,SPPR!$A:$A,0),13),""),"")</f>
        <v/>
      </c>
      <c r="Q191">
        <f>IFERROR(IF(ISNUMBER(INDEX(SPPR!$E:$Z,MATCH($A191,SPPR!$A:$A,0),14)),$C191*INDEX(SPPR!$E:$Z,MATCH($A191,SPPR!$A:$A,0),14),""),"")</f>
        <v/>
      </c>
      <c r="R191">
        <f>IFERROR(IF(ISNUMBER(INDEX(SPPR!$E:$Z,MATCH($A191,SPPR!$A:$A,0),15)),$C191*INDEX(SPPR!$E:$Z,MATCH($A191,SPPR!$A:$A,0),15),""),"")</f>
        <v/>
      </c>
      <c r="S191">
        <f>IFERROR(IF(ISNUMBER(INDEX(SPPR!$E:$Z,MATCH($A191,SPPR!$A:$A,0),16)),$C191*INDEX(SPPR!$E:$Z,MATCH($A191,SPPR!$A:$A,0),16),""),"")</f>
        <v/>
      </c>
      <c r="T191">
        <f>IFERROR(IF(ISNUMBER(INDEX(SPPR!$E:$Z,MATCH($A191,SPPR!$A:$A,0),17)),$C191*INDEX(SPPR!$E:$Z,MATCH($A191,SPPR!$A:$A,0),17),""),"")</f>
        <v/>
      </c>
      <c r="U191">
        <f>IFERROR(IF(ISNUMBER(INDEX(SPPR!$E:$Z,MATCH($A191,SPPR!$A:$A,0),18)),$C191*INDEX(SPPR!$E:$Z,MATCH($A191,SPPR!$A:$A,0),18),""),"")</f>
        <v/>
      </c>
      <c r="V191">
        <f>IFERROR(IF(ISNUMBER(INDEX(SPPR!$E:$Z,MATCH($A191,SPPR!$A:$A,0),19)),$C191*INDEX(SPPR!$E:$Z,MATCH($A191,SPPR!$A:$A,0),19),""),"")</f>
        <v/>
      </c>
      <c r="W191">
        <f>IFERROR(IF(ISNUMBER(INDEX(SPPR!$E:$Z,MATCH($A191,SPPR!$A:$A,0),20)),$C191*INDEX(SPPR!$E:$Z,MATCH($A191,SPPR!$A:$A,0),20),""),"")</f>
        <v/>
      </c>
      <c r="X191">
        <f>IFERROR(IF(ISNUMBER(INDEX(SPPR!$E:$Z,MATCH($A191,SPPR!$A:$A,0),21)),$C191*INDEX(SPPR!$E:$Z,MATCH($A191,SPPR!$A:$A,0),21),""),"")</f>
        <v/>
      </c>
      <c r="Y191">
        <f>IFERROR(IF(ISNUMBER(INDEX(SPPR!$E:$Z,MATCH($A191,SPPR!$A:$A,0),22)),$C191*INDEX(SPPR!$E:$Z,MATCH($A191,SPPR!$A:$A,0),22),""),"")</f>
        <v/>
      </c>
    </row>
    <row r="192">
      <c r="A192" t="inlineStr">
        <is>
          <t>Makaira mazara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IFERROR(IF(ISNUMBER(INDEX(SPPR!$E:$Z,MATCH($A192,SPPR!$A:$A,0),1)),$C192*INDEX(SPPR!$E:$Z,MATCH($A192,SPPR!$A:$A,0),1),""),"")</f>
        <v/>
      </c>
      <c r="E192">
        <f>IFERROR(IF(ISNUMBER(INDEX(SPPR!$E:$Z,MATCH($A192,SPPR!$A:$A,0),2)),$C192*INDEX(SPPR!$E:$Z,MATCH($A192,SPPR!$A:$A,0),2),""),"")</f>
        <v/>
      </c>
      <c r="F192">
        <f>IFERROR(IF(ISNUMBER(INDEX(SPPR!$E:$Z,MATCH($A192,SPPR!$A:$A,0),3)),$C192*INDEX(SPPR!$E:$Z,MATCH($A192,SPPR!$A:$A,0),3),""),"")</f>
        <v/>
      </c>
      <c r="G192">
        <f>IFERROR(IF(ISNUMBER(INDEX(SPPR!$E:$Z,MATCH($A192,SPPR!$A:$A,0),4)),$C192*INDEX(SPPR!$E:$Z,MATCH($A192,SPPR!$A:$A,0),4),""),"")</f>
        <v/>
      </c>
      <c r="H192">
        <f>IFERROR(IF(ISNUMBER(INDEX(SPPR!$E:$Z,MATCH($A192,SPPR!$A:$A,0),5)),$C192*INDEX(SPPR!$E:$Z,MATCH($A192,SPPR!$A:$A,0),5),""),"")</f>
        <v/>
      </c>
      <c r="I192">
        <f>IFERROR(IF(ISNUMBER(INDEX(SPPR!$E:$Z,MATCH($A192,SPPR!$A:$A,0),6)),$C192*INDEX(SPPR!$E:$Z,MATCH($A192,SPPR!$A:$A,0),6),""),"")</f>
        <v/>
      </c>
      <c r="J192">
        <f>IFERROR(IF(ISNUMBER(INDEX(SPPR!$E:$Z,MATCH($A192,SPPR!$A:$A,0),7)),$C192*INDEX(SPPR!$E:$Z,MATCH($A192,SPPR!$A:$A,0),7),""),"")</f>
        <v/>
      </c>
      <c r="K192">
        <f>IFERROR(IF(ISNUMBER(INDEX(SPPR!$E:$Z,MATCH($A192,SPPR!$A:$A,0),8)),$C192*INDEX(SPPR!$E:$Z,MATCH($A192,SPPR!$A:$A,0),8),""),"")</f>
        <v/>
      </c>
      <c r="L192">
        <f>IFERROR(IF(ISNUMBER(INDEX(SPPR!$E:$Z,MATCH($A192,SPPR!$A:$A,0),9)),$C192*INDEX(SPPR!$E:$Z,MATCH($A192,SPPR!$A:$A,0),9),""),"")</f>
        <v/>
      </c>
      <c r="M192">
        <f>IFERROR(IF(ISNUMBER(INDEX(SPPR!$E:$Z,MATCH($A192,SPPR!$A:$A,0),10)),$C192*INDEX(SPPR!$E:$Z,MATCH($A192,SPPR!$A:$A,0),10),""),"")</f>
        <v/>
      </c>
      <c r="N192">
        <f>IFERROR(IF(ISNUMBER(INDEX(SPPR!$E:$Z,MATCH($A192,SPPR!$A:$A,0),11)),$C192*INDEX(SPPR!$E:$Z,MATCH($A192,SPPR!$A:$A,0),11),""),"")</f>
        <v/>
      </c>
      <c r="O192">
        <f>IFERROR(IF(ISNUMBER(INDEX(SPPR!$E:$Z,MATCH($A192,SPPR!$A:$A,0),12)),$C192*INDEX(SPPR!$E:$Z,MATCH($A192,SPPR!$A:$A,0),12),""),"")</f>
        <v/>
      </c>
      <c r="P192">
        <f>IFERROR(IF(ISNUMBER(INDEX(SPPR!$E:$Z,MATCH($A192,SPPR!$A:$A,0),13)),$C192*INDEX(SPPR!$E:$Z,MATCH($A192,SPPR!$A:$A,0),13),""),"")</f>
        <v/>
      </c>
      <c r="Q192">
        <f>IFERROR(IF(ISNUMBER(INDEX(SPPR!$E:$Z,MATCH($A192,SPPR!$A:$A,0),14)),$C192*INDEX(SPPR!$E:$Z,MATCH($A192,SPPR!$A:$A,0),14),""),"")</f>
        <v/>
      </c>
      <c r="R192">
        <f>IFERROR(IF(ISNUMBER(INDEX(SPPR!$E:$Z,MATCH($A192,SPPR!$A:$A,0),15)),$C192*INDEX(SPPR!$E:$Z,MATCH($A192,SPPR!$A:$A,0),15),""),"")</f>
        <v/>
      </c>
      <c r="S192">
        <f>IFERROR(IF(ISNUMBER(INDEX(SPPR!$E:$Z,MATCH($A192,SPPR!$A:$A,0),16)),$C192*INDEX(SPPR!$E:$Z,MATCH($A192,SPPR!$A:$A,0),16),""),"")</f>
        <v/>
      </c>
      <c r="T192">
        <f>IFERROR(IF(ISNUMBER(INDEX(SPPR!$E:$Z,MATCH($A192,SPPR!$A:$A,0),17)),$C192*INDEX(SPPR!$E:$Z,MATCH($A192,SPPR!$A:$A,0),17),""),"")</f>
        <v/>
      </c>
      <c r="U192">
        <f>IFERROR(IF(ISNUMBER(INDEX(SPPR!$E:$Z,MATCH($A192,SPPR!$A:$A,0),18)),$C192*INDEX(SPPR!$E:$Z,MATCH($A192,SPPR!$A:$A,0),18),""),"")</f>
        <v/>
      </c>
      <c r="V192">
        <f>IFERROR(IF(ISNUMBER(INDEX(SPPR!$E:$Z,MATCH($A192,SPPR!$A:$A,0),19)),$C192*INDEX(SPPR!$E:$Z,MATCH($A192,SPPR!$A:$A,0),19),""),"")</f>
        <v/>
      </c>
      <c r="W192">
        <f>IFERROR(IF(ISNUMBER(INDEX(SPPR!$E:$Z,MATCH($A192,SPPR!$A:$A,0),20)),$C192*INDEX(SPPR!$E:$Z,MATCH($A192,SPPR!$A:$A,0),20),""),"")</f>
        <v/>
      </c>
      <c r="X192">
        <f>IFERROR(IF(ISNUMBER(INDEX(SPPR!$E:$Z,MATCH($A192,SPPR!$A:$A,0),21)),$C192*INDEX(SPPR!$E:$Z,MATCH($A192,SPPR!$A:$A,0),21),""),"")</f>
        <v/>
      </c>
      <c r="Y192">
        <f>IFERROR(IF(ISNUMBER(INDEX(SPPR!$E:$Z,MATCH($A192,SPPR!$A:$A,0),22)),$C192*INDEX(SPPR!$E:$Z,MATCH($A192,SPPR!$A:$A,0),22),""),"")</f>
        <v/>
      </c>
    </row>
    <row r="193">
      <c r="A193" t="inlineStr">
        <is>
          <t>Miscellaneous marine crustaceans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IFERROR(IF(ISNUMBER(INDEX(SPPR!$E:$Z,MATCH($A193,SPPR!$A:$A,0),1)),$C193*INDEX(SPPR!$E:$Z,MATCH($A193,SPPR!$A:$A,0),1),""),"")</f>
        <v/>
      </c>
      <c r="E193">
        <f>IFERROR(IF(ISNUMBER(INDEX(SPPR!$E:$Z,MATCH($A193,SPPR!$A:$A,0),2)),$C193*INDEX(SPPR!$E:$Z,MATCH($A193,SPPR!$A:$A,0),2),""),"")</f>
        <v/>
      </c>
      <c r="F193">
        <f>IFERROR(IF(ISNUMBER(INDEX(SPPR!$E:$Z,MATCH($A193,SPPR!$A:$A,0),3)),$C193*INDEX(SPPR!$E:$Z,MATCH($A193,SPPR!$A:$A,0),3),""),"")</f>
        <v/>
      </c>
      <c r="G193">
        <f>IFERROR(IF(ISNUMBER(INDEX(SPPR!$E:$Z,MATCH($A193,SPPR!$A:$A,0),4)),$C193*INDEX(SPPR!$E:$Z,MATCH($A193,SPPR!$A:$A,0),4),""),"")</f>
        <v/>
      </c>
      <c r="H193">
        <f>IFERROR(IF(ISNUMBER(INDEX(SPPR!$E:$Z,MATCH($A193,SPPR!$A:$A,0),5)),$C193*INDEX(SPPR!$E:$Z,MATCH($A193,SPPR!$A:$A,0),5),""),"")</f>
        <v/>
      </c>
      <c r="I193">
        <f>IFERROR(IF(ISNUMBER(INDEX(SPPR!$E:$Z,MATCH($A193,SPPR!$A:$A,0),6)),$C193*INDEX(SPPR!$E:$Z,MATCH($A193,SPPR!$A:$A,0),6),""),"")</f>
        <v/>
      </c>
      <c r="J193">
        <f>IFERROR(IF(ISNUMBER(INDEX(SPPR!$E:$Z,MATCH($A193,SPPR!$A:$A,0),7)),$C193*INDEX(SPPR!$E:$Z,MATCH($A193,SPPR!$A:$A,0),7),""),"")</f>
        <v/>
      </c>
      <c r="K193">
        <f>IFERROR(IF(ISNUMBER(INDEX(SPPR!$E:$Z,MATCH($A193,SPPR!$A:$A,0),8)),$C193*INDEX(SPPR!$E:$Z,MATCH($A193,SPPR!$A:$A,0),8),""),"")</f>
        <v/>
      </c>
      <c r="L193">
        <f>IFERROR(IF(ISNUMBER(INDEX(SPPR!$E:$Z,MATCH($A193,SPPR!$A:$A,0),9)),$C193*INDEX(SPPR!$E:$Z,MATCH($A193,SPPR!$A:$A,0),9),""),"")</f>
        <v/>
      </c>
      <c r="M193">
        <f>IFERROR(IF(ISNUMBER(INDEX(SPPR!$E:$Z,MATCH($A193,SPPR!$A:$A,0),10)),$C193*INDEX(SPPR!$E:$Z,MATCH($A193,SPPR!$A:$A,0),10),""),"")</f>
        <v/>
      </c>
      <c r="N193">
        <f>IFERROR(IF(ISNUMBER(INDEX(SPPR!$E:$Z,MATCH($A193,SPPR!$A:$A,0),11)),$C193*INDEX(SPPR!$E:$Z,MATCH($A193,SPPR!$A:$A,0),11),""),"")</f>
        <v/>
      </c>
      <c r="O193">
        <f>IFERROR(IF(ISNUMBER(INDEX(SPPR!$E:$Z,MATCH($A193,SPPR!$A:$A,0),12)),$C193*INDEX(SPPR!$E:$Z,MATCH($A193,SPPR!$A:$A,0),12),""),"")</f>
        <v/>
      </c>
      <c r="P193">
        <f>IFERROR(IF(ISNUMBER(INDEX(SPPR!$E:$Z,MATCH($A193,SPPR!$A:$A,0),13)),$C193*INDEX(SPPR!$E:$Z,MATCH($A193,SPPR!$A:$A,0),13),""),"")</f>
        <v/>
      </c>
      <c r="Q193">
        <f>IFERROR(IF(ISNUMBER(INDEX(SPPR!$E:$Z,MATCH($A193,SPPR!$A:$A,0),14)),$C193*INDEX(SPPR!$E:$Z,MATCH($A193,SPPR!$A:$A,0),14),""),"")</f>
        <v/>
      </c>
      <c r="R193">
        <f>IFERROR(IF(ISNUMBER(INDEX(SPPR!$E:$Z,MATCH($A193,SPPR!$A:$A,0),15)),$C193*INDEX(SPPR!$E:$Z,MATCH($A193,SPPR!$A:$A,0),15),""),"")</f>
        <v/>
      </c>
      <c r="S193">
        <f>IFERROR(IF(ISNUMBER(INDEX(SPPR!$E:$Z,MATCH($A193,SPPR!$A:$A,0),16)),$C193*INDEX(SPPR!$E:$Z,MATCH($A193,SPPR!$A:$A,0),16),""),"")</f>
        <v/>
      </c>
      <c r="T193">
        <f>IFERROR(IF(ISNUMBER(INDEX(SPPR!$E:$Z,MATCH($A193,SPPR!$A:$A,0),17)),$C193*INDEX(SPPR!$E:$Z,MATCH($A193,SPPR!$A:$A,0),17),""),"")</f>
        <v/>
      </c>
      <c r="U193">
        <f>IFERROR(IF(ISNUMBER(INDEX(SPPR!$E:$Z,MATCH($A193,SPPR!$A:$A,0),18)),$C193*INDEX(SPPR!$E:$Z,MATCH($A193,SPPR!$A:$A,0),18),""),"")</f>
        <v/>
      </c>
      <c r="V193">
        <f>IFERROR(IF(ISNUMBER(INDEX(SPPR!$E:$Z,MATCH($A193,SPPR!$A:$A,0),19)),$C193*INDEX(SPPR!$E:$Z,MATCH($A193,SPPR!$A:$A,0),19),""),"")</f>
        <v/>
      </c>
      <c r="W193">
        <f>IFERROR(IF(ISNUMBER(INDEX(SPPR!$E:$Z,MATCH($A193,SPPR!$A:$A,0),20)),$C193*INDEX(SPPR!$E:$Z,MATCH($A193,SPPR!$A:$A,0),20),""),"")</f>
        <v/>
      </c>
      <c r="X193">
        <f>IFERROR(IF(ISNUMBER(INDEX(SPPR!$E:$Z,MATCH($A193,SPPR!$A:$A,0),21)),$C193*INDEX(SPPR!$E:$Z,MATCH($A193,SPPR!$A:$A,0),21),""),"")</f>
        <v/>
      </c>
      <c r="Y193">
        <f>IFERROR(IF(ISNUMBER(INDEX(SPPR!$E:$Z,MATCH($A193,SPPR!$A:$A,0),22)),$C193*INDEX(SPPR!$E:$Z,MATCH($A193,SPPR!$A:$A,0),22),""),"")</f>
        <v/>
      </c>
    </row>
    <row r="194">
      <c r="A194" t="inlineStr">
        <is>
          <t>Platycephalus indicus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IFERROR(IF(ISNUMBER(INDEX(SPPR!$E:$Z,MATCH($A194,SPPR!$A:$A,0),1)),$C194*INDEX(SPPR!$E:$Z,MATCH($A194,SPPR!$A:$A,0),1),""),"")</f>
        <v/>
      </c>
      <c r="E194">
        <f>IFERROR(IF(ISNUMBER(INDEX(SPPR!$E:$Z,MATCH($A194,SPPR!$A:$A,0),2)),$C194*INDEX(SPPR!$E:$Z,MATCH($A194,SPPR!$A:$A,0),2),""),"")</f>
        <v/>
      </c>
      <c r="F194">
        <f>IFERROR(IF(ISNUMBER(INDEX(SPPR!$E:$Z,MATCH($A194,SPPR!$A:$A,0),3)),$C194*INDEX(SPPR!$E:$Z,MATCH($A194,SPPR!$A:$A,0),3),""),"")</f>
        <v/>
      </c>
      <c r="G194">
        <f>IFERROR(IF(ISNUMBER(INDEX(SPPR!$E:$Z,MATCH($A194,SPPR!$A:$A,0),4)),$C194*INDEX(SPPR!$E:$Z,MATCH($A194,SPPR!$A:$A,0),4),""),"")</f>
        <v/>
      </c>
      <c r="H194">
        <f>IFERROR(IF(ISNUMBER(INDEX(SPPR!$E:$Z,MATCH($A194,SPPR!$A:$A,0),5)),$C194*INDEX(SPPR!$E:$Z,MATCH($A194,SPPR!$A:$A,0),5),""),"")</f>
        <v/>
      </c>
      <c r="I194">
        <f>IFERROR(IF(ISNUMBER(INDEX(SPPR!$E:$Z,MATCH($A194,SPPR!$A:$A,0),6)),$C194*INDEX(SPPR!$E:$Z,MATCH($A194,SPPR!$A:$A,0),6),""),"")</f>
        <v/>
      </c>
      <c r="J194">
        <f>IFERROR(IF(ISNUMBER(INDEX(SPPR!$E:$Z,MATCH($A194,SPPR!$A:$A,0),7)),$C194*INDEX(SPPR!$E:$Z,MATCH($A194,SPPR!$A:$A,0),7),""),"")</f>
        <v/>
      </c>
      <c r="K194">
        <f>IFERROR(IF(ISNUMBER(INDEX(SPPR!$E:$Z,MATCH($A194,SPPR!$A:$A,0),8)),$C194*INDEX(SPPR!$E:$Z,MATCH($A194,SPPR!$A:$A,0),8),""),"")</f>
        <v/>
      </c>
      <c r="L194">
        <f>IFERROR(IF(ISNUMBER(INDEX(SPPR!$E:$Z,MATCH($A194,SPPR!$A:$A,0),9)),$C194*INDEX(SPPR!$E:$Z,MATCH($A194,SPPR!$A:$A,0),9),""),"")</f>
        <v/>
      </c>
      <c r="M194">
        <f>IFERROR(IF(ISNUMBER(INDEX(SPPR!$E:$Z,MATCH($A194,SPPR!$A:$A,0),10)),$C194*INDEX(SPPR!$E:$Z,MATCH($A194,SPPR!$A:$A,0),10),""),"")</f>
        <v/>
      </c>
      <c r="N194">
        <f>IFERROR(IF(ISNUMBER(INDEX(SPPR!$E:$Z,MATCH($A194,SPPR!$A:$A,0),11)),$C194*INDEX(SPPR!$E:$Z,MATCH($A194,SPPR!$A:$A,0),11),""),"")</f>
        <v/>
      </c>
      <c r="O194">
        <f>IFERROR(IF(ISNUMBER(INDEX(SPPR!$E:$Z,MATCH($A194,SPPR!$A:$A,0),12)),$C194*INDEX(SPPR!$E:$Z,MATCH($A194,SPPR!$A:$A,0),12),""),"")</f>
        <v/>
      </c>
      <c r="P194">
        <f>IFERROR(IF(ISNUMBER(INDEX(SPPR!$E:$Z,MATCH($A194,SPPR!$A:$A,0),13)),$C194*INDEX(SPPR!$E:$Z,MATCH($A194,SPPR!$A:$A,0),13),""),"")</f>
        <v/>
      </c>
      <c r="Q194">
        <f>IFERROR(IF(ISNUMBER(INDEX(SPPR!$E:$Z,MATCH($A194,SPPR!$A:$A,0),14)),$C194*INDEX(SPPR!$E:$Z,MATCH($A194,SPPR!$A:$A,0),14),""),"")</f>
        <v/>
      </c>
      <c r="R194">
        <f>IFERROR(IF(ISNUMBER(INDEX(SPPR!$E:$Z,MATCH($A194,SPPR!$A:$A,0),15)),$C194*INDEX(SPPR!$E:$Z,MATCH($A194,SPPR!$A:$A,0),15),""),"")</f>
        <v/>
      </c>
      <c r="S194">
        <f>IFERROR(IF(ISNUMBER(INDEX(SPPR!$E:$Z,MATCH($A194,SPPR!$A:$A,0),16)),$C194*INDEX(SPPR!$E:$Z,MATCH($A194,SPPR!$A:$A,0),16),""),"")</f>
        <v/>
      </c>
      <c r="T194">
        <f>IFERROR(IF(ISNUMBER(INDEX(SPPR!$E:$Z,MATCH($A194,SPPR!$A:$A,0),17)),$C194*INDEX(SPPR!$E:$Z,MATCH($A194,SPPR!$A:$A,0),17),""),"")</f>
        <v/>
      </c>
      <c r="U194">
        <f>IFERROR(IF(ISNUMBER(INDEX(SPPR!$E:$Z,MATCH($A194,SPPR!$A:$A,0),18)),$C194*INDEX(SPPR!$E:$Z,MATCH($A194,SPPR!$A:$A,0),18),""),"")</f>
        <v/>
      </c>
      <c r="V194">
        <f>IFERROR(IF(ISNUMBER(INDEX(SPPR!$E:$Z,MATCH($A194,SPPR!$A:$A,0),19)),$C194*INDEX(SPPR!$E:$Z,MATCH($A194,SPPR!$A:$A,0),19),""),"")</f>
        <v/>
      </c>
      <c r="W194">
        <f>IFERROR(IF(ISNUMBER(INDEX(SPPR!$E:$Z,MATCH($A194,SPPR!$A:$A,0),20)),$C194*INDEX(SPPR!$E:$Z,MATCH($A194,SPPR!$A:$A,0),20),""),"")</f>
        <v/>
      </c>
      <c r="X194">
        <f>IFERROR(IF(ISNUMBER(INDEX(SPPR!$E:$Z,MATCH($A194,SPPR!$A:$A,0),21)),$C194*INDEX(SPPR!$E:$Z,MATCH($A194,SPPR!$A:$A,0),21),""),"")</f>
        <v/>
      </c>
      <c r="Y194">
        <f>IFERROR(IF(ISNUMBER(INDEX(SPPR!$E:$Z,MATCH($A194,SPPR!$A:$A,0),22)),$C194*INDEX(SPPR!$E:$Z,MATCH($A194,SPPR!$A:$A,0),22),""),"")</f>
        <v/>
      </c>
    </row>
    <row r="195">
      <c r="A195" t="inlineStr">
        <is>
          <t>Holothuriidae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IFERROR(IF(ISNUMBER(INDEX(SPPR!$E:$Z,MATCH($A195,SPPR!$A:$A,0),1)),$C195*INDEX(SPPR!$E:$Z,MATCH($A195,SPPR!$A:$A,0),1),""),"")</f>
        <v/>
      </c>
      <c r="E195">
        <f>IFERROR(IF(ISNUMBER(INDEX(SPPR!$E:$Z,MATCH($A195,SPPR!$A:$A,0),2)),$C195*INDEX(SPPR!$E:$Z,MATCH($A195,SPPR!$A:$A,0),2),""),"")</f>
        <v/>
      </c>
      <c r="F195">
        <f>IFERROR(IF(ISNUMBER(INDEX(SPPR!$E:$Z,MATCH($A195,SPPR!$A:$A,0),3)),$C195*INDEX(SPPR!$E:$Z,MATCH($A195,SPPR!$A:$A,0),3),""),"")</f>
        <v/>
      </c>
      <c r="G195">
        <f>IFERROR(IF(ISNUMBER(INDEX(SPPR!$E:$Z,MATCH($A195,SPPR!$A:$A,0),4)),$C195*INDEX(SPPR!$E:$Z,MATCH($A195,SPPR!$A:$A,0),4),""),"")</f>
        <v/>
      </c>
      <c r="H195">
        <f>IFERROR(IF(ISNUMBER(INDEX(SPPR!$E:$Z,MATCH($A195,SPPR!$A:$A,0),5)),$C195*INDEX(SPPR!$E:$Z,MATCH($A195,SPPR!$A:$A,0),5),""),"")</f>
        <v/>
      </c>
      <c r="I195">
        <f>IFERROR(IF(ISNUMBER(INDEX(SPPR!$E:$Z,MATCH($A195,SPPR!$A:$A,0),6)),$C195*INDEX(SPPR!$E:$Z,MATCH($A195,SPPR!$A:$A,0),6),""),"")</f>
        <v/>
      </c>
      <c r="J195">
        <f>IFERROR(IF(ISNUMBER(INDEX(SPPR!$E:$Z,MATCH($A195,SPPR!$A:$A,0),7)),$C195*INDEX(SPPR!$E:$Z,MATCH($A195,SPPR!$A:$A,0),7),""),"")</f>
        <v/>
      </c>
      <c r="K195">
        <f>IFERROR(IF(ISNUMBER(INDEX(SPPR!$E:$Z,MATCH($A195,SPPR!$A:$A,0),8)),$C195*INDEX(SPPR!$E:$Z,MATCH($A195,SPPR!$A:$A,0),8),""),"")</f>
        <v/>
      </c>
      <c r="L195">
        <f>IFERROR(IF(ISNUMBER(INDEX(SPPR!$E:$Z,MATCH($A195,SPPR!$A:$A,0),9)),$C195*INDEX(SPPR!$E:$Z,MATCH($A195,SPPR!$A:$A,0),9),""),"")</f>
        <v/>
      </c>
      <c r="M195">
        <f>IFERROR(IF(ISNUMBER(INDEX(SPPR!$E:$Z,MATCH($A195,SPPR!$A:$A,0),10)),$C195*INDEX(SPPR!$E:$Z,MATCH($A195,SPPR!$A:$A,0),10),""),"")</f>
        <v/>
      </c>
      <c r="N195">
        <f>IFERROR(IF(ISNUMBER(INDEX(SPPR!$E:$Z,MATCH($A195,SPPR!$A:$A,0),11)),$C195*INDEX(SPPR!$E:$Z,MATCH($A195,SPPR!$A:$A,0),11),""),"")</f>
        <v/>
      </c>
      <c r="O195">
        <f>IFERROR(IF(ISNUMBER(INDEX(SPPR!$E:$Z,MATCH($A195,SPPR!$A:$A,0),12)),$C195*INDEX(SPPR!$E:$Z,MATCH($A195,SPPR!$A:$A,0),12),""),"")</f>
        <v/>
      </c>
      <c r="P195">
        <f>IFERROR(IF(ISNUMBER(INDEX(SPPR!$E:$Z,MATCH($A195,SPPR!$A:$A,0),13)),$C195*INDEX(SPPR!$E:$Z,MATCH($A195,SPPR!$A:$A,0),13),""),"")</f>
        <v/>
      </c>
      <c r="Q195">
        <f>IFERROR(IF(ISNUMBER(INDEX(SPPR!$E:$Z,MATCH($A195,SPPR!$A:$A,0),14)),$C195*INDEX(SPPR!$E:$Z,MATCH($A195,SPPR!$A:$A,0),14),""),"")</f>
        <v/>
      </c>
      <c r="R195">
        <f>IFERROR(IF(ISNUMBER(INDEX(SPPR!$E:$Z,MATCH($A195,SPPR!$A:$A,0),15)),$C195*INDEX(SPPR!$E:$Z,MATCH($A195,SPPR!$A:$A,0),15),""),"")</f>
        <v/>
      </c>
      <c r="S195">
        <f>IFERROR(IF(ISNUMBER(INDEX(SPPR!$E:$Z,MATCH($A195,SPPR!$A:$A,0),16)),$C195*INDEX(SPPR!$E:$Z,MATCH($A195,SPPR!$A:$A,0),16),""),"")</f>
        <v/>
      </c>
      <c r="T195">
        <f>IFERROR(IF(ISNUMBER(INDEX(SPPR!$E:$Z,MATCH($A195,SPPR!$A:$A,0),17)),$C195*INDEX(SPPR!$E:$Z,MATCH($A195,SPPR!$A:$A,0),17),""),"")</f>
        <v/>
      </c>
      <c r="U195">
        <f>IFERROR(IF(ISNUMBER(INDEX(SPPR!$E:$Z,MATCH($A195,SPPR!$A:$A,0),18)),$C195*INDEX(SPPR!$E:$Z,MATCH($A195,SPPR!$A:$A,0),18),""),"")</f>
        <v/>
      </c>
      <c r="V195">
        <f>IFERROR(IF(ISNUMBER(INDEX(SPPR!$E:$Z,MATCH($A195,SPPR!$A:$A,0),19)),$C195*INDEX(SPPR!$E:$Z,MATCH($A195,SPPR!$A:$A,0),19),""),"")</f>
        <v/>
      </c>
      <c r="W195">
        <f>IFERROR(IF(ISNUMBER(INDEX(SPPR!$E:$Z,MATCH($A195,SPPR!$A:$A,0),20)),$C195*INDEX(SPPR!$E:$Z,MATCH($A195,SPPR!$A:$A,0),20),""),"")</f>
        <v/>
      </c>
      <c r="X195">
        <f>IFERROR(IF(ISNUMBER(INDEX(SPPR!$E:$Z,MATCH($A195,SPPR!$A:$A,0),21)),$C195*INDEX(SPPR!$E:$Z,MATCH($A195,SPPR!$A:$A,0),21),""),"")</f>
        <v/>
      </c>
      <c r="Y195">
        <f>IFERROR(IF(ISNUMBER(INDEX(SPPR!$E:$Z,MATCH($A195,SPPR!$A:$A,0),22)),$C195*INDEX(SPPR!$E:$Z,MATCH($A195,SPPR!$A:$A,0),22),""),"")</f>
        <v/>
      </c>
    </row>
    <row r="196">
      <c r="A196" t="inlineStr">
        <is>
          <t>Istiompax indica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IFERROR(IF(ISNUMBER(INDEX(SPPR!$E:$Z,MATCH($A196,SPPR!$A:$A,0),1)),$C196*INDEX(SPPR!$E:$Z,MATCH($A196,SPPR!$A:$A,0),1),""),"")</f>
        <v/>
      </c>
      <c r="E196">
        <f>IFERROR(IF(ISNUMBER(INDEX(SPPR!$E:$Z,MATCH($A196,SPPR!$A:$A,0),2)),$C196*INDEX(SPPR!$E:$Z,MATCH($A196,SPPR!$A:$A,0),2),""),"")</f>
        <v/>
      </c>
      <c r="F196">
        <f>IFERROR(IF(ISNUMBER(INDEX(SPPR!$E:$Z,MATCH($A196,SPPR!$A:$A,0),3)),$C196*INDEX(SPPR!$E:$Z,MATCH($A196,SPPR!$A:$A,0),3),""),"")</f>
        <v/>
      </c>
      <c r="G196">
        <f>IFERROR(IF(ISNUMBER(INDEX(SPPR!$E:$Z,MATCH($A196,SPPR!$A:$A,0),4)),$C196*INDEX(SPPR!$E:$Z,MATCH($A196,SPPR!$A:$A,0),4),""),"")</f>
        <v/>
      </c>
      <c r="H196">
        <f>IFERROR(IF(ISNUMBER(INDEX(SPPR!$E:$Z,MATCH($A196,SPPR!$A:$A,0),5)),$C196*INDEX(SPPR!$E:$Z,MATCH($A196,SPPR!$A:$A,0),5),""),"")</f>
        <v/>
      </c>
      <c r="I196">
        <f>IFERROR(IF(ISNUMBER(INDEX(SPPR!$E:$Z,MATCH($A196,SPPR!$A:$A,0),6)),$C196*INDEX(SPPR!$E:$Z,MATCH($A196,SPPR!$A:$A,0),6),""),"")</f>
        <v/>
      </c>
      <c r="J196">
        <f>IFERROR(IF(ISNUMBER(INDEX(SPPR!$E:$Z,MATCH($A196,SPPR!$A:$A,0),7)),$C196*INDEX(SPPR!$E:$Z,MATCH($A196,SPPR!$A:$A,0),7),""),"")</f>
        <v/>
      </c>
      <c r="K196">
        <f>IFERROR(IF(ISNUMBER(INDEX(SPPR!$E:$Z,MATCH($A196,SPPR!$A:$A,0),8)),$C196*INDEX(SPPR!$E:$Z,MATCH($A196,SPPR!$A:$A,0),8),""),"")</f>
        <v/>
      </c>
      <c r="L196">
        <f>IFERROR(IF(ISNUMBER(INDEX(SPPR!$E:$Z,MATCH($A196,SPPR!$A:$A,0),9)),$C196*INDEX(SPPR!$E:$Z,MATCH($A196,SPPR!$A:$A,0),9),""),"")</f>
        <v/>
      </c>
      <c r="M196">
        <f>IFERROR(IF(ISNUMBER(INDEX(SPPR!$E:$Z,MATCH($A196,SPPR!$A:$A,0),10)),$C196*INDEX(SPPR!$E:$Z,MATCH($A196,SPPR!$A:$A,0),10),""),"")</f>
        <v/>
      </c>
      <c r="N196">
        <f>IFERROR(IF(ISNUMBER(INDEX(SPPR!$E:$Z,MATCH($A196,SPPR!$A:$A,0),11)),$C196*INDEX(SPPR!$E:$Z,MATCH($A196,SPPR!$A:$A,0),11),""),"")</f>
        <v/>
      </c>
      <c r="O196">
        <f>IFERROR(IF(ISNUMBER(INDEX(SPPR!$E:$Z,MATCH($A196,SPPR!$A:$A,0),12)),$C196*INDEX(SPPR!$E:$Z,MATCH($A196,SPPR!$A:$A,0),12),""),"")</f>
        <v/>
      </c>
      <c r="P196">
        <f>IFERROR(IF(ISNUMBER(INDEX(SPPR!$E:$Z,MATCH($A196,SPPR!$A:$A,0),13)),$C196*INDEX(SPPR!$E:$Z,MATCH($A196,SPPR!$A:$A,0),13),""),"")</f>
        <v/>
      </c>
      <c r="Q196">
        <f>IFERROR(IF(ISNUMBER(INDEX(SPPR!$E:$Z,MATCH($A196,SPPR!$A:$A,0),14)),$C196*INDEX(SPPR!$E:$Z,MATCH($A196,SPPR!$A:$A,0),14),""),"")</f>
        <v/>
      </c>
      <c r="R196">
        <f>IFERROR(IF(ISNUMBER(INDEX(SPPR!$E:$Z,MATCH($A196,SPPR!$A:$A,0),15)),$C196*INDEX(SPPR!$E:$Z,MATCH($A196,SPPR!$A:$A,0),15),""),"")</f>
        <v/>
      </c>
      <c r="S196">
        <f>IFERROR(IF(ISNUMBER(INDEX(SPPR!$E:$Z,MATCH($A196,SPPR!$A:$A,0),16)),$C196*INDEX(SPPR!$E:$Z,MATCH($A196,SPPR!$A:$A,0),16),""),"")</f>
        <v/>
      </c>
      <c r="T196">
        <f>IFERROR(IF(ISNUMBER(INDEX(SPPR!$E:$Z,MATCH($A196,SPPR!$A:$A,0),17)),$C196*INDEX(SPPR!$E:$Z,MATCH($A196,SPPR!$A:$A,0),17),""),"")</f>
        <v/>
      </c>
      <c r="U196">
        <f>IFERROR(IF(ISNUMBER(INDEX(SPPR!$E:$Z,MATCH($A196,SPPR!$A:$A,0),18)),$C196*INDEX(SPPR!$E:$Z,MATCH($A196,SPPR!$A:$A,0),18),""),"")</f>
        <v/>
      </c>
      <c r="V196">
        <f>IFERROR(IF(ISNUMBER(INDEX(SPPR!$E:$Z,MATCH($A196,SPPR!$A:$A,0),19)),$C196*INDEX(SPPR!$E:$Z,MATCH($A196,SPPR!$A:$A,0),19),""),"")</f>
        <v/>
      </c>
      <c r="W196">
        <f>IFERROR(IF(ISNUMBER(INDEX(SPPR!$E:$Z,MATCH($A196,SPPR!$A:$A,0),20)),$C196*INDEX(SPPR!$E:$Z,MATCH($A196,SPPR!$A:$A,0),20),""),"")</f>
        <v/>
      </c>
      <c r="X196">
        <f>IFERROR(IF(ISNUMBER(INDEX(SPPR!$E:$Z,MATCH($A196,SPPR!$A:$A,0),21)),$C196*INDEX(SPPR!$E:$Z,MATCH($A196,SPPR!$A:$A,0),21),""),"")</f>
        <v/>
      </c>
      <c r="Y196">
        <f>IFERROR(IF(ISNUMBER(INDEX(SPPR!$E:$Z,MATCH($A196,SPPR!$A:$A,0),22)),$C196*INDEX(SPPR!$E:$Z,MATCH($A196,SPPR!$A:$A,0),22),""),"")</f>
        <v/>
      </c>
    </row>
    <row r="197">
      <c r="A197" t="inlineStr">
        <is>
          <t>Menidae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IFERROR(IF(ISNUMBER(INDEX(SPPR!$E:$Z,MATCH($A197,SPPR!$A:$A,0),1)),$C197*INDEX(SPPR!$E:$Z,MATCH($A197,SPPR!$A:$A,0),1),""),"")</f>
        <v/>
      </c>
      <c r="E197">
        <f>IFERROR(IF(ISNUMBER(INDEX(SPPR!$E:$Z,MATCH($A197,SPPR!$A:$A,0),2)),$C197*INDEX(SPPR!$E:$Z,MATCH($A197,SPPR!$A:$A,0),2),""),"")</f>
        <v/>
      </c>
      <c r="F197">
        <f>IFERROR(IF(ISNUMBER(INDEX(SPPR!$E:$Z,MATCH($A197,SPPR!$A:$A,0),3)),$C197*INDEX(SPPR!$E:$Z,MATCH($A197,SPPR!$A:$A,0),3),""),"")</f>
        <v/>
      </c>
      <c r="G197">
        <f>IFERROR(IF(ISNUMBER(INDEX(SPPR!$E:$Z,MATCH($A197,SPPR!$A:$A,0),4)),$C197*INDEX(SPPR!$E:$Z,MATCH($A197,SPPR!$A:$A,0),4),""),"")</f>
        <v/>
      </c>
      <c r="H197">
        <f>IFERROR(IF(ISNUMBER(INDEX(SPPR!$E:$Z,MATCH($A197,SPPR!$A:$A,0),5)),$C197*INDEX(SPPR!$E:$Z,MATCH($A197,SPPR!$A:$A,0),5),""),"")</f>
        <v/>
      </c>
      <c r="I197">
        <f>IFERROR(IF(ISNUMBER(INDEX(SPPR!$E:$Z,MATCH($A197,SPPR!$A:$A,0),6)),$C197*INDEX(SPPR!$E:$Z,MATCH($A197,SPPR!$A:$A,0),6),""),"")</f>
        <v/>
      </c>
      <c r="J197">
        <f>IFERROR(IF(ISNUMBER(INDEX(SPPR!$E:$Z,MATCH($A197,SPPR!$A:$A,0),7)),$C197*INDEX(SPPR!$E:$Z,MATCH($A197,SPPR!$A:$A,0),7),""),"")</f>
        <v/>
      </c>
      <c r="K197">
        <f>IFERROR(IF(ISNUMBER(INDEX(SPPR!$E:$Z,MATCH($A197,SPPR!$A:$A,0),8)),$C197*INDEX(SPPR!$E:$Z,MATCH($A197,SPPR!$A:$A,0),8),""),"")</f>
        <v/>
      </c>
      <c r="L197">
        <f>IFERROR(IF(ISNUMBER(INDEX(SPPR!$E:$Z,MATCH($A197,SPPR!$A:$A,0),9)),$C197*INDEX(SPPR!$E:$Z,MATCH($A197,SPPR!$A:$A,0),9),""),"")</f>
        <v/>
      </c>
      <c r="M197">
        <f>IFERROR(IF(ISNUMBER(INDEX(SPPR!$E:$Z,MATCH($A197,SPPR!$A:$A,0),10)),$C197*INDEX(SPPR!$E:$Z,MATCH($A197,SPPR!$A:$A,0),10),""),"")</f>
        <v/>
      </c>
      <c r="N197">
        <f>IFERROR(IF(ISNUMBER(INDEX(SPPR!$E:$Z,MATCH($A197,SPPR!$A:$A,0),11)),$C197*INDEX(SPPR!$E:$Z,MATCH($A197,SPPR!$A:$A,0),11),""),"")</f>
        <v/>
      </c>
      <c r="O197">
        <f>IFERROR(IF(ISNUMBER(INDEX(SPPR!$E:$Z,MATCH($A197,SPPR!$A:$A,0),12)),$C197*INDEX(SPPR!$E:$Z,MATCH($A197,SPPR!$A:$A,0),12),""),"")</f>
        <v/>
      </c>
      <c r="P197">
        <f>IFERROR(IF(ISNUMBER(INDEX(SPPR!$E:$Z,MATCH($A197,SPPR!$A:$A,0),13)),$C197*INDEX(SPPR!$E:$Z,MATCH($A197,SPPR!$A:$A,0),13),""),"")</f>
        <v/>
      </c>
      <c r="Q197">
        <f>IFERROR(IF(ISNUMBER(INDEX(SPPR!$E:$Z,MATCH($A197,SPPR!$A:$A,0),14)),$C197*INDEX(SPPR!$E:$Z,MATCH($A197,SPPR!$A:$A,0),14),""),"")</f>
        <v/>
      </c>
      <c r="R197">
        <f>IFERROR(IF(ISNUMBER(INDEX(SPPR!$E:$Z,MATCH($A197,SPPR!$A:$A,0),15)),$C197*INDEX(SPPR!$E:$Z,MATCH($A197,SPPR!$A:$A,0),15),""),"")</f>
        <v/>
      </c>
      <c r="S197">
        <f>IFERROR(IF(ISNUMBER(INDEX(SPPR!$E:$Z,MATCH($A197,SPPR!$A:$A,0),16)),$C197*INDEX(SPPR!$E:$Z,MATCH($A197,SPPR!$A:$A,0),16),""),"")</f>
        <v/>
      </c>
      <c r="T197">
        <f>IFERROR(IF(ISNUMBER(INDEX(SPPR!$E:$Z,MATCH($A197,SPPR!$A:$A,0),17)),$C197*INDEX(SPPR!$E:$Z,MATCH($A197,SPPR!$A:$A,0),17),""),"")</f>
        <v/>
      </c>
      <c r="U197">
        <f>IFERROR(IF(ISNUMBER(INDEX(SPPR!$E:$Z,MATCH($A197,SPPR!$A:$A,0),18)),$C197*INDEX(SPPR!$E:$Z,MATCH($A197,SPPR!$A:$A,0),18),""),"")</f>
        <v/>
      </c>
      <c r="V197">
        <f>IFERROR(IF(ISNUMBER(INDEX(SPPR!$E:$Z,MATCH($A197,SPPR!$A:$A,0),19)),$C197*INDEX(SPPR!$E:$Z,MATCH($A197,SPPR!$A:$A,0),19),""),"")</f>
        <v/>
      </c>
      <c r="W197">
        <f>IFERROR(IF(ISNUMBER(INDEX(SPPR!$E:$Z,MATCH($A197,SPPR!$A:$A,0),20)),$C197*INDEX(SPPR!$E:$Z,MATCH($A197,SPPR!$A:$A,0),20),""),"")</f>
        <v/>
      </c>
      <c r="X197">
        <f>IFERROR(IF(ISNUMBER(INDEX(SPPR!$E:$Z,MATCH($A197,SPPR!$A:$A,0),21)),$C197*INDEX(SPPR!$E:$Z,MATCH($A197,SPPR!$A:$A,0),21),""),"")</f>
        <v/>
      </c>
      <c r="Y197">
        <f>IFERROR(IF(ISNUMBER(INDEX(SPPR!$E:$Z,MATCH($A197,SPPR!$A:$A,0),22)),$C197*INDEX(SPPR!$E:$Z,MATCH($A197,SPPR!$A:$A,0),22),""),"")</f>
        <v/>
      </c>
    </row>
    <row r="198">
      <c r="A198" t="inlineStr">
        <is>
          <t>Hyporhamphus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IFERROR(IF(ISNUMBER(INDEX(SPPR!$E:$Z,MATCH($A198,SPPR!$A:$A,0),1)),$C198*INDEX(SPPR!$E:$Z,MATCH($A198,SPPR!$A:$A,0),1),""),"")</f>
        <v/>
      </c>
      <c r="E198">
        <f>IFERROR(IF(ISNUMBER(INDEX(SPPR!$E:$Z,MATCH($A198,SPPR!$A:$A,0),2)),$C198*INDEX(SPPR!$E:$Z,MATCH($A198,SPPR!$A:$A,0),2),""),"")</f>
        <v/>
      </c>
      <c r="F198">
        <f>IFERROR(IF(ISNUMBER(INDEX(SPPR!$E:$Z,MATCH($A198,SPPR!$A:$A,0),3)),$C198*INDEX(SPPR!$E:$Z,MATCH($A198,SPPR!$A:$A,0),3),""),"")</f>
        <v/>
      </c>
      <c r="G198">
        <f>IFERROR(IF(ISNUMBER(INDEX(SPPR!$E:$Z,MATCH($A198,SPPR!$A:$A,0),4)),$C198*INDEX(SPPR!$E:$Z,MATCH($A198,SPPR!$A:$A,0),4),""),"")</f>
        <v/>
      </c>
      <c r="H198">
        <f>IFERROR(IF(ISNUMBER(INDEX(SPPR!$E:$Z,MATCH($A198,SPPR!$A:$A,0),5)),$C198*INDEX(SPPR!$E:$Z,MATCH($A198,SPPR!$A:$A,0),5),""),"")</f>
        <v/>
      </c>
      <c r="I198">
        <f>IFERROR(IF(ISNUMBER(INDEX(SPPR!$E:$Z,MATCH($A198,SPPR!$A:$A,0),6)),$C198*INDEX(SPPR!$E:$Z,MATCH($A198,SPPR!$A:$A,0),6),""),"")</f>
        <v/>
      </c>
      <c r="J198">
        <f>IFERROR(IF(ISNUMBER(INDEX(SPPR!$E:$Z,MATCH($A198,SPPR!$A:$A,0),7)),$C198*INDEX(SPPR!$E:$Z,MATCH($A198,SPPR!$A:$A,0),7),""),"")</f>
        <v/>
      </c>
      <c r="K198">
        <f>IFERROR(IF(ISNUMBER(INDEX(SPPR!$E:$Z,MATCH($A198,SPPR!$A:$A,0),8)),$C198*INDEX(SPPR!$E:$Z,MATCH($A198,SPPR!$A:$A,0),8),""),"")</f>
        <v/>
      </c>
      <c r="L198">
        <f>IFERROR(IF(ISNUMBER(INDEX(SPPR!$E:$Z,MATCH($A198,SPPR!$A:$A,0),9)),$C198*INDEX(SPPR!$E:$Z,MATCH($A198,SPPR!$A:$A,0),9),""),"")</f>
        <v/>
      </c>
      <c r="M198">
        <f>IFERROR(IF(ISNUMBER(INDEX(SPPR!$E:$Z,MATCH($A198,SPPR!$A:$A,0),10)),$C198*INDEX(SPPR!$E:$Z,MATCH($A198,SPPR!$A:$A,0),10),""),"")</f>
        <v/>
      </c>
      <c r="N198">
        <f>IFERROR(IF(ISNUMBER(INDEX(SPPR!$E:$Z,MATCH($A198,SPPR!$A:$A,0),11)),$C198*INDEX(SPPR!$E:$Z,MATCH($A198,SPPR!$A:$A,0),11),""),"")</f>
        <v/>
      </c>
      <c r="O198">
        <f>IFERROR(IF(ISNUMBER(INDEX(SPPR!$E:$Z,MATCH($A198,SPPR!$A:$A,0),12)),$C198*INDEX(SPPR!$E:$Z,MATCH($A198,SPPR!$A:$A,0),12),""),"")</f>
        <v/>
      </c>
      <c r="P198">
        <f>IFERROR(IF(ISNUMBER(INDEX(SPPR!$E:$Z,MATCH($A198,SPPR!$A:$A,0),13)),$C198*INDEX(SPPR!$E:$Z,MATCH($A198,SPPR!$A:$A,0),13),""),"")</f>
        <v/>
      </c>
      <c r="Q198">
        <f>IFERROR(IF(ISNUMBER(INDEX(SPPR!$E:$Z,MATCH($A198,SPPR!$A:$A,0),14)),$C198*INDEX(SPPR!$E:$Z,MATCH($A198,SPPR!$A:$A,0),14),""),"")</f>
        <v/>
      </c>
      <c r="R198">
        <f>IFERROR(IF(ISNUMBER(INDEX(SPPR!$E:$Z,MATCH($A198,SPPR!$A:$A,0),15)),$C198*INDEX(SPPR!$E:$Z,MATCH($A198,SPPR!$A:$A,0),15),""),"")</f>
        <v/>
      </c>
      <c r="S198">
        <f>IFERROR(IF(ISNUMBER(INDEX(SPPR!$E:$Z,MATCH($A198,SPPR!$A:$A,0),16)),$C198*INDEX(SPPR!$E:$Z,MATCH($A198,SPPR!$A:$A,0),16),""),"")</f>
        <v/>
      </c>
      <c r="T198">
        <f>IFERROR(IF(ISNUMBER(INDEX(SPPR!$E:$Z,MATCH($A198,SPPR!$A:$A,0),17)),$C198*INDEX(SPPR!$E:$Z,MATCH($A198,SPPR!$A:$A,0),17),""),"")</f>
        <v/>
      </c>
      <c r="U198">
        <f>IFERROR(IF(ISNUMBER(INDEX(SPPR!$E:$Z,MATCH($A198,SPPR!$A:$A,0),18)),$C198*INDEX(SPPR!$E:$Z,MATCH($A198,SPPR!$A:$A,0),18),""),"")</f>
        <v/>
      </c>
      <c r="V198">
        <f>IFERROR(IF(ISNUMBER(INDEX(SPPR!$E:$Z,MATCH($A198,SPPR!$A:$A,0),19)),$C198*INDEX(SPPR!$E:$Z,MATCH($A198,SPPR!$A:$A,0),19),""),"")</f>
        <v/>
      </c>
      <c r="W198">
        <f>IFERROR(IF(ISNUMBER(INDEX(SPPR!$E:$Z,MATCH($A198,SPPR!$A:$A,0),20)),$C198*INDEX(SPPR!$E:$Z,MATCH($A198,SPPR!$A:$A,0),20),""),"")</f>
        <v/>
      </c>
      <c r="X198">
        <f>IFERROR(IF(ISNUMBER(INDEX(SPPR!$E:$Z,MATCH($A198,SPPR!$A:$A,0),21)),$C198*INDEX(SPPR!$E:$Z,MATCH($A198,SPPR!$A:$A,0),21),""),"")</f>
        <v/>
      </c>
      <c r="Y198">
        <f>IFERROR(IF(ISNUMBER(INDEX(SPPR!$E:$Z,MATCH($A198,SPPR!$A:$A,0),22)),$C198*INDEX(SPPR!$E:$Z,MATCH($A198,SPPR!$A:$A,0),22),""),"")</f>
        <v/>
      </c>
    </row>
    <row r="199">
      <c r="A199" t="inlineStr">
        <is>
          <t>Caranx sexfasciatus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IFERROR(IF(ISNUMBER(INDEX(SPPR!$E:$Z,MATCH($A199,SPPR!$A:$A,0),1)),$C199*INDEX(SPPR!$E:$Z,MATCH($A199,SPPR!$A:$A,0),1),""),"")</f>
        <v/>
      </c>
      <c r="E199">
        <f>IFERROR(IF(ISNUMBER(INDEX(SPPR!$E:$Z,MATCH($A199,SPPR!$A:$A,0),2)),$C199*INDEX(SPPR!$E:$Z,MATCH($A199,SPPR!$A:$A,0),2),""),"")</f>
        <v/>
      </c>
      <c r="F199">
        <f>IFERROR(IF(ISNUMBER(INDEX(SPPR!$E:$Z,MATCH($A199,SPPR!$A:$A,0),3)),$C199*INDEX(SPPR!$E:$Z,MATCH($A199,SPPR!$A:$A,0),3),""),"")</f>
        <v/>
      </c>
      <c r="G199">
        <f>IFERROR(IF(ISNUMBER(INDEX(SPPR!$E:$Z,MATCH($A199,SPPR!$A:$A,0),4)),$C199*INDEX(SPPR!$E:$Z,MATCH($A199,SPPR!$A:$A,0),4),""),"")</f>
        <v/>
      </c>
      <c r="H199">
        <f>IFERROR(IF(ISNUMBER(INDEX(SPPR!$E:$Z,MATCH($A199,SPPR!$A:$A,0),5)),$C199*INDEX(SPPR!$E:$Z,MATCH($A199,SPPR!$A:$A,0),5),""),"")</f>
        <v/>
      </c>
      <c r="I199">
        <f>IFERROR(IF(ISNUMBER(INDEX(SPPR!$E:$Z,MATCH($A199,SPPR!$A:$A,0),6)),$C199*INDEX(SPPR!$E:$Z,MATCH($A199,SPPR!$A:$A,0),6),""),"")</f>
        <v/>
      </c>
      <c r="J199">
        <f>IFERROR(IF(ISNUMBER(INDEX(SPPR!$E:$Z,MATCH($A199,SPPR!$A:$A,0),7)),$C199*INDEX(SPPR!$E:$Z,MATCH($A199,SPPR!$A:$A,0),7),""),"")</f>
        <v/>
      </c>
      <c r="K199">
        <f>IFERROR(IF(ISNUMBER(INDEX(SPPR!$E:$Z,MATCH($A199,SPPR!$A:$A,0),8)),$C199*INDEX(SPPR!$E:$Z,MATCH($A199,SPPR!$A:$A,0),8),""),"")</f>
        <v/>
      </c>
      <c r="L199">
        <f>IFERROR(IF(ISNUMBER(INDEX(SPPR!$E:$Z,MATCH($A199,SPPR!$A:$A,0),9)),$C199*INDEX(SPPR!$E:$Z,MATCH($A199,SPPR!$A:$A,0),9),""),"")</f>
        <v/>
      </c>
      <c r="M199">
        <f>IFERROR(IF(ISNUMBER(INDEX(SPPR!$E:$Z,MATCH($A199,SPPR!$A:$A,0),10)),$C199*INDEX(SPPR!$E:$Z,MATCH($A199,SPPR!$A:$A,0),10),""),"")</f>
        <v/>
      </c>
      <c r="N199">
        <f>IFERROR(IF(ISNUMBER(INDEX(SPPR!$E:$Z,MATCH($A199,SPPR!$A:$A,0),11)),$C199*INDEX(SPPR!$E:$Z,MATCH($A199,SPPR!$A:$A,0),11),""),"")</f>
        <v/>
      </c>
      <c r="O199">
        <f>IFERROR(IF(ISNUMBER(INDEX(SPPR!$E:$Z,MATCH($A199,SPPR!$A:$A,0),12)),$C199*INDEX(SPPR!$E:$Z,MATCH($A199,SPPR!$A:$A,0),12),""),"")</f>
        <v/>
      </c>
      <c r="P199">
        <f>IFERROR(IF(ISNUMBER(INDEX(SPPR!$E:$Z,MATCH($A199,SPPR!$A:$A,0),13)),$C199*INDEX(SPPR!$E:$Z,MATCH($A199,SPPR!$A:$A,0),13),""),"")</f>
        <v/>
      </c>
      <c r="Q199">
        <f>IFERROR(IF(ISNUMBER(INDEX(SPPR!$E:$Z,MATCH($A199,SPPR!$A:$A,0),14)),$C199*INDEX(SPPR!$E:$Z,MATCH($A199,SPPR!$A:$A,0),14),""),"")</f>
        <v/>
      </c>
      <c r="R199">
        <f>IFERROR(IF(ISNUMBER(INDEX(SPPR!$E:$Z,MATCH($A199,SPPR!$A:$A,0),15)),$C199*INDEX(SPPR!$E:$Z,MATCH($A199,SPPR!$A:$A,0),15),""),"")</f>
        <v/>
      </c>
      <c r="S199">
        <f>IFERROR(IF(ISNUMBER(INDEX(SPPR!$E:$Z,MATCH($A199,SPPR!$A:$A,0),16)),$C199*INDEX(SPPR!$E:$Z,MATCH($A199,SPPR!$A:$A,0),16),""),"")</f>
        <v/>
      </c>
      <c r="T199">
        <f>IFERROR(IF(ISNUMBER(INDEX(SPPR!$E:$Z,MATCH($A199,SPPR!$A:$A,0),17)),$C199*INDEX(SPPR!$E:$Z,MATCH($A199,SPPR!$A:$A,0),17),""),"")</f>
        <v/>
      </c>
      <c r="U199">
        <f>IFERROR(IF(ISNUMBER(INDEX(SPPR!$E:$Z,MATCH($A199,SPPR!$A:$A,0),18)),$C199*INDEX(SPPR!$E:$Z,MATCH($A199,SPPR!$A:$A,0),18),""),"")</f>
        <v/>
      </c>
      <c r="V199">
        <f>IFERROR(IF(ISNUMBER(INDEX(SPPR!$E:$Z,MATCH($A199,SPPR!$A:$A,0),19)),$C199*INDEX(SPPR!$E:$Z,MATCH($A199,SPPR!$A:$A,0),19),""),"")</f>
        <v/>
      </c>
      <c r="W199">
        <f>IFERROR(IF(ISNUMBER(INDEX(SPPR!$E:$Z,MATCH($A199,SPPR!$A:$A,0),20)),$C199*INDEX(SPPR!$E:$Z,MATCH($A199,SPPR!$A:$A,0),20),""),"")</f>
        <v/>
      </c>
      <c r="X199">
        <f>IFERROR(IF(ISNUMBER(INDEX(SPPR!$E:$Z,MATCH($A199,SPPR!$A:$A,0),21)),$C199*INDEX(SPPR!$E:$Z,MATCH($A199,SPPR!$A:$A,0),21),""),"")</f>
        <v/>
      </c>
      <c r="Y199">
        <f>IFERROR(IF(ISNUMBER(INDEX(SPPR!$E:$Z,MATCH($A199,SPPR!$A:$A,0),22)),$C199*INDEX(SPPR!$E:$Z,MATCH($A199,SPPR!$A:$A,0),22),""),"")</f>
        <v/>
      </c>
    </row>
    <row r="200">
      <c r="A200" t="inlineStr">
        <is>
          <t>Megalops cyprinoides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IFERROR(IF(ISNUMBER(INDEX(SPPR!$E:$Z,MATCH($A200,SPPR!$A:$A,0),1)),$C200*INDEX(SPPR!$E:$Z,MATCH($A200,SPPR!$A:$A,0),1),""),"")</f>
        <v/>
      </c>
      <c r="E200">
        <f>IFERROR(IF(ISNUMBER(INDEX(SPPR!$E:$Z,MATCH($A200,SPPR!$A:$A,0),2)),$C200*INDEX(SPPR!$E:$Z,MATCH($A200,SPPR!$A:$A,0),2),""),"")</f>
        <v/>
      </c>
      <c r="F200">
        <f>IFERROR(IF(ISNUMBER(INDEX(SPPR!$E:$Z,MATCH($A200,SPPR!$A:$A,0),3)),$C200*INDEX(SPPR!$E:$Z,MATCH($A200,SPPR!$A:$A,0),3),""),"")</f>
        <v/>
      </c>
      <c r="G200">
        <f>IFERROR(IF(ISNUMBER(INDEX(SPPR!$E:$Z,MATCH($A200,SPPR!$A:$A,0),4)),$C200*INDEX(SPPR!$E:$Z,MATCH($A200,SPPR!$A:$A,0),4),""),"")</f>
        <v/>
      </c>
      <c r="H200">
        <f>IFERROR(IF(ISNUMBER(INDEX(SPPR!$E:$Z,MATCH($A200,SPPR!$A:$A,0),5)),$C200*INDEX(SPPR!$E:$Z,MATCH($A200,SPPR!$A:$A,0),5),""),"")</f>
        <v/>
      </c>
      <c r="I200">
        <f>IFERROR(IF(ISNUMBER(INDEX(SPPR!$E:$Z,MATCH($A200,SPPR!$A:$A,0),6)),$C200*INDEX(SPPR!$E:$Z,MATCH($A200,SPPR!$A:$A,0),6),""),"")</f>
        <v/>
      </c>
      <c r="J200">
        <f>IFERROR(IF(ISNUMBER(INDEX(SPPR!$E:$Z,MATCH($A200,SPPR!$A:$A,0),7)),$C200*INDEX(SPPR!$E:$Z,MATCH($A200,SPPR!$A:$A,0),7),""),"")</f>
        <v/>
      </c>
      <c r="K200">
        <f>IFERROR(IF(ISNUMBER(INDEX(SPPR!$E:$Z,MATCH($A200,SPPR!$A:$A,0),8)),$C200*INDEX(SPPR!$E:$Z,MATCH($A200,SPPR!$A:$A,0),8),""),"")</f>
        <v/>
      </c>
      <c r="L200">
        <f>IFERROR(IF(ISNUMBER(INDEX(SPPR!$E:$Z,MATCH($A200,SPPR!$A:$A,0),9)),$C200*INDEX(SPPR!$E:$Z,MATCH($A200,SPPR!$A:$A,0),9),""),"")</f>
        <v/>
      </c>
      <c r="M200">
        <f>IFERROR(IF(ISNUMBER(INDEX(SPPR!$E:$Z,MATCH($A200,SPPR!$A:$A,0),10)),$C200*INDEX(SPPR!$E:$Z,MATCH($A200,SPPR!$A:$A,0),10),""),"")</f>
        <v/>
      </c>
      <c r="N200">
        <f>IFERROR(IF(ISNUMBER(INDEX(SPPR!$E:$Z,MATCH($A200,SPPR!$A:$A,0),11)),$C200*INDEX(SPPR!$E:$Z,MATCH($A200,SPPR!$A:$A,0),11),""),"")</f>
        <v/>
      </c>
      <c r="O200">
        <f>IFERROR(IF(ISNUMBER(INDEX(SPPR!$E:$Z,MATCH($A200,SPPR!$A:$A,0),12)),$C200*INDEX(SPPR!$E:$Z,MATCH($A200,SPPR!$A:$A,0),12),""),"")</f>
        <v/>
      </c>
      <c r="P200">
        <f>IFERROR(IF(ISNUMBER(INDEX(SPPR!$E:$Z,MATCH($A200,SPPR!$A:$A,0),13)),$C200*INDEX(SPPR!$E:$Z,MATCH($A200,SPPR!$A:$A,0),13),""),"")</f>
        <v/>
      </c>
      <c r="Q200">
        <f>IFERROR(IF(ISNUMBER(INDEX(SPPR!$E:$Z,MATCH($A200,SPPR!$A:$A,0),14)),$C200*INDEX(SPPR!$E:$Z,MATCH($A200,SPPR!$A:$A,0),14),""),"")</f>
        <v/>
      </c>
      <c r="R200">
        <f>IFERROR(IF(ISNUMBER(INDEX(SPPR!$E:$Z,MATCH($A200,SPPR!$A:$A,0),15)),$C200*INDEX(SPPR!$E:$Z,MATCH($A200,SPPR!$A:$A,0),15),""),"")</f>
        <v/>
      </c>
      <c r="S200">
        <f>IFERROR(IF(ISNUMBER(INDEX(SPPR!$E:$Z,MATCH($A200,SPPR!$A:$A,0),16)),$C200*INDEX(SPPR!$E:$Z,MATCH($A200,SPPR!$A:$A,0),16),""),"")</f>
        <v/>
      </c>
      <c r="T200">
        <f>IFERROR(IF(ISNUMBER(INDEX(SPPR!$E:$Z,MATCH($A200,SPPR!$A:$A,0),17)),$C200*INDEX(SPPR!$E:$Z,MATCH($A200,SPPR!$A:$A,0),17),""),"")</f>
        <v/>
      </c>
      <c r="U200">
        <f>IFERROR(IF(ISNUMBER(INDEX(SPPR!$E:$Z,MATCH($A200,SPPR!$A:$A,0),18)),$C200*INDEX(SPPR!$E:$Z,MATCH($A200,SPPR!$A:$A,0),18),""),"")</f>
        <v/>
      </c>
      <c r="V200">
        <f>IFERROR(IF(ISNUMBER(INDEX(SPPR!$E:$Z,MATCH($A200,SPPR!$A:$A,0),19)),$C200*INDEX(SPPR!$E:$Z,MATCH($A200,SPPR!$A:$A,0),19),""),"")</f>
        <v/>
      </c>
      <c r="W200">
        <f>IFERROR(IF(ISNUMBER(INDEX(SPPR!$E:$Z,MATCH($A200,SPPR!$A:$A,0),20)),$C200*INDEX(SPPR!$E:$Z,MATCH($A200,SPPR!$A:$A,0),20),""),"")</f>
        <v/>
      </c>
      <c r="X200">
        <f>IFERROR(IF(ISNUMBER(INDEX(SPPR!$E:$Z,MATCH($A200,SPPR!$A:$A,0),21)),$C200*INDEX(SPPR!$E:$Z,MATCH($A200,SPPR!$A:$A,0),21),""),"")</f>
        <v/>
      </c>
      <c r="Y200">
        <f>IFERROR(IF(ISNUMBER(INDEX(SPPR!$E:$Z,MATCH($A200,SPPR!$A:$A,0),22)),$C200*INDEX(SPPR!$E:$Z,MATCH($A200,SPPR!$A:$A,0),22),""),"")</f>
        <v/>
      </c>
    </row>
    <row r="201">
      <c r="A201" t="inlineStr">
        <is>
          <t>Spratelloides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IFERROR(IF(ISNUMBER(INDEX(SPPR!$E:$Z,MATCH($A201,SPPR!$A:$A,0),1)),$C201*INDEX(SPPR!$E:$Z,MATCH($A201,SPPR!$A:$A,0),1),""),"")</f>
        <v/>
      </c>
      <c r="E201">
        <f>IFERROR(IF(ISNUMBER(INDEX(SPPR!$E:$Z,MATCH($A201,SPPR!$A:$A,0),2)),$C201*INDEX(SPPR!$E:$Z,MATCH($A201,SPPR!$A:$A,0),2),""),"")</f>
        <v/>
      </c>
      <c r="F201">
        <f>IFERROR(IF(ISNUMBER(INDEX(SPPR!$E:$Z,MATCH($A201,SPPR!$A:$A,0),3)),$C201*INDEX(SPPR!$E:$Z,MATCH($A201,SPPR!$A:$A,0),3),""),"")</f>
        <v/>
      </c>
      <c r="G201">
        <f>IFERROR(IF(ISNUMBER(INDEX(SPPR!$E:$Z,MATCH($A201,SPPR!$A:$A,0),4)),$C201*INDEX(SPPR!$E:$Z,MATCH($A201,SPPR!$A:$A,0),4),""),"")</f>
        <v/>
      </c>
      <c r="H201">
        <f>IFERROR(IF(ISNUMBER(INDEX(SPPR!$E:$Z,MATCH($A201,SPPR!$A:$A,0),5)),$C201*INDEX(SPPR!$E:$Z,MATCH($A201,SPPR!$A:$A,0),5),""),"")</f>
        <v/>
      </c>
      <c r="I201">
        <f>IFERROR(IF(ISNUMBER(INDEX(SPPR!$E:$Z,MATCH($A201,SPPR!$A:$A,0),6)),$C201*INDEX(SPPR!$E:$Z,MATCH($A201,SPPR!$A:$A,0),6),""),"")</f>
        <v/>
      </c>
      <c r="J201">
        <f>IFERROR(IF(ISNUMBER(INDEX(SPPR!$E:$Z,MATCH($A201,SPPR!$A:$A,0),7)),$C201*INDEX(SPPR!$E:$Z,MATCH($A201,SPPR!$A:$A,0),7),""),"")</f>
        <v/>
      </c>
      <c r="K201">
        <f>IFERROR(IF(ISNUMBER(INDEX(SPPR!$E:$Z,MATCH($A201,SPPR!$A:$A,0),8)),$C201*INDEX(SPPR!$E:$Z,MATCH($A201,SPPR!$A:$A,0),8),""),"")</f>
        <v/>
      </c>
      <c r="L201">
        <f>IFERROR(IF(ISNUMBER(INDEX(SPPR!$E:$Z,MATCH($A201,SPPR!$A:$A,0),9)),$C201*INDEX(SPPR!$E:$Z,MATCH($A201,SPPR!$A:$A,0),9),""),"")</f>
        <v/>
      </c>
      <c r="M201">
        <f>IFERROR(IF(ISNUMBER(INDEX(SPPR!$E:$Z,MATCH($A201,SPPR!$A:$A,0),10)),$C201*INDEX(SPPR!$E:$Z,MATCH($A201,SPPR!$A:$A,0),10),""),"")</f>
        <v/>
      </c>
      <c r="N201">
        <f>IFERROR(IF(ISNUMBER(INDEX(SPPR!$E:$Z,MATCH($A201,SPPR!$A:$A,0),11)),$C201*INDEX(SPPR!$E:$Z,MATCH($A201,SPPR!$A:$A,0),11),""),"")</f>
        <v/>
      </c>
      <c r="O201">
        <f>IFERROR(IF(ISNUMBER(INDEX(SPPR!$E:$Z,MATCH($A201,SPPR!$A:$A,0),12)),$C201*INDEX(SPPR!$E:$Z,MATCH($A201,SPPR!$A:$A,0),12),""),"")</f>
        <v/>
      </c>
      <c r="P201">
        <f>IFERROR(IF(ISNUMBER(INDEX(SPPR!$E:$Z,MATCH($A201,SPPR!$A:$A,0),13)),$C201*INDEX(SPPR!$E:$Z,MATCH($A201,SPPR!$A:$A,0),13),""),"")</f>
        <v/>
      </c>
      <c r="Q201">
        <f>IFERROR(IF(ISNUMBER(INDEX(SPPR!$E:$Z,MATCH($A201,SPPR!$A:$A,0),14)),$C201*INDEX(SPPR!$E:$Z,MATCH($A201,SPPR!$A:$A,0),14),""),"")</f>
        <v/>
      </c>
      <c r="R201">
        <f>IFERROR(IF(ISNUMBER(INDEX(SPPR!$E:$Z,MATCH($A201,SPPR!$A:$A,0),15)),$C201*INDEX(SPPR!$E:$Z,MATCH($A201,SPPR!$A:$A,0),15),""),"")</f>
        <v/>
      </c>
      <c r="S201">
        <f>IFERROR(IF(ISNUMBER(INDEX(SPPR!$E:$Z,MATCH($A201,SPPR!$A:$A,0),16)),$C201*INDEX(SPPR!$E:$Z,MATCH($A201,SPPR!$A:$A,0),16),""),"")</f>
        <v/>
      </c>
      <c r="T201">
        <f>IFERROR(IF(ISNUMBER(INDEX(SPPR!$E:$Z,MATCH($A201,SPPR!$A:$A,0),17)),$C201*INDEX(SPPR!$E:$Z,MATCH($A201,SPPR!$A:$A,0),17),""),"")</f>
        <v/>
      </c>
      <c r="U201">
        <f>IFERROR(IF(ISNUMBER(INDEX(SPPR!$E:$Z,MATCH($A201,SPPR!$A:$A,0),18)),$C201*INDEX(SPPR!$E:$Z,MATCH($A201,SPPR!$A:$A,0),18),""),"")</f>
        <v/>
      </c>
      <c r="V201">
        <f>IFERROR(IF(ISNUMBER(INDEX(SPPR!$E:$Z,MATCH($A201,SPPR!$A:$A,0),19)),$C201*INDEX(SPPR!$E:$Z,MATCH($A201,SPPR!$A:$A,0),19),""),"")</f>
        <v/>
      </c>
      <c r="W201">
        <f>IFERROR(IF(ISNUMBER(INDEX(SPPR!$E:$Z,MATCH($A201,SPPR!$A:$A,0),20)),$C201*INDEX(SPPR!$E:$Z,MATCH($A201,SPPR!$A:$A,0),20),""),"")</f>
        <v/>
      </c>
      <c r="X201">
        <f>IFERROR(IF(ISNUMBER(INDEX(SPPR!$E:$Z,MATCH($A201,SPPR!$A:$A,0),21)),$C201*INDEX(SPPR!$E:$Z,MATCH($A201,SPPR!$A:$A,0),21),""),"")</f>
        <v/>
      </c>
      <c r="Y201">
        <f>IFERROR(IF(ISNUMBER(INDEX(SPPR!$E:$Z,MATCH($A201,SPPR!$A:$A,0),22)),$C201*INDEX(SPPR!$E:$Z,MATCH($A201,SPPR!$A:$A,0),22),""),"")</f>
        <v/>
      </c>
    </row>
    <row r="202">
      <c r="A202" t="inlineStr">
        <is>
          <t>Marine pelagic fishes not identified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IFERROR(IF(ISNUMBER(INDEX(SPPR!$E:$Z,MATCH($A202,SPPR!$A:$A,0),1)),$C202*INDEX(SPPR!$E:$Z,MATCH($A202,SPPR!$A:$A,0),1),""),"")</f>
        <v/>
      </c>
      <c r="E202">
        <f>IFERROR(IF(ISNUMBER(INDEX(SPPR!$E:$Z,MATCH($A202,SPPR!$A:$A,0),2)),$C202*INDEX(SPPR!$E:$Z,MATCH($A202,SPPR!$A:$A,0),2),""),"")</f>
        <v/>
      </c>
      <c r="F202">
        <f>IFERROR(IF(ISNUMBER(INDEX(SPPR!$E:$Z,MATCH($A202,SPPR!$A:$A,0),3)),$C202*INDEX(SPPR!$E:$Z,MATCH($A202,SPPR!$A:$A,0),3),""),"")</f>
        <v/>
      </c>
      <c r="G202">
        <f>IFERROR(IF(ISNUMBER(INDEX(SPPR!$E:$Z,MATCH($A202,SPPR!$A:$A,0),4)),$C202*INDEX(SPPR!$E:$Z,MATCH($A202,SPPR!$A:$A,0),4),""),"")</f>
        <v/>
      </c>
      <c r="H202">
        <f>IFERROR(IF(ISNUMBER(INDEX(SPPR!$E:$Z,MATCH($A202,SPPR!$A:$A,0),5)),$C202*INDEX(SPPR!$E:$Z,MATCH($A202,SPPR!$A:$A,0),5),""),"")</f>
        <v/>
      </c>
      <c r="I202">
        <f>IFERROR(IF(ISNUMBER(INDEX(SPPR!$E:$Z,MATCH($A202,SPPR!$A:$A,0),6)),$C202*INDEX(SPPR!$E:$Z,MATCH($A202,SPPR!$A:$A,0),6),""),"")</f>
        <v/>
      </c>
      <c r="J202">
        <f>IFERROR(IF(ISNUMBER(INDEX(SPPR!$E:$Z,MATCH($A202,SPPR!$A:$A,0),7)),$C202*INDEX(SPPR!$E:$Z,MATCH($A202,SPPR!$A:$A,0),7),""),"")</f>
        <v/>
      </c>
      <c r="K202">
        <f>IFERROR(IF(ISNUMBER(INDEX(SPPR!$E:$Z,MATCH($A202,SPPR!$A:$A,0),8)),$C202*INDEX(SPPR!$E:$Z,MATCH($A202,SPPR!$A:$A,0),8),""),"")</f>
        <v/>
      </c>
      <c r="L202">
        <f>IFERROR(IF(ISNUMBER(INDEX(SPPR!$E:$Z,MATCH($A202,SPPR!$A:$A,0),9)),$C202*INDEX(SPPR!$E:$Z,MATCH($A202,SPPR!$A:$A,0),9),""),"")</f>
        <v/>
      </c>
      <c r="M202">
        <f>IFERROR(IF(ISNUMBER(INDEX(SPPR!$E:$Z,MATCH($A202,SPPR!$A:$A,0),10)),$C202*INDEX(SPPR!$E:$Z,MATCH($A202,SPPR!$A:$A,0),10),""),"")</f>
        <v/>
      </c>
      <c r="N202">
        <f>IFERROR(IF(ISNUMBER(INDEX(SPPR!$E:$Z,MATCH($A202,SPPR!$A:$A,0),11)),$C202*INDEX(SPPR!$E:$Z,MATCH($A202,SPPR!$A:$A,0),11),""),"")</f>
        <v/>
      </c>
      <c r="O202">
        <f>IFERROR(IF(ISNUMBER(INDEX(SPPR!$E:$Z,MATCH($A202,SPPR!$A:$A,0),12)),$C202*INDEX(SPPR!$E:$Z,MATCH($A202,SPPR!$A:$A,0),12),""),"")</f>
        <v/>
      </c>
      <c r="P202">
        <f>IFERROR(IF(ISNUMBER(INDEX(SPPR!$E:$Z,MATCH($A202,SPPR!$A:$A,0),13)),$C202*INDEX(SPPR!$E:$Z,MATCH($A202,SPPR!$A:$A,0),13),""),"")</f>
        <v/>
      </c>
      <c r="Q202">
        <f>IFERROR(IF(ISNUMBER(INDEX(SPPR!$E:$Z,MATCH($A202,SPPR!$A:$A,0),14)),$C202*INDEX(SPPR!$E:$Z,MATCH($A202,SPPR!$A:$A,0),14),""),"")</f>
        <v/>
      </c>
      <c r="R202">
        <f>IFERROR(IF(ISNUMBER(INDEX(SPPR!$E:$Z,MATCH($A202,SPPR!$A:$A,0),15)),$C202*INDEX(SPPR!$E:$Z,MATCH($A202,SPPR!$A:$A,0),15),""),"")</f>
        <v/>
      </c>
      <c r="S202">
        <f>IFERROR(IF(ISNUMBER(INDEX(SPPR!$E:$Z,MATCH($A202,SPPR!$A:$A,0),16)),$C202*INDEX(SPPR!$E:$Z,MATCH($A202,SPPR!$A:$A,0),16),""),"")</f>
        <v/>
      </c>
      <c r="T202">
        <f>IFERROR(IF(ISNUMBER(INDEX(SPPR!$E:$Z,MATCH($A202,SPPR!$A:$A,0),17)),$C202*INDEX(SPPR!$E:$Z,MATCH($A202,SPPR!$A:$A,0),17),""),"")</f>
        <v/>
      </c>
      <c r="U202">
        <f>IFERROR(IF(ISNUMBER(INDEX(SPPR!$E:$Z,MATCH($A202,SPPR!$A:$A,0),18)),$C202*INDEX(SPPR!$E:$Z,MATCH($A202,SPPR!$A:$A,0),18),""),"")</f>
        <v/>
      </c>
      <c r="V202">
        <f>IFERROR(IF(ISNUMBER(INDEX(SPPR!$E:$Z,MATCH($A202,SPPR!$A:$A,0),19)),$C202*INDEX(SPPR!$E:$Z,MATCH($A202,SPPR!$A:$A,0),19),""),"")</f>
        <v/>
      </c>
      <c r="W202">
        <f>IFERROR(IF(ISNUMBER(INDEX(SPPR!$E:$Z,MATCH($A202,SPPR!$A:$A,0),20)),$C202*INDEX(SPPR!$E:$Z,MATCH($A202,SPPR!$A:$A,0),20),""),"")</f>
        <v/>
      </c>
      <c r="X202">
        <f>IFERROR(IF(ISNUMBER(INDEX(SPPR!$E:$Z,MATCH($A202,SPPR!$A:$A,0),21)),$C202*INDEX(SPPR!$E:$Z,MATCH($A202,SPPR!$A:$A,0),21),""),"")</f>
        <v/>
      </c>
      <c r="Y202">
        <f>IFERROR(IF(ISNUMBER(INDEX(SPPR!$E:$Z,MATCH($A202,SPPR!$A:$A,0),22)),$C202*INDEX(SPPR!$E:$Z,MATCH($A202,SPPR!$A:$A,0),22),""),"")</f>
        <v/>
      </c>
    </row>
    <row r="203">
      <c r="A203" t="inlineStr">
        <is>
          <t>Makaira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IFERROR(IF(ISNUMBER(INDEX(SPPR!$E:$Z,MATCH($A203,SPPR!$A:$A,0),1)),$C203*INDEX(SPPR!$E:$Z,MATCH($A203,SPPR!$A:$A,0),1),""),"")</f>
        <v/>
      </c>
      <c r="E203">
        <f>IFERROR(IF(ISNUMBER(INDEX(SPPR!$E:$Z,MATCH($A203,SPPR!$A:$A,0),2)),$C203*INDEX(SPPR!$E:$Z,MATCH($A203,SPPR!$A:$A,0),2),""),"")</f>
        <v/>
      </c>
      <c r="F203">
        <f>IFERROR(IF(ISNUMBER(INDEX(SPPR!$E:$Z,MATCH($A203,SPPR!$A:$A,0),3)),$C203*INDEX(SPPR!$E:$Z,MATCH($A203,SPPR!$A:$A,0),3),""),"")</f>
        <v/>
      </c>
      <c r="G203">
        <f>IFERROR(IF(ISNUMBER(INDEX(SPPR!$E:$Z,MATCH($A203,SPPR!$A:$A,0),4)),$C203*INDEX(SPPR!$E:$Z,MATCH($A203,SPPR!$A:$A,0),4),""),"")</f>
        <v/>
      </c>
      <c r="H203">
        <f>IFERROR(IF(ISNUMBER(INDEX(SPPR!$E:$Z,MATCH($A203,SPPR!$A:$A,0),5)),$C203*INDEX(SPPR!$E:$Z,MATCH($A203,SPPR!$A:$A,0),5),""),"")</f>
        <v/>
      </c>
      <c r="I203">
        <f>IFERROR(IF(ISNUMBER(INDEX(SPPR!$E:$Z,MATCH($A203,SPPR!$A:$A,0),6)),$C203*INDEX(SPPR!$E:$Z,MATCH($A203,SPPR!$A:$A,0),6),""),"")</f>
        <v/>
      </c>
      <c r="J203">
        <f>IFERROR(IF(ISNUMBER(INDEX(SPPR!$E:$Z,MATCH($A203,SPPR!$A:$A,0),7)),$C203*INDEX(SPPR!$E:$Z,MATCH($A203,SPPR!$A:$A,0),7),""),"")</f>
        <v/>
      </c>
      <c r="K203">
        <f>IFERROR(IF(ISNUMBER(INDEX(SPPR!$E:$Z,MATCH($A203,SPPR!$A:$A,0),8)),$C203*INDEX(SPPR!$E:$Z,MATCH($A203,SPPR!$A:$A,0),8),""),"")</f>
        <v/>
      </c>
      <c r="L203">
        <f>IFERROR(IF(ISNUMBER(INDEX(SPPR!$E:$Z,MATCH($A203,SPPR!$A:$A,0),9)),$C203*INDEX(SPPR!$E:$Z,MATCH($A203,SPPR!$A:$A,0),9),""),"")</f>
        <v/>
      </c>
      <c r="M203">
        <f>IFERROR(IF(ISNUMBER(INDEX(SPPR!$E:$Z,MATCH($A203,SPPR!$A:$A,0),10)),$C203*INDEX(SPPR!$E:$Z,MATCH($A203,SPPR!$A:$A,0),10),""),"")</f>
        <v/>
      </c>
      <c r="N203">
        <f>IFERROR(IF(ISNUMBER(INDEX(SPPR!$E:$Z,MATCH($A203,SPPR!$A:$A,0),11)),$C203*INDEX(SPPR!$E:$Z,MATCH($A203,SPPR!$A:$A,0),11),""),"")</f>
        <v/>
      </c>
      <c r="O203">
        <f>IFERROR(IF(ISNUMBER(INDEX(SPPR!$E:$Z,MATCH($A203,SPPR!$A:$A,0),12)),$C203*INDEX(SPPR!$E:$Z,MATCH($A203,SPPR!$A:$A,0),12),""),"")</f>
        <v/>
      </c>
      <c r="P203">
        <f>IFERROR(IF(ISNUMBER(INDEX(SPPR!$E:$Z,MATCH($A203,SPPR!$A:$A,0),13)),$C203*INDEX(SPPR!$E:$Z,MATCH($A203,SPPR!$A:$A,0),13),""),"")</f>
        <v/>
      </c>
      <c r="Q203">
        <f>IFERROR(IF(ISNUMBER(INDEX(SPPR!$E:$Z,MATCH($A203,SPPR!$A:$A,0),14)),$C203*INDEX(SPPR!$E:$Z,MATCH($A203,SPPR!$A:$A,0),14),""),"")</f>
        <v/>
      </c>
      <c r="R203">
        <f>IFERROR(IF(ISNUMBER(INDEX(SPPR!$E:$Z,MATCH($A203,SPPR!$A:$A,0),15)),$C203*INDEX(SPPR!$E:$Z,MATCH($A203,SPPR!$A:$A,0),15),""),"")</f>
        <v/>
      </c>
      <c r="S203">
        <f>IFERROR(IF(ISNUMBER(INDEX(SPPR!$E:$Z,MATCH($A203,SPPR!$A:$A,0),16)),$C203*INDEX(SPPR!$E:$Z,MATCH($A203,SPPR!$A:$A,0),16),""),"")</f>
        <v/>
      </c>
      <c r="T203">
        <f>IFERROR(IF(ISNUMBER(INDEX(SPPR!$E:$Z,MATCH($A203,SPPR!$A:$A,0),17)),$C203*INDEX(SPPR!$E:$Z,MATCH($A203,SPPR!$A:$A,0),17),""),"")</f>
        <v/>
      </c>
      <c r="U203">
        <f>IFERROR(IF(ISNUMBER(INDEX(SPPR!$E:$Z,MATCH($A203,SPPR!$A:$A,0),18)),$C203*INDEX(SPPR!$E:$Z,MATCH($A203,SPPR!$A:$A,0),18),""),"")</f>
        <v/>
      </c>
      <c r="V203">
        <f>IFERROR(IF(ISNUMBER(INDEX(SPPR!$E:$Z,MATCH($A203,SPPR!$A:$A,0),19)),$C203*INDEX(SPPR!$E:$Z,MATCH($A203,SPPR!$A:$A,0),19),""),"")</f>
        <v/>
      </c>
      <c r="W203">
        <f>IFERROR(IF(ISNUMBER(INDEX(SPPR!$E:$Z,MATCH($A203,SPPR!$A:$A,0),20)),$C203*INDEX(SPPR!$E:$Z,MATCH($A203,SPPR!$A:$A,0),20),""),"")</f>
        <v/>
      </c>
      <c r="X203">
        <f>IFERROR(IF(ISNUMBER(INDEX(SPPR!$E:$Z,MATCH($A203,SPPR!$A:$A,0),21)),$C203*INDEX(SPPR!$E:$Z,MATCH($A203,SPPR!$A:$A,0),21),""),"")</f>
        <v/>
      </c>
      <c r="Y203">
        <f>IFERROR(IF(ISNUMBER(INDEX(SPPR!$E:$Z,MATCH($A203,SPPR!$A:$A,0),22)),$C203*INDEX(SPPR!$E:$Z,MATCH($A203,SPPR!$A:$A,0),22),""),"")</f>
        <v/>
      </c>
    </row>
    <row r="204">
      <c r="A204" t="inlineStr">
        <is>
          <t>Thunnus alalunga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IFERROR(IF(ISNUMBER(INDEX(SPPR!$E:$Z,MATCH($A204,SPPR!$A:$A,0),1)),$C204*INDEX(SPPR!$E:$Z,MATCH($A204,SPPR!$A:$A,0),1),""),"")</f>
        <v/>
      </c>
      <c r="E204">
        <f>IFERROR(IF(ISNUMBER(INDEX(SPPR!$E:$Z,MATCH($A204,SPPR!$A:$A,0),2)),$C204*INDEX(SPPR!$E:$Z,MATCH($A204,SPPR!$A:$A,0),2),""),"")</f>
        <v/>
      </c>
      <c r="F204">
        <f>IFERROR(IF(ISNUMBER(INDEX(SPPR!$E:$Z,MATCH($A204,SPPR!$A:$A,0),3)),$C204*INDEX(SPPR!$E:$Z,MATCH($A204,SPPR!$A:$A,0),3),""),"")</f>
        <v/>
      </c>
      <c r="G204">
        <f>IFERROR(IF(ISNUMBER(INDEX(SPPR!$E:$Z,MATCH($A204,SPPR!$A:$A,0),4)),$C204*INDEX(SPPR!$E:$Z,MATCH($A204,SPPR!$A:$A,0),4),""),"")</f>
        <v/>
      </c>
      <c r="H204">
        <f>IFERROR(IF(ISNUMBER(INDEX(SPPR!$E:$Z,MATCH($A204,SPPR!$A:$A,0),5)),$C204*INDEX(SPPR!$E:$Z,MATCH($A204,SPPR!$A:$A,0),5),""),"")</f>
        <v/>
      </c>
      <c r="I204">
        <f>IFERROR(IF(ISNUMBER(INDEX(SPPR!$E:$Z,MATCH($A204,SPPR!$A:$A,0),6)),$C204*INDEX(SPPR!$E:$Z,MATCH($A204,SPPR!$A:$A,0),6),""),"")</f>
        <v/>
      </c>
      <c r="J204">
        <f>IFERROR(IF(ISNUMBER(INDEX(SPPR!$E:$Z,MATCH($A204,SPPR!$A:$A,0),7)),$C204*INDEX(SPPR!$E:$Z,MATCH($A204,SPPR!$A:$A,0),7),""),"")</f>
        <v/>
      </c>
      <c r="K204">
        <f>IFERROR(IF(ISNUMBER(INDEX(SPPR!$E:$Z,MATCH($A204,SPPR!$A:$A,0),8)),$C204*INDEX(SPPR!$E:$Z,MATCH($A204,SPPR!$A:$A,0),8),""),"")</f>
        <v/>
      </c>
      <c r="L204">
        <f>IFERROR(IF(ISNUMBER(INDEX(SPPR!$E:$Z,MATCH($A204,SPPR!$A:$A,0),9)),$C204*INDEX(SPPR!$E:$Z,MATCH($A204,SPPR!$A:$A,0),9),""),"")</f>
        <v/>
      </c>
      <c r="M204">
        <f>IFERROR(IF(ISNUMBER(INDEX(SPPR!$E:$Z,MATCH($A204,SPPR!$A:$A,0),10)),$C204*INDEX(SPPR!$E:$Z,MATCH($A204,SPPR!$A:$A,0),10),""),"")</f>
        <v/>
      </c>
      <c r="N204">
        <f>IFERROR(IF(ISNUMBER(INDEX(SPPR!$E:$Z,MATCH($A204,SPPR!$A:$A,0),11)),$C204*INDEX(SPPR!$E:$Z,MATCH($A204,SPPR!$A:$A,0),11),""),"")</f>
        <v/>
      </c>
      <c r="O204">
        <f>IFERROR(IF(ISNUMBER(INDEX(SPPR!$E:$Z,MATCH($A204,SPPR!$A:$A,0),12)),$C204*INDEX(SPPR!$E:$Z,MATCH($A204,SPPR!$A:$A,0),12),""),"")</f>
        <v/>
      </c>
      <c r="P204">
        <f>IFERROR(IF(ISNUMBER(INDEX(SPPR!$E:$Z,MATCH($A204,SPPR!$A:$A,0),13)),$C204*INDEX(SPPR!$E:$Z,MATCH($A204,SPPR!$A:$A,0),13),""),"")</f>
        <v/>
      </c>
      <c r="Q204">
        <f>IFERROR(IF(ISNUMBER(INDEX(SPPR!$E:$Z,MATCH($A204,SPPR!$A:$A,0),14)),$C204*INDEX(SPPR!$E:$Z,MATCH($A204,SPPR!$A:$A,0),14),""),"")</f>
        <v/>
      </c>
      <c r="R204">
        <f>IFERROR(IF(ISNUMBER(INDEX(SPPR!$E:$Z,MATCH($A204,SPPR!$A:$A,0),15)),$C204*INDEX(SPPR!$E:$Z,MATCH($A204,SPPR!$A:$A,0),15),""),"")</f>
        <v/>
      </c>
      <c r="S204">
        <f>IFERROR(IF(ISNUMBER(INDEX(SPPR!$E:$Z,MATCH($A204,SPPR!$A:$A,0),16)),$C204*INDEX(SPPR!$E:$Z,MATCH($A204,SPPR!$A:$A,0),16),""),"")</f>
        <v/>
      </c>
      <c r="T204">
        <f>IFERROR(IF(ISNUMBER(INDEX(SPPR!$E:$Z,MATCH($A204,SPPR!$A:$A,0),17)),$C204*INDEX(SPPR!$E:$Z,MATCH($A204,SPPR!$A:$A,0),17),""),"")</f>
        <v/>
      </c>
      <c r="U204">
        <f>IFERROR(IF(ISNUMBER(INDEX(SPPR!$E:$Z,MATCH($A204,SPPR!$A:$A,0),18)),$C204*INDEX(SPPR!$E:$Z,MATCH($A204,SPPR!$A:$A,0),18),""),"")</f>
        <v/>
      </c>
      <c r="V204">
        <f>IFERROR(IF(ISNUMBER(INDEX(SPPR!$E:$Z,MATCH($A204,SPPR!$A:$A,0),19)),$C204*INDEX(SPPR!$E:$Z,MATCH($A204,SPPR!$A:$A,0),19),""),"")</f>
        <v/>
      </c>
      <c r="W204">
        <f>IFERROR(IF(ISNUMBER(INDEX(SPPR!$E:$Z,MATCH($A204,SPPR!$A:$A,0),20)),$C204*INDEX(SPPR!$E:$Z,MATCH($A204,SPPR!$A:$A,0),20),""),"")</f>
        <v/>
      </c>
      <c r="X204">
        <f>IFERROR(IF(ISNUMBER(INDEX(SPPR!$E:$Z,MATCH($A204,SPPR!$A:$A,0),21)),$C204*INDEX(SPPR!$E:$Z,MATCH($A204,SPPR!$A:$A,0),21),""),"")</f>
        <v/>
      </c>
      <c r="Y204">
        <f>IFERROR(IF(ISNUMBER(INDEX(SPPR!$E:$Z,MATCH($A204,SPPR!$A:$A,0),22)),$C204*INDEX(SPPR!$E:$Z,MATCH($A204,SPPR!$A:$A,0),22),""),"")</f>
        <v/>
      </c>
    </row>
    <row r="205">
      <c r="A205" t="inlineStr">
        <is>
          <t>Scatophagus argus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IFERROR(IF(ISNUMBER(INDEX(SPPR!$E:$Z,MATCH($A205,SPPR!$A:$A,0),1)),$C205*INDEX(SPPR!$E:$Z,MATCH($A205,SPPR!$A:$A,0),1),""),"")</f>
        <v/>
      </c>
      <c r="E205">
        <f>IFERROR(IF(ISNUMBER(INDEX(SPPR!$E:$Z,MATCH($A205,SPPR!$A:$A,0),2)),$C205*INDEX(SPPR!$E:$Z,MATCH($A205,SPPR!$A:$A,0),2),""),"")</f>
        <v/>
      </c>
      <c r="F205">
        <f>IFERROR(IF(ISNUMBER(INDEX(SPPR!$E:$Z,MATCH($A205,SPPR!$A:$A,0),3)),$C205*INDEX(SPPR!$E:$Z,MATCH($A205,SPPR!$A:$A,0),3),""),"")</f>
        <v/>
      </c>
      <c r="G205">
        <f>IFERROR(IF(ISNUMBER(INDEX(SPPR!$E:$Z,MATCH($A205,SPPR!$A:$A,0),4)),$C205*INDEX(SPPR!$E:$Z,MATCH($A205,SPPR!$A:$A,0),4),""),"")</f>
        <v/>
      </c>
      <c r="H205">
        <f>IFERROR(IF(ISNUMBER(INDEX(SPPR!$E:$Z,MATCH($A205,SPPR!$A:$A,0),5)),$C205*INDEX(SPPR!$E:$Z,MATCH($A205,SPPR!$A:$A,0),5),""),"")</f>
        <v/>
      </c>
      <c r="I205">
        <f>IFERROR(IF(ISNUMBER(INDEX(SPPR!$E:$Z,MATCH($A205,SPPR!$A:$A,0),6)),$C205*INDEX(SPPR!$E:$Z,MATCH($A205,SPPR!$A:$A,0),6),""),"")</f>
        <v/>
      </c>
      <c r="J205">
        <f>IFERROR(IF(ISNUMBER(INDEX(SPPR!$E:$Z,MATCH($A205,SPPR!$A:$A,0),7)),$C205*INDEX(SPPR!$E:$Z,MATCH($A205,SPPR!$A:$A,0),7),""),"")</f>
        <v/>
      </c>
      <c r="K205">
        <f>IFERROR(IF(ISNUMBER(INDEX(SPPR!$E:$Z,MATCH($A205,SPPR!$A:$A,0),8)),$C205*INDEX(SPPR!$E:$Z,MATCH($A205,SPPR!$A:$A,0),8),""),"")</f>
        <v/>
      </c>
      <c r="L205">
        <f>IFERROR(IF(ISNUMBER(INDEX(SPPR!$E:$Z,MATCH($A205,SPPR!$A:$A,0),9)),$C205*INDEX(SPPR!$E:$Z,MATCH($A205,SPPR!$A:$A,0),9),""),"")</f>
        <v/>
      </c>
      <c r="M205">
        <f>IFERROR(IF(ISNUMBER(INDEX(SPPR!$E:$Z,MATCH($A205,SPPR!$A:$A,0),10)),$C205*INDEX(SPPR!$E:$Z,MATCH($A205,SPPR!$A:$A,0),10),""),"")</f>
        <v/>
      </c>
      <c r="N205">
        <f>IFERROR(IF(ISNUMBER(INDEX(SPPR!$E:$Z,MATCH($A205,SPPR!$A:$A,0),11)),$C205*INDEX(SPPR!$E:$Z,MATCH($A205,SPPR!$A:$A,0),11),""),"")</f>
        <v/>
      </c>
      <c r="O205">
        <f>IFERROR(IF(ISNUMBER(INDEX(SPPR!$E:$Z,MATCH($A205,SPPR!$A:$A,0),12)),$C205*INDEX(SPPR!$E:$Z,MATCH($A205,SPPR!$A:$A,0),12),""),"")</f>
        <v/>
      </c>
      <c r="P205">
        <f>IFERROR(IF(ISNUMBER(INDEX(SPPR!$E:$Z,MATCH($A205,SPPR!$A:$A,0),13)),$C205*INDEX(SPPR!$E:$Z,MATCH($A205,SPPR!$A:$A,0),13),""),"")</f>
        <v/>
      </c>
      <c r="Q205">
        <f>IFERROR(IF(ISNUMBER(INDEX(SPPR!$E:$Z,MATCH($A205,SPPR!$A:$A,0),14)),$C205*INDEX(SPPR!$E:$Z,MATCH($A205,SPPR!$A:$A,0),14),""),"")</f>
        <v/>
      </c>
      <c r="R205">
        <f>IFERROR(IF(ISNUMBER(INDEX(SPPR!$E:$Z,MATCH($A205,SPPR!$A:$A,0),15)),$C205*INDEX(SPPR!$E:$Z,MATCH($A205,SPPR!$A:$A,0),15),""),"")</f>
        <v/>
      </c>
      <c r="S205">
        <f>IFERROR(IF(ISNUMBER(INDEX(SPPR!$E:$Z,MATCH($A205,SPPR!$A:$A,0),16)),$C205*INDEX(SPPR!$E:$Z,MATCH($A205,SPPR!$A:$A,0),16),""),"")</f>
        <v/>
      </c>
      <c r="T205">
        <f>IFERROR(IF(ISNUMBER(INDEX(SPPR!$E:$Z,MATCH($A205,SPPR!$A:$A,0),17)),$C205*INDEX(SPPR!$E:$Z,MATCH($A205,SPPR!$A:$A,0),17),""),"")</f>
        <v/>
      </c>
      <c r="U205">
        <f>IFERROR(IF(ISNUMBER(INDEX(SPPR!$E:$Z,MATCH($A205,SPPR!$A:$A,0),18)),$C205*INDEX(SPPR!$E:$Z,MATCH($A205,SPPR!$A:$A,0),18),""),"")</f>
        <v/>
      </c>
      <c r="V205">
        <f>IFERROR(IF(ISNUMBER(INDEX(SPPR!$E:$Z,MATCH($A205,SPPR!$A:$A,0),19)),$C205*INDEX(SPPR!$E:$Z,MATCH($A205,SPPR!$A:$A,0),19),""),"")</f>
        <v/>
      </c>
      <c r="W205">
        <f>IFERROR(IF(ISNUMBER(INDEX(SPPR!$E:$Z,MATCH($A205,SPPR!$A:$A,0),20)),$C205*INDEX(SPPR!$E:$Z,MATCH($A205,SPPR!$A:$A,0),20),""),"")</f>
        <v/>
      </c>
      <c r="X205">
        <f>IFERROR(IF(ISNUMBER(INDEX(SPPR!$E:$Z,MATCH($A205,SPPR!$A:$A,0),21)),$C205*INDEX(SPPR!$E:$Z,MATCH($A205,SPPR!$A:$A,0),21),""),"")</f>
        <v/>
      </c>
      <c r="Y205">
        <f>IFERROR(IF(ISNUMBER(INDEX(SPPR!$E:$Z,MATCH($A205,SPPR!$A:$A,0),22)),$C205*INDEX(SPPR!$E:$Z,MATCH($A205,SPPR!$A:$A,0),22),""),"")</f>
        <v/>
      </c>
    </row>
    <row r="206">
      <c r="A206" t="inlineStr">
        <is>
          <t>Panulirus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IFERROR(IF(ISNUMBER(INDEX(SPPR!$E:$Z,MATCH($A206,SPPR!$A:$A,0),1)),$C206*INDEX(SPPR!$E:$Z,MATCH($A206,SPPR!$A:$A,0),1),""),"")</f>
        <v/>
      </c>
      <c r="E206">
        <f>IFERROR(IF(ISNUMBER(INDEX(SPPR!$E:$Z,MATCH($A206,SPPR!$A:$A,0),2)),$C206*INDEX(SPPR!$E:$Z,MATCH($A206,SPPR!$A:$A,0),2),""),"")</f>
        <v/>
      </c>
      <c r="F206">
        <f>IFERROR(IF(ISNUMBER(INDEX(SPPR!$E:$Z,MATCH($A206,SPPR!$A:$A,0),3)),$C206*INDEX(SPPR!$E:$Z,MATCH($A206,SPPR!$A:$A,0),3),""),"")</f>
        <v/>
      </c>
      <c r="G206">
        <f>IFERROR(IF(ISNUMBER(INDEX(SPPR!$E:$Z,MATCH($A206,SPPR!$A:$A,0),4)),$C206*INDEX(SPPR!$E:$Z,MATCH($A206,SPPR!$A:$A,0),4),""),"")</f>
        <v/>
      </c>
      <c r="H206">
        <f>IFERROR(IF(ISNUMBER(INDEX(SPPR!$E:$Z,MATCH($A206,SPPR!$A:$A,0),5)),$C206*INDEX(SPPR!$E:$Z,MATCH($A206,SPPR!$A:$A,0),5),""),"")</f>
        <v/>
      </c>
      <c r="I206">
        <f>IFERROR(IF(ISNUMBER(INDEX(SPPR!$E:$Z,MATCH($A206,SPPR!$A:$A,0),6)),$C206*INDEX(SPPR!$E:$Z,MATCH($A206,SPPR!$A:$A,0),6),""),"")</f>
        <v/>
      </c>
      <c r="J206">
        <f>IFERROR(IF(ISNUMBER(INDEX(SPPR!$E:$Z,MATCH($A206,SPPR!$A:$A,0),7)),$C206*INDEX(SPPR!$E:$Z,MATCH($A206,SPPR!$A:$A,0),7),""),"")</f>
        <v/>
      </c>
      <c r="K206">
        <f>IFERROR(IF(ISNUMBER(INDEX(SPPR!$E:$Z,MATCH($A206,SPPR!$A:$A,0),8)),$C206*INDEX(SPPR!$E:$Z,MATCH($A206,SPPR!$A:$A,0),8),""),"")</f>
        <v/>
      </c>
      <c r="L206">
        <f>IFERROR(IF(ISNUMBER(INDEX(SPPR!$E:$Z,MATCH($A206,SPPR!$A:$A,0),9)),$C206*INDEX(SPPR!$E:$Z,MATCH($A206,SPPR!$A:$A,0),9),""),"")</f>
        <v/>
      </c>
      <c r="M206">
        <f>IFERROR(IF(ISNUMBER(INDEX(SPPR!$E:$Z,MATCH($A206,SPPR!$A:$A,0),10)),$C206*INDEX(SPPR!$E:$Z,MATCH($A206,SPPR!$A:$A,0),10),""),"")</f>
        <v/>
      </c>
      <c r="N206">
        <f>IFERROR(IF(ISNUMBER(INDEX(SPPR!$E:$Z,MATCH($A206,SPPR!$A:$A,0),11)),$C206*INDEX(SPPR!$E:$Z,MATCH($A206,SPPR!$A:$A,0),11),""),"")</f>
        <v/>
      </c>
      <c r="O206">
        <f>IFERROR(IF(ISNUMBER(INDEX(SPPR!$E:$Z,MATCH($A206,SPPR!$A:$A,0),12)),$C206*INDEX(SPPR!$E:$Z,MATCH($A206,SPPR!$A:$A,0),12),""),"")</f>
        <v/>
      </c>
      <c r="P206">
        <f>IFERROR(IF(ISNUMBER(INDEX(SPPR!$E:$Z,MATCH($A206,SPPR!$A:$A,0),13)),$C206*INDEX(SPPR!$E:$Z,MATCH($A206,SPPR!$A:$A,0),13),""),"")</f>
        <v/>
      </c>
      <c r="Q206">
        <f>IFERROR(IF(ISNUMBER(INDEX(SPPR!$E:$Z,MATCH($A206,SPPR!$A:$A,0),14)),$C206*INDEX(SPPR!$E:$Z,MATCH($A206,SPPR!$A:$A,0),14),""),"")</f>
        <v/>
      </c>
      <c r="R206">
        <f>IFERROR(IF(ISNUMBER(INDEX(SPPR!$E:$Z,MATCH($A206,SPPR!$A:$A,0),15)),$C206*INDEX(SPPR!$E:$Z,MATCH($A206,SPPR!$A:$A,0),15),""),"")</f>
        <v/>
      </c>
      <c r="S206">
        <f>IFERROR(IF(ISNUMBER(INDEX(SPPR!$E:$Z,MATCH($A206,SPPR!$A:$A,0),16)),$C206*INDEX(SPPR!$E:$Z,MATCH($A206,SPPR!$A:$A,0),16),""),"")</f>
        <v/>
      </c>
      <c r="T206">
        <f>IFERROR(IF(ISNUMBER(INDEX(SPPR!$E:$Z,MATCH($A206,SPPR!$A:$A,0),17)),$C206*INDEX(SPPR!$E:$Z,MATCH($A206,SPPR!$A:$A,0),17),""),"")</f>
        <v/>
      </c>
      <c r="U206">
        <f>IFERROR(IF(ISNUMBER(INDEX(SPPR!$E:$Z,MATCH($A206,SPPR!$A:$A,0),18)),$C206*INDEX(SPPR!$E:$Z,MATCH($A206,SPPR!$A:$A,0),18),""),"")</f>
        <v/>
      </c>
      <c r="V206">
        <f>IFERROR(IF(ISNUMBER(INDEX(SPPR!$E:$Z,MATCH($A206,SPPR!$A:$A,0),19)),$C206*INDEX(SPPR!$E:$Z,MATCH($A206,SPPR!$A:$A,0),19),""),"")</f>
        <v/>
      </c>
      <c r="W206">
        <f>IFERROR(IF(ISNUMBER(INDEX(SPPR!$E:$Z,MATCH($A206,SPPR!$A:$A,0),20)),$C206*INDEX(SPPR!$E:$Z,MATCH($A206,SPPR!$A:$A,0),20),""),"")</f>
        <v/>
      </c>
      <c r="X206">
        <f>IFERROR(IF(ISNUMBER(INDEX(SPPR!$E:$Z,MATCH($A206,SPPR!$A:$A,0),21)),$C206*INDEX(SPPR!$E:$Z,MATCH($A206,SPPR!$A:$A,0),21),""),"")</f>
        <v/>
      </c>
      <c r="Y206">
        <f>IFERROR(IF(ISNUMBER(INDEX(SPPR!$E:$Z,MATCH($A206,SPPR!$A:$A,0),22)),$C206*INDEX(SPPR!$E:$Z,MATCH($A206,SPPR!$A:$A,0),22),""),"")</f>
        <v/>
      </c>
    </row>
    <row r="207">
      <c r="A207" t="inlineStr">
        <is>
          <t>Istiophorus platypterus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IFERROR(IF(ISNUMBER(INDEX(SPPR!$E:$Z,MATCH($A207,SPPR!$A:$A,0),1)),$C207*INDEX(SPPR!$E:$Z,MATCH($A207,SPPR!$A:$A,0),1),""),"")</f>
        <v/>
      </c>
      <c r="E207">
        <f>IFERROR(IF(ISNUMBER(INDEX(SPPR!$E:$Z,MATCH($A207,SPPR!$A:$A,0),2)),$C207*INDEX(SPPR!$E:$Z,MATCH($A207,SPPR!$A:$A,0),2),""),"")</f>
        <v/>
      </c>
      <c r="F207">
        <f>IFERROR(IF(ISNUMBER(INDEX(SPPR!$E:$Z,MATCH($A207,SPPR!$A:$A,0),3)),$C207*INDEX(SPPR!$E:$Z,MATCH($A207,SPPR!$A:$A,0),3),""),"")</f>
        <v/>
      </c>
      <c r="G207">
        <f>IFERROR(IF(ISNUMBER(INDEX(SPPR!$E:$Z,MATCH($A207,SPPR!$A:$A,0),4)),$C207*INDEX(SPPR!$E:$Z,MATCH($A207,SPPR!$A:$A,0),4),""),"")</f>
        <v/>
      </c>
      <c r="H207">
        <f>IFERROR(IF(ISNUMBER(INDEX(SPPR!$E:$Z,MATCH($A207,SPPR!$A:$A,0),5)),$C207*INDEX(SPPR!$E:$Z,MATCH($A207,SPPR!$A:$A,0),5),""),"")</f>
        <v/>
      </c>
      <c r="I207">
        <f>IFERROR(IF(ISNUMBER(INDEX(SPPR!$E:$Z,MATCH($A207,SPPR!$A:$A,0),6)),$C207*INDEX(SPPR!$E:$Z,MATCH($A207,SPPR!$A:$A,0),6),""),"")</f>
        <v/>
      </c>
      <c r="J207">
        <f>IFERROR(IF(ISNUMBER(INDEX(SPPR!$E:$Z,MATCH($A207,SPPR!$A:$A,0),7)),$C207*INDEX(SPPR!$E:$Z,MATCH($A207,SPPR!$A:$A,0),7),""),"")</f>
        <v/>
      </c>
      <c r="K207">
        <f>IFERROR(IF(ISNUMBER(INDEX(SPPR!$E:$Z,MATCH($A207,SPPR!$A:$A,0),8)),$C207*INDEX(SPPR!$E:$Z,MATCH($A207,SPPR!$A:$A,0),8),""),"")</f>
        <v/>
      </c>
      <c r="L207">
        <f>IFERROR(IF(ISNUMBER(INDEX(SPPR!$E:$Z,MATCH($A207,SPPR!$A:$A,0),9)),$C207*INDEX(SPPR!$E:$Z,MATCH($A207,SPPR!$A:$A,0),9),""),"")</f>
        <v/>
      </c>
      <c r="M207">
        <f>IFERROR(IF(ISNUMBER(INDEX(SPPR!$E:$Z,MATCH($A207,SPPR!$A:$A,0),10)),$C207*INDEX(SPPR!$E:$Z,MATCH($A207,SPPR!$A:$A,0),10),""),"")</f>
        <v/>
      </c>
      <c r="N207">
        <f>IFERROR(IF(ISNUMBER(INDEX(SPPR!$E:$Z,MATCH($A207,SPPR!$A:$A,0),11)),$C207*INDEX(SPPR!$E:$Z,MATCH($A207,SPPR!$A:$A,0),11),""),"")</f>
        <v/>
      </c>
      <c r="O207">
        <f>IFERROR(IF(ISNUMBER(INDEX(SPPR!$E:$Z,MATCH($A207,SPPR!$A:$A,0),12)),$C207*INDEX(SPPR!$E:$Z,MATCH($A207,SPPR!$A:$A,0),12),""),"")</f>
        <v/>
      </c>
      <c r="P207">
        <f>IFERROR(IF(ISNUMBER(INDEX(SPPR!$E:$Z,MATCH($A207,SPPR!$A:$A,0),13)),$C207*INDEX(SPPR!$E:$Z,MATCH($A207,SPPR!$A:$A,0),13),""),"")</f>
        <v/>
      </c>
      <c r="Q207">
        <f>IFERROR(IF(ISNUMBER(INDEX(SPPR!$E:$Z,MATCH($A207,SPPR!$A:$A,0),14)),$C207*INDEX(SPPR!$E:$Z,MATCH($A207,SPPR!$A:$A,0),14),""),"")</f>
        <v/>
      </c>
      <c r="R207">
        <f>IFERROR(IF(ISNUMBER(INDEX(SPPR!$E:$Z,MATCH($A207,SPPR!$A:$A,0),15)),$C207*INDEX(SPPR!$E:$Z,MATCH($A207,SPPR!$A:$A,0),15),""),"")</f>
        <v/>
      </c>
      <c r="S207">
        <f>IFERROR(IF(ISNUMBER(INDEX(SPPR!$E:$Z,MATCH($A207,SPPR!$A:$A,0),16)),$C207*INDEX(SPPR!$E:$Z,MATCH($A207,SPPR!$A:$A,0),16),""),"")</f>
        <v/>
      </c>
      <c r="T207">
        <f>IFERROR(IF(ISNUMBER(INDEX(SPPR!$E:$Z,MATCH($A207,SPPR!$A:$A,0),17)),$C207*INDEX(SPPR!$E:$Z,MATCH($A207,SPPR!$A:$A,0),17),""),"")</f>
        <v/>
      </c>
      <c r="U207">
        <f>IFERROR(IF(ISNUMBER(INDEX(SPPR!$E:$Z,MATCH($A207,SPPR!$A:$A,0),18)),$C207*INDEX(SPPR!$E:$Z,MATCH($A207,SPPR!$A:$A,0),18),""),"")</f>
        <v/>
      </c>
      <c r="V207">
        <f>IFERROR(IF(ISNUMBER(INDEX(SPPR!$E:$Z,MATCH($A207,SPPR!$A:$A,0),19)),$C207*INDEX(SPPR!$E:$Z,MATCH($A207,SPPR!$A:$A,0),19),""),"")</f>
        <v/>
      </c>
      <c r="W207">
        <f>IFERROR(IF(ISNUMBER(INDEX(SPPR!$E:$Z,MATCH($A207,SPPR!$A:$A,0),20)),$C207*INDEX(SPPR!$E:$Z,MATCH($A207,SPPR!$A:$A,0),20),""),"")</f>
        <v/>
      </c>
      <c r="X207">
        <f>IFERROR(IF(ISNUMBER(INDEX(SPPR!$E:$Z,MATCH($A207,SPPR!$A:$A,0),21)),$C207*INDEX(SPPR!$E:$Z,MATCH($A207,SPPR!$A:$A,0),21),""),"")</f>
        <v/>
      </c>
      <c r="Y207">
        <f>IFERROR(IF(ISNUMBER(INDEX(SPPR!$E:$Z,MATCH($A207,SPPR!$A:$A,0),22)),$C207*INDEX(SPPR!$E:$Z,MATCH($A207,SPPR!$A:$A,0),22),""),"")</f>
        <v/>
      </c>
    </row>
    <row r="208">
      <c r="A208" t="inlineStr">
        <is>
          <t>Ostreidae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IFERROR(IF(ISNUMBER(INDEX(SPPR!$E:$Z,MATCH($A208,SPPR!$A:$A,0),1)),$C208*INDEX(SPPR!$E:$Z,MATCH($A208,SPPR!$A:$A,0),1),""),"")</f>
        <v/>
      </c>
      <c r="E208">
        <f>IFERROR(IF(ISNUMBER(INDEX(SPPR!$E:$Z,MATCH($A208,SPPR!$A:$A,0),2)),$C208*INDEX(SPPR!$E:$Z,MATCH($A208,SPPR!$A:$A,0),2),""),"")</f>
        <v/>
      </c>
      <c r="F208">
        <f>IFERROR(IF(ISNUMBER(INDEX(SPPR!$E:$Z,MATCH($A208,SPPR!$A:$A,0),3)),$C208*INDEX(SPPR!$E:$Z,MATCH($A208,SPPR!$A:$A,0),3),""),"")</f>
        <v/>
      </c>
      <c r="G208">
        <f>IFERROR(IF(ISNUMBER(INDEX(SPPR!$E:$Z,MATCH($A208,SPPR!$A:$A,0),4)),$C208*INDEX(SPPR!$E:$Z,MATCH($A208,SPPR!$A:$A,0),4),""),"")</f>
        <v/>
      </c>
      <c r="H208">
        <f>IFERROR(IF(ISNUMBER(INDEX(SPPR!$E:$Z,MATCH($A208,SPPR!$A:$A,0),5)),$C208*INDEX(SPPR!$E:$Z,MATCH($A208,SPPR!$A:$A,0),5),""),"")</f>
        <v/>
      </c>
      <c r="I208">
        <f>IFERROR(IF(ISNUMBER(INDEX(SPPR!$E:$Z,MATCH($A208,SPPR!$A:$A,0),6)),$C208*INDEX(SPPR!$E:$Z,MATCH($A208,SPPR!$A:$A,0),6),""),"")</f>
        <v/>
      </c>
      <c r="J208">
        <f>IFERROR(IF(ISNUMBER(INDEX(SPPR!$E:$Z,MATCH($A208,SPPR!$A:$A,0),7)),$C208*INDEX(SPPR!$E:$Z,MATCH($A208,SPPR!$A:$A,0),7),""),"")</f>
        <v/>
      </c>
      <c r="K208">
        <f>IFERROR(IF(ISNUMBER(INDEX(SPPR!$E:$Z,MATCH($A208,SPPR!$A:$A,0),8)),$C208*INDEX(SPPR!$E:$Z,MATCH($A208,SPPR!$A:$A,0),8),""),"")</f>
        <v/>
      </c>
      <c r="L208">
        <f>IFERROR(IF(ISNUMBER(INDEX(SPPR!$E:$Z,MATCH($A208,SPPR!$A:$A,0),9)),$C208*INDEX(SPPR!$E:$Z,MATCH($A208,SPPR!$A:$A,0),9),""),"")</f>
        <v/>
      </c>
      <c r="M208">
        <f>IFERROR(IF(ISNUMBER(INDEX(SPPR!$E:$Z,MATCH($A208,SPPR!$A:$A,0),10)),$C208*INDEX(SPPR!$E:$Z,MATCH($A208,SPPR!$A:$A,0),10),""),"")</f>
        <v/>
      </c>
      <c r="N208">
        <f>IFERROR(IF(ISNUMBER(INDEX(SPPR!$E:$Z,MATCH($A208,SPPR!$A:$A,0),11)),$C208*INDEX(SPPR!$E:$Z,MATCH($A208,SPPR!$A:$A,0),11),""),"")</f>
        <v/>
      </c>
      <c r="O208">
        <f>IFERROR(IF(ISNUMBER(INDEX(SPPR!$E:$Z,MATCH($A208,SPPR!$A:$A,0),12)),$C208*INDEX(SPPR!$E:$Z,MATCH($A208,SPPR!$A:$A,0),12),""),"")</f>
        <v/>
      </c>
      <c r="P208">
        <f>IFERROR(IF(ISNUMBER(INDEX(SPPR!$E:$Z,MATCH($A208,SPPR!$A:$A,0),13)),$C208*INDEX(SPPR!$E:$Z,MATCH($A208,SPPR!$A:$A,0),13),""),"")</f>
        <v/>
      </c>
      <c r="Q208">
        <f>IFERROR(IF(ISNUMBER(INDEX(SPPR!$E:$Z,MATCH($A208,SPPR!$A:$A,0),14)),$C208*INDEX(SPPR!$E:$Z,MATCH($A208,SPPR!$A:$A,0),14),""),"")</f>
        <v/>
      </c>
      <c r="R208">
        <f>IFERROR(IF(ISNUMBER(INDEX(SPPR!$E:$Z,MATCH($A208,SPPR!$A:$A,0),15)),$C208*INDEX(SPPR!$E:$Z,MATCH($A208,SPPR!$A:$A,0),15),""),"")</f>
        <v/>
      </c>
      <c r="S208">
        <f>IFERROR(IF(ISNUMBER(INDEX(SPPR!$E:$Z,MATCH($A208,SPPR!$A:$A,0),16)),$C208*INDEX(SPPR!$E:$Z,MATCH($A208,SPPR!$A:$A,0),16),""),"")</f>
        <v/>
      </c>
      <c r="T208">
        <f>IFERROR(IF(ISNUMBER(INDEX(SPPR!$E:$Z,MATCH($A208,SPPR!$A:$A,0),17)),$C208*INDEX(SPPR!$E:$Z,MATCH($A208,SPPR!$A:$A,0),17),""),"")</f>
        <v/>
      </c>
      <c r="U208">
        <f>IFERROR(IF(ISNUMBER(INDEX(SPPR!$E:$Z,MATCH($A208,SPPR!$A:$A,0),18)),$C208*INDEX(SPPR!$E:$Z,MATCH($A208,SPPR!$A:$A,0),18),""),"")</f>
        <v/>
      </c>
      <c r="V208">
        <f>IFERROR(IF(ISNUMBER(INDEX(SPPR!$E:$Z,MATCH($A208,SPPR!$A:$A,0),19)),$C208*INDEX(SPPR!$E:$Z,MATCH($A208,SPPR!$A:$A,0),19),""),"")</f>
        <v/>
      </c>
      <c r="W208">
        <f>IFERROR(IF(ISNUMBER(INDEX(SPPR!$E:$Z,MATCH($A208,SPPR!$A:$A,0),20)),$C208*INDEX(SPPR!$E:$Z,MATCH($A208,SPPR!$A:$A,0),20),""),"")</f>
        <v/>
      </c>
      <c r="X208">
        <f>IFERROR(IF(ISNUMBER(INDEX(SPPR!$E:$Z,MATCH($A208,SPPR!$A:$A,0),21)),$C208*INDEX(SPPR!$E:$Z,MATCH($A208,SPPR!$A:$A,0),21),""),"")</f>
        <v/>
      </c>
      <c r="Y208">
        <f>IFERROR(IF(ISNUMBER(INDEX(SPPR!$E:$Z,MATCH($A208,SPPR!$A:$A,0),22)),$C208*INDEX(SPPR!$E:$Z,MATCH($A208,SPPR!$A:$A,0),22),""),"")</f>
        <v/>
      </c>
    </row>
    <row r="209">
      <c r="A209" t="inlineStr">
        <is>
          <t>Stromateidae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IFERROR(IF(ISNUMBER(INDEX(SPPR!$E:$Z,MATCH($A209,SPPR!$A:$A,0),1)),$C209*INDEX(SPPR!$E:$Z,MATCH($A209,SPPR!$A:$A,0),1),""),"")</f>
        <v/>
      </c>
      <c r="E209">
        <f>IFERROR(IF(ISNUMBER(INDEX(SPPR!$E:$Z,MATCH($A209,SPPR!$A:$A,0),2)),$C209*INDEX(SPPR!$E:$Z,MATCH($A209,SPPR!$A:$A,0),2),""),"")</f>
        <v/>
      </c>
      <c r="F209">
        <f>IFERROR(IF(ISNUMBER(INDEX(SPPR!$E:$Z,MATCH($A209,SPPR!$A:$A,0),3)),$C209*INDEX(SPPR!$E:$Z,MATCH($A209,SPPR!$A:$A,0),3),""),"")</f>
        <v/>
      </c>
      <c r="G209">
        <f>IFERROR(IF(ISNUMBER(INDEX(SPPR!$E:$Z,MATCH($A209,SPPR!$A:$A,0),4)),$C209*INDEX(SPPR!$E:$Z,MATCH($A209,SPPR!$A:$A,0),4),""),"")</f>
        <v/>
      </c>
      <c r="H209">
        <f>IFERROR(IF(ISNUMBER(INDEX(SPPR!$E:$Z,MATCH($A209,SPPR!$A:$A,0),5)),$C209*INDEX(SPPR!$E:$Z,MATCH($A209,SPPR!$A:$A,0),5),""),"")</f>
        <v/>
      </c>
      <c r="I209">
        <f>IFERROR(IF(ISNUMBER(INDEX(SPPR!$E:$Z,MATCH($A209,SPPR!$A:$A,0),6)),$C209*INDEX(SPPR!$E:$Z,MATCH($A209,SPPR!$A:$A,0),6),""),"")</f>
        <v/>
      </c>
      <c r="J209">
        <f>IFERROR(IF(ISNUMBER(INDEX(SPPR!$E:$Z,MATCH($A209,SPPR!$A:$A,0),7)),$C209*INDEX(SPPR!$E:$Z,MATCH($A209,SPPR!$A:$A,0),7),""),"")</f>
        <v/>
      </c>
      <c r="K209">
        <f>IFERROR(IF(ISNUMBER(INDEX(SPPR!$E:$Z,MATCH($A209,SPPR!$A:$A,0),8)),$C209*INDEX(SPPR!$E:$Z,MATCH($A209,SPPR!$A:$A,0),8),""),"")</f>
        <v/>
      </c>
      <c r="L209">
        <f>IFERROR(IF(ISNUMBER(INDEX(SPPR!$E:$Z,MATCH($A209,SPPR!$A:$A,0),9)),$C209*INDEX(SPPR!$E:$Z,MATCH($A209,SPPR!$A:$A,0),9),""),"")</f>
        <v/>
      </c>
      <c r="M209">
        <f>IFERROR(IF(ISNUMBER(INDEX(SPPR!$E:$Z,MATCH($A209,SPPR!$A:$A,0),10)),$C209*INDEX(SPPR!$E:$Z,MATCH($A209,SPPR!$A:$A,0),10),""),"")</f>
        <v/>
      </c>
      <c r="N209">
        <f>IFERROR(IF(ISNUMBER(INDEX(SPPR!$E:$Z,MATCH($A209,SPPR!$A:$A,0),11)),$C209*INDEX(SPPR!$E:$Z,MATCH($A209,SPPR!$A:$A,0),11),""),"")</f>
        <v/>
      </c>
      <c r="O209">
        <f>IFERROR(IF(ISNUMBER(INDEX(SPPR!$E:$Z,MATCH($A209,SPPR!$A:$A,0),12)),$C209*INDEX(SPPR!$E:$Z,MATCH($A209,SPPR!$A:$A,0),12),""),"")</f>
        <v/>
      </c>
      <c r="P209">
        <f>IFERROR(IF(ISNUMBER(INDEX(SPPR!$E:$Z,MATCH($A209,SPPR!$A:$A,0),13)),$C209*INDEX(SPPR!$E:$Z,MATCH($A209,SPPR!$A:$A,0),13),""),"")</f>
        <v/>
      </c>
      <c r="Q209">
        <f>IFERROR(IF(ISNUMBER(INDEX(SPPR!$E:$Z,MATCH($A209,SPPR!$A:$A,0),14)),$C209*INDEX(SPPR!$E:$Z,MATCH($A209,SPPR!$A:$A,0),14),""),"")</f>
        <v/>
      </c>
      <c r="R209">
        <f>IFERROR(IF(ISNUMBER(INDEX(SPPR!$E:$Z,MATCH($A209,SPPR!$A:$A,0),15)),$C209*INDEX(SPPR!$E:$Z,MATCH($A209,SPPR!$A:$A,0),15),""),"")</f>
        <v/>
      </c>
      <c r="S209">
        <f>IFERROR(IF(ISNUMBER(INDEX(SPPR!$E:$Z,MATCH($A209,SPPR!$A:$A,0),16)),$C209*INDEX(SPPR!$E:$Z,MATCH($A209,SPPR!$A:$A,0),16),""),"")</f>
        <v/>
      </c>
      <c r="T209">
        <f>IFERROR(IF(ISNUMBER(INDEX(SPPR!$E:$Z,MATCH($A209,SPPR!$A:$A,0),17)),$C209*INDEX(SPPR!$E:$Z,MATCH($A209,SPPR!$A:$A,0),17),""),"")</f>
        <v/>
      </c>
      <c r="U209">
        <f>IFERROR(IF(ISNUMBER(INDEX(SPPR!$E:$Z,MATCH($A209,SPPR!$A:$A,0),18)),$C209*INDEX(SPPR!$E:$Z,MATCH($A209,SPPR!$A:$A,0),18),""),"")</f>
        <v/>
      </c>
      <c r="V209">
        <f>IFERROR(IF(ISNUMBER(INDEX(SPPR!$E:$Z,MATCH($A209,SPPR!$A:$A,0),19)),$C209*INDEX(SPPR!$E:$Z,MATCH($A209,SPPR!$A:$A,0),19),""),"")</f>
        <v/>
      </c>
      <c r="W209">
        <f>IFERROR(IF(ISNUMBER(INDEX(SPPR!$E:$Z,MATCH($A209,SPPR!$A:$A,0),20)),$C209*INDEX(SPPR!$E:$Z,MATCH($A209,SPPR!$A:$A,0),20),""),"")</f>
        <v/>
      </c>
      <c r="X209">
        <f>IFERROR(IF(ISNUMBER(INDEX(SPPR!$E:$Z,MATCH($A209,SPPR!$A:$A,0),21)),$C209*INDEX(SPPR!$E:$Z,MATCH($A209,SPPR!$A:$A,0),21),""),"")</f>
        <v/>
      </c>
      <c r="Y209">
        <f>IFERROR(IF(ISNUMBER(INDEX(SPPR!$E:$Z,MATCH($A209,SPPR!$A:$A,0),22)),$C209*INDEX(SPPR!$E:$Z,MATCH($A209,SPPR!$A:$A,0),22),""),"")</f>
        <v/>
      </c>
    </row>
    <row r="210">
      <c r="A210" t="inlineStr">
        <is>
          <t>Aluterus monoceros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IFERROR(IF(ISNUMBER(INDEX(SPPR!$E:$Z,MATCH($A210,SPPR!$A:$A,0),1)),$C210*INDEX(SPPR!$E:$Z,MATCH($A210,SPPR!$A:$A,0),1),""),"")</f>
        <v/>
      </c>
      <c r="E210">
        <f>IFERROR(IF(ISNUMBER(INDEX(SPPR!$E:$Z,MATCH($A210,SPPR!$A:$A,0),2)),$C210*INDEX(SPPR!$E:$Z,MATCH($A210,SPPR!$A:$A,0),2),""),"")</f>
        <v/>
      </c>
      <c r="F210">
        <f>IFERROR(IF(ISNUMBER(INDEX(SPPR!$E:$Z,MATCH($A210,SPPR!$A:$A,0),3)),$C210*INDEX(SPPR!$E:$Z,MATCH($A210,SPPR!$A:$A,0),3),""),"")</f>
        <v/>
      </c>
      <c r="G210">
        <f>IFERROR(IF(ISNUMBER(INDEX(SPPR!$E:$Z,MATCH($A210,SPPR!$A:$A,0),4)),$C210*INDEX(SPPR!$E:$Z,MATCH($A210,SPPR!$A:$A,0),4),""),"")</f>
        <v/>
      </c>
      <c r="H210">
        <f>IFERROR(IF(ISNUMBER(INDEX(SPPR!$E:$Z,MATCH($A210,SPPR!$A:$A,0),5)),$C210*INDEX(SPPR!$E:$Z,MATCH($A210,SPPR!$A:$A,0),5),""),"")</f>
        <v/>
      </c>
      <c r="I210">
        <f>IFERROR(IF(ISNUMBER(INDEX(SPPR!$E:$Z,MATCH($A210,SPPR!$A:$A,0),6)),$C210*INDEX(SPPR!$E:$Z,MATCH($A210,SPPR!$A:$A,0),6),""),"")</f>
        <v/>
      </c>
      <c r="J210">
        <f>IFERROR(IF(ISNUMBER(INDEX(SPPR!$E:$Z,MATCH($A210,SPPR!$A:$A,0),7)),$C210*INDEX(SPPR!$E:$Z,MATCH($A210,SPPR!$A:$A,0),7),""),"")</f>
        <v/>
      </c>
      <c r="K210">
        <f>IFERROR(IF(ISNUMBER(INDEX(SPPR!$E:$Z,MATCH($A210,SPPR!$A:$A,0),8)),$C210*INDEX(SPPR!$E:$Z,MATCH($A210,SPPR!$A:$A,0),8),""),"")</f>
        <v/>
      </c>
      <c r="L210">
        <f>IFERROR(IF(ISNUMBER(INDEX(SPPR!$E:$Z,MATCH($A210,SPPR!$A:$A,0),9)),$C210*INDEX(SPPR!$E:$Z,MATCH($A210,SPPR!$A:$A,0),9),""),"")</f>
        <v/>
      </c>
      <c r="M210">
        <f>IFERROR(IF(ISNUMBER(INDEX(SPPR!$E:$Z,MATCH($A210,SPPR!$A:$A,0),10)),$C210*INDEX(SPPR!$E:$Z,MATCH($A210,SPPR!$A:$A,0),10),""),"")</f>
        <v/>
      </c>
      <c r="N210">
        <f>IFERROR(IF(ISNUMBER(INDEX(SPPR!$E:$Z,MATCH($A210,SPPR!$A:$A,0),11)),$C210*INDEX(SPPR!$E:$Z,MATCH($A210,SPPR!$A:$A,0),11),""),"")</f>
        <v/>
      </c>
      <c r="O210">
        <f>IFERROR(IF(ISNUMBER(INDEX(SPPR!$E:$Z,MATCH($A210,SPPR!$A:$A,0),12)),$C210*INDEX(SPPR!$E:$Z,MATCH($A210,SPPR!$A:$A,0),12),""),"")</f>
        <v/>
      </c>
      <c r="P210">
        <f>IFERROR(IF(ISNUMBER(INDEX(SPPR!$E:$Z,MATCH($A210,SPPR!$A:$A,0),13)),$C210*INDEX(SPPR!$E:$Z,MATCH($A210,SPPR!$A:$A,0),13),""),"")</f>
        <v/>
      </c>
      <c r="Q210">
        <f>IFERROR(IF(ISNUMBER(INDEX(SPPR!$E:$Z,MATCH($A210,SPPR!$A:$A,0),14)),$C210*INDEX(SPPR!$E:$Z,MATCH($A210,SPPR!$A:$A,0),14),""),"")</f>
        <v/>
      </c>
      <c r="R210">
        <f>IFERROR(IF(ISNUMBER(INDEX(SPPR!$E:$Z,MATCH($A210,SPPR!$A:$A,0),15)),$C210*INDEX(SPPR!$E:$Z,MATCH($A210,SPPR!$A:$A,0),15),""),"")</f>
        <v/>
      </c>
      <c r="S210">
        <f>IFERROR(IF(ISNUMBER(INDEX(SPPR!$E:$Z,MATCH($A210,SPPR!$A:$A,0),16)),$C210*INDEX(SPPR!$E:$Z,MATCH($A210,SPPR!$A:$A,0),16),""),"")</f>
        <v/>
      </c>
      <c r="T210">
        <f>IFERROR(IF(ISNUMBER(INDEX(SPPR!$E:$Z,MATCH($A210,SPPR!$A:$A,0),17)),$C210*INDEX(SPPR!$E:$Z,MATCH($A210,SPPR!$A:$A,0),17),""),"")</f>
        <v/>
      </c>
      <c r="U210">
        <f>IFERROR(IF(ISNUMBER(INDEX(SPPR!$E:$Z,MATCH($A210,SPPR!$A:$A,0),18)),$C210*INDEX(SPPR!$E:$Z,MATCH($A210,SPPR!$A:$A,0),18),""),"")</f>
        <v/>
      </c>
      <c r="V210">
        <f>IFERROR(IF(ISNUMBER(INDEX(SPPR!$E:$Z,MATCH($A210,SPPR!$A:$A,0),19)),$C210*INDEX(SPPR!$E:$Z,MATCH($A210,SPPR!$A:$A,0),19),""),"")</f>
        <v/>
      </c>
      <c r="W210">
        <f>IFERROR(IF(ISNUMBER(INDEX(SPPR!$E:$Z,MATCH($A210,SPPR!$A:$A,0),20)),$C210*INDEX(SPPR!$E:$Z,MATCH($A210,SPPR!$A:$A,0),20),""),"")</f>
        <v/>
      </c>
      <c r="X210">
        <f>IFERROR(IF(ISNUMBER(INDEX(SPPR!$E:$Z,MATCH($A210,SPPR!$A:$A,0),21)),$C210*INDEX(SPPR!$E:$Z,MATCH($A210,SPPR!$A:$A,0),21),""),"")</f>
        <v/>
      </c>
      <c r="Y210">
        <f>IFERROR(IF(ISNUMBER(INDEX(SPPR!$E:$Z,MATCH($A210,SPPR!$A:$A,0),22)),$C210*INDEX(SPPR!$E:$Z,MATCH($A210,SPPR!$A:$A,0),22),""),"")</f>
        <v/>
      </c>
    </row>
    <row r="211">
      <c r="A211" t="inlineStr">
        <is>
          <t>Chondrichthyes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IFERROR(IF(ISNUMBER(INDEX(SPPR!$E:$Z,MATCH($A211,SPPR!$A:$A,0),1)),$C211*INDEX(SPPR!$E:$Z,MATCH($A211,SPPR!$A:$A,0),1),""),"")</f>
        <v/>
      </c>
      <c r="E211">
        <f>IFERROR(IF(ISNUMBER(INDEX(SPPR!$E:$Z,MATCH($A211,SPPR!$A:$A,0),2)),$C211*INDEX(SPPR!$E:$Z,MATCH($A211,SPPR!$A:$A,0),2),""),"")</f>
        <v/>
      </c>
      <c r="F211">
        <f>IFERROR(IF(ISNUMBER(INDEX(SPPR!$E:$Z,MATCH($A211,SPPR!$A:$A,0),3)),$C211*INDEX(SPPR!$E:$Z,MATCH($A211,SPPR!$A:$A,0),3),""),"")</f>
        <v/>
      </c>
      <c r="G211">
        <f>IFERROR(IF(ISNUMBER(INDEX(SPPR!$E:$Z,MATCH($A211,SPPR!$A:$A,0),4)),$C211*INDEX(SPPR!$E:$Z,MATCH($A211,SPPR!$A:$A,0),4),""),"")</f>
        <v/>
      </c>
      <c r="H211">
        <f>IFERROR(IF(ISNUMBER(INDEX(SPPR!$E:$Z,MATCH($A211,SPPR!$A:$A,0),5)),$C211*INDEX(SPPR!$E:$Z,MATCH($A211,SPPR!$A:$A,0),5),""),"")</f>
        <v/>
      </c>
      <c r="I211">
        <f>IFERROR(IF(ISNUMBER(INDEX(SPPR!$E:$Z,MATCH($A211,SPPR!$A:$A,0),6)),$C211*INDEX(SPPR!$E:$Z,MATCH($A211,SPPR!$A:$A,0),6),""),"")</f>
        <v/>
      </c>
      <c r="J211">
        <f>IFERROR(IF(ISNUMBER(INDEX(SPPR!$E:$Z,MATCH($A211,SPPR!$A:$A,0),7)),$C211*INDEX(SPPR!$E:$Z,MATCH($A211,SPPR!$A:$A,0),7),""),"")</f>
        <v/>
      </c>
      <c r="K211">
        <f>IFERROR(IF(ISNUMBER(INDEX(SPPR!$E:$Z,MATCH($A211,SPPR!$A:$A,0),8)),$C211*INDEX(SPPR!$E:$Z,MATCH($A211,SPPR!$A:$A,0),8),""),"")</f>
        <v/>
      </c>
      <c r="L211">
        <f>IFERROR(IF(ISNUMBER(INDEX(SPPR!$E:$Z,MATCH($A211,SPPR!$A:$A,0),9)),$C211*INDEX(SPPR!$E:$Z,MATCH($A211,SPPR!$A:$A,0),9),""),"")</f>
        <v/>
      </c>
      <c r="M211">
        <f>IFERROR(IF(ISNUMBER(INDEX(SPPR!$E:$Z,MATCH($A211,SPPR!$A:$A,0),10)),$C211*INDEX(SPPR!$E:$Z,MATCH($A211,SPPR!$A:$A,0),10),""),"")</f>
        <v/>
      </c>
      <c r="N211">
        <f>IFERROR(IF(ISNUMBER(INDEX(SPPR!$E:$Z,MATCH($A211,SPPR!$A:$A,0),11)),$C211*INDEX(SPPR!$E:$Z,MATCH($A211,SPPR!$A:$A,0),11),""),"")</f>
        <v/>
      </c>
      <c r="O211">
        <f>IFERROR(IF(ISNUMBER(INDEX(SPPR!$E:$Z,MATCH($A211,SPPR!$A:$A,0),12)),$C211*INDEX(SPPR!$E:$Z,MATCH($A211,SPPR!$A:$A,0),12),""),"")</f>
        <v/>
      </c>
      <c r="P211">
        <f>IFERROR(IF(ISNUMBER(INDEX(SPPR!$E:$Z,MATCH($A211,SPPR!$A:$A,0),13)),$C211*INDEX(SPPR!$E:$Z,MATCH($A211,SPPR!$A:$A,0),13),""),"")</f>
        <v/>
      </c>
      <c r="Q211">
        <f>IFERROR(IF(ISNUMBER(INDEX(SPPR!$E:$Z,MATCH($A211,SPPR!$A:$A,0),14)),$C211*INDEX(SPPR!$E:$Z,MATCH($A211,SPPR!$A:$A,0),14),""),"")</f>
        <v/>
      </c>
      <c r="R211">
        <f>IFERROR(IF(ISNUMBER(INDEX(SPPR!$E:$Z,MATCH($A211,SPPR!$A:$A,0),15)),$C211*INDEX(SPPR!$E:$Z,MATCH($A211,SPPR!$A:$A,0),15),""),"")</f>
        <v/>
      </c>
      <c r="S211">
        <f>IFERROR(IF(ISNUMBER(INDEX(SPPR!$E:$Z,MATCH($A211,SPPR!$A:$A,0),16)),$C211*INDEX(SPPR!$E:$Z,MATCH($A211,SPPR!$A:$A,0),16),""),"")</f>
        <v/>
      </c>
      <c r="T211">
        <f>IFERROR(IF(ISNUMBER(INDEX(SPPR!$E:$Z,MATCH($A211,SPPR!$A:$A,0),17)),$C211*INDEX(SPPR!$E:$Z,MATCH($A211,SPPR!$A:$A,0),17),""),"")</f>
        <v/>
      </c>
      <c r="U211">
        <f>IFERROR(IF(ISNUMBER(INDEX(SPPR!$E:$Z,MATCH($A211,SPPR!$A:$A,0),18)),$C211*INDEX(SPPR!$E:$Z,MATCH($A211,SPPR!$A:$A,0),18),""),"")</f>
        <v/>
      </c>
      <c r="V211">
        <f>IFERROR(IF(ISNUMBER(INDEX(SPPR!$E:$Z,MATCH($A211,SPPR!$A:$A,0),19)),$C211*INDEX(SPPR!$E:$Z,MATCH($A211,SPPR!$A:$A,0),19),""),"")</f>
        <v/>
      </c>
      <c r="W211">
        <f>IFERROR(IF(ISNUMBER(INDEX(SPPR!$E:$Z,MATCH($A211,SPPR!$A:$A,0),20)),$C211*INDEX(SPPR!$E:$Z,MATCH($A211,SPPR!$A:$A,0),20),""),"")</f>
        <v/>
      </c>
      <c r="X211">
        <f>IFERROR(IF(ISNUMBER(INDEX(SPPR!$E:$Z,MATCH($A211,SPPR!$A:$A,0),21)),$C211*INDEX(SPPR!$E:$Z,MATCH($A211,SPPR!$A:$A,0),21),""),"")</f>
        <v/>
      </c>
      <c r="Y211">
        <f>IFERROR(IF(ISNUMBER(INDEX(SPPR!$E:$Z,MATCH($A211,SPPR!$A:$A,0),22)),$C211*INDEX(SPPR!$E:$Z,MATCH($A211,SPPR!$A:$A,0),22),""),"")</f>
        <v/>
      </c>
    </row>
    <row r="212">
      <c r="A212" t="inlineStr">
        <is>
          <t>Echinodermata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IFERROR(IF(ISNUMBER(INDEX(SPPR!$E:$Z,MATCH($A212,SPPR!$A:$A,0),1)),$C212*INDEX(SPPR!$E:$Z,MATCH($A212,SPPR!$A:$A,0),1),""),"")</f>
        <v/>
      </c>
      <c r="E212">
        <f>IFERROR(IF(ISNUMBER(INDEX(SPPR!$E:$Z,MATCH($A212,SPPR!$A:$A,0),2)),$C212*INDEX(SPPR!$E:$Z,MATCH($A212,SPPR!$A:$A,0),2),""),"")</f>
        <v/>
      </c>
      <c r="F212">
        <f>IFERROR(IF(ISNUMBER(INDEX(SPPR!$E:$Z,MATCH($A212,SPPR!$A:$A,0),3)),$C212*INDEX(SPPR!$E:$Z,MATCH($A212,SPPR!$A:$A,0),3),""),"")</f>
        <v/>
      </c>
      <c r="G212">
        <f>IFERROR(IF(ISNUMBER(INDEX(SPPR!$E:$Z,MATCH($A212,SPPR!$A:$A,0),4)),$C212*INDEX(SPPR!$E:$Z,MATCH($A212,SPPR!$A:$A,0),4),""),"")</f>
        <v/>
      </c>
      <c r="H212">
        <f>IFERROR(IF(ISNUMBER(INDEX(SPPR!$E:$Z,MATCH($A212,SPPR!$A:$A,0),5)),$C212*INDEX(SPPR!$E:$Z,MATCH($A212,SPPR!$A:$A,0),5),""),"")</f>
        <v/>
      </c>
      <c r="I212">
        <f>IFERROR(IF(ISNUMBER(INDEX(SPPR!$E:$Z,MATCH($A212,SPPR!$A:$A,0),6)),$C212*INDEX(SPPR!$E:$Z,MATCH($A212,SPPR!$A:$A,0),6),""),"")</f>
        <v/>
      </c>
      <c r="J212">
        <f>IFERROR(IF(ISNUMBER(INDEX(SPPR!$E:$Z,MATCH($A212,SPPR!$A:$A,0),7)),$C212*INDEX(SPPR!$E:$Z,MATCH($A212,SPPR!$A:$A,0),7),""),"")</f>
        <v/>
      </c>
      <c r="K212">
        <f>IFERROR(IF(ISNUMBER(INDEX(SPPR!$E:$Z,MATCH($A212,SPPR!$A:$A,0),8)),$C212*INDEX(SPPR!$E:$Z,MATCH($A212,SPPR!$A:$A,0),8),""),"")</f>
        <v/>
      </c>
      <c r="L212">
        <f>IFERROR(IF(ISNUMBER(INDEX(SPPR!$E:$Z,MATCH($A212,SPPR!$A:$A,0),9)),$C212*INDEX(SPPR!$E:$Z,MATCH($A212,SPPR!$A:$A,0),9),""),"")</f>
        <v/>
      </c>
      <c r="M212">
        <f>IFERROR(IF(ISNUMBER(INDEX(SPPR!$E:$Z,MATCH($A212,SPPR!$A:$A,0),10)),$C212*INDEX(SPPR!$E:$Z,MATCH($A212,SPPR!$A:$A,0),10),""),"")</f>
        <v/>
      </c>
      <c r="N212">
        <f>IFERROR(IF(ISNUMBER(INDEX(SPPR!$E:$Z,MATCH($A212,SPPR!$A:$A,0),11)),$C212*INDEX(SPPR!$E:$Z,MATCH($A212,SPPR!$A:$A,0),11),""),"")</f>
        <v/>
      </c>
      <c r="O212">
        <f>IFERROR(IF(ISNUMBER(INDEX(SPPR!$E:$Z,MATCH($A212,SPPR!$A:$A,0),12)),$C212*INDEX(SPPR!$E:$Z,MATCH($A212,SPPR!$A:$A,0),12),""),"")</f>
        <v/>
      </c>
      <c r="P212">
        <f>IFERROR(IF(ISNUMBER(INDEX(SPPR!$E:$Z,MATCH($A212,SPPR!$A:$A,0),13)),$C212*INDEX(SPPR!$E:$Z,MATCH($A212,SPPR!$A:$A,0),13),""),"")</f>
        <v/>
      </c>
      <c r="Q212">
        <f>IFERROR(IF(ISNUMBER(INDEX(SPPR!$E:$Z,MATCH($A212,SPPR!$A:$A,0),14)),$C212*INDEX(SPPR!$E:$Z,MATCH($A212,SPPR!$A:$A,0),14),""),"")</f>
        <v/>
      </c>
      <c r="R212">
        <f>IFERROR(IF(ISNUMBER(INDEX(SPPR!$E:$Z,MATCH($A212,SPPR!$A:$A,0),15)),$C212*INDEX(SPPR!$E:$Z,MATCH($A212,SPPR!$A:$A,0),15),""),"")</f>
        <v/>
      </c>
      <c r="S212">
        <f>IFERROR(IF(ISNUMBER(INDEX(SPPR!$E:$Z,MATCH($A212,SPPR!$A:$A,0),16)),$C212*INDEX(SPPR!$E:$Z,MATCH($A212,SPPR!$A:$A,0),16),""),"")</f>
        <v/>
      </c>
      <c r="T212">
        <f>IFERROR(IF(ISNUMBER(INDEX(SPPR!$E:$Z,MATCH($A212,SPPR!$A:$A,0),17)),$C212*INDEX(SPPR!$E:$Z,MATCH($A212,SPPR!$A:$A,0),17),""),"")</f>
        <v/>
      </c>
      <c r="U212">
        <f>IFERROR(IF(ISNUMBER(INDEX(SPPR!$E:$Z,MATCH($A212,SPPR!$A:$A,0),18)),$C212*INDEX(SPPR!$E:$Z,MATCH($A212,SPPR!$A:$A,0),18),""),"")</f>
        <v/>
      </c>
      <c r="V212">
        <f>IFERROR(IF(ISNUMBER(INDEX(SPPR!$E:$Z,MATCH($A212,SPPR!$A:$A,0),19)),$C212*INDEX(SPPR!$E:$Z,MATCH($A212,SPPR!$A:$A,0),19),""),"")</f>
        <v/>
      </c>
      <c r="W212">
        <f>IFERROR(IF(ISNUMBER(INDEX(SPPR!$E:$Z,MATCH($A212,SPPR!$A:$A,0),20)),$C212*INDEX(SPPR!$E:$Z,MATCH($A212,SPPR!$A:$A,0),20),""),"")</f>
        <v/>
      </c>
      <c r="X212">
        <f>IFERROR(IF(ISNUMBER(INDEX(SPPR!$E:$Z,MATCH($A212,SPPR!$A:$A,0),21)),$C212*INDEX(SPPR!$E:$Z,MATCH($A212,SPPR!$A:$A,0),21),""),"")</f>
        <v/>
      </c>
      <c r="Y212">
        <f>IFERROR(IF(ISNUMBER(INDEX(SPPR!$E:$Z,MATCH($A212,SPPR!$A:$A,0),22)),$C212*INDEX(SPPR!$E:$Z,MATCH($A212,SPPR!$A:$A,0),22),""),"")</f>
        <v/>
      </c>
    </row>
    <row r="213">
      <c r="A213" t="inlineStr">
        <is>
          <t>Caranx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IFERROR(IF(ISNUMBER(INDEX(SPPR!$E:$Z,MATCH($A213,SPPR!$A:$A,0),1)),$C213*INDEX(SPPR!$E:$Z,MATCH($A213,SPPR!$A:$A,0),1),""),"")</f>
        <v/>
      </c>
      <c r="E213">
        <f>IFERROR(IF(ISNUMBER(INDEX(SPPR!$E:$Z,MATCH($A213,SPPR!$A:$A,0),2)),$C213*INDEX(SPPR!$E:$Z,MATCH($A213,SPPR!$A:$A,0),2),""),"")</f>
        <v/>
      </c>
      <c r="F213">
        <f>IFERROR(IF(ISNUMBER(INDEX(SPPR!$E:$Z,MATCH($A213,SPPR!$A:$A,0),3)),$C213*INDEX(SPPR!$E:$Z,MATCH($A213,SPPR!$A:$A,0),3),""),"")</f>
        <v/>
      </c>
      <c r="G213">
        <f>IFERROR(IF(ISNUMBER(INDEX(SPPR!$E:$Z,MATCH($A213,SPPR!$A:$A,0),4)),$C213*INDEX(SPPR!$E:$Z,MATCH($A213,SPPR!$A:$A,0),4),""),"")</f>
        <v/>
      </c>
      <c r="H213">
        <f>IFERROR(IF(ISNUMBER(INDEX(SPPR!$E:$Z,MATCH($A213,SPPR!$A:$A,0),5)),$C213*INDEX(SPPR!$E:$Z,MATCH($A213,SPPR!$A:$A,0),5),""),"")</f>
        <v/>
      </c>
      <c r="I213">
        <f>IFERROR(IF(ISNUMBER(INDEX(SPPR!$E:$Z,MATCH($A213,SPPR!$A:$A,0),6)),$C213*INDEX(SPPR!$E:$Z,MATCH($A213,SPPR!$A:$A,0),6),""),"")</f>
        <v/>
      </c>
      <c r="J213">
        <f>IFERROR(IF(ISNUMBER(INDEX(SPPR!$E:$Z,MATCH($A213,SPPR!$A:$A,0),7)),$C213*INDEX(SPPR!$E:$Z,MATCH($A213,SPPR!$A:$A,0),7),""),"")</f>
        <v/>
      </c>
      <c r="K213">
        <f>IFERROR(IF(ISNUMBER(INDEX(SPPR!$E:$Z,MATCH($A213,SPPR!$A:$A,0),8)),$C213*INDEX(SPPR!$E:$Z,MATCH($A213,SPPR!$A:$A,0),8),""),"")</f>
        <v/>
      </c>
      <c r="L213">
        <f>IFERROR(IF(ISNUMBER(INDEX(SPPR!$E:$Z,MATCH($A213,SPPR!$A:$A,0),9)),$C213*INDEX(SPPR!$E:$Z,MATCH($A213,SPPR!$A:$A,0),9),""),"")</f>
        <v/>
      </c>
      <c r="M213">
        <f>IFERROR(IF(ISNUMBER(INDEX(SPPR!$E:$Z,MATCH($A213,SPPR!$A:$A,0),10)),$C213*INDEX(SPPR!$E:$Z,MATCH($A213,SPPR!$A:$A,0),10),""),"")</f>
        <v/>
      </c>
      <c r="N213">
        <f>IFERROR(IF(ISNUMBER(INDEX(SPPR!$E:$Z,MATCH($A213,SPPR!$A:$A,0),11)),$C213*INDEX(SPPR!$E:$Z,MATCH($A213,SPPR!$A:$A,0),11),""),"")</f>
        <v/>
      </c>
      <c r="O213">
        <f>IFERROR(IF(ISNUMBER(INDEX(SPPR!$E:$Z,MATCH($A213,SPPR!$A:$A,0),12)),$C213*INDEX(SPPR!$E:$Z,MATCH($A213,SPPR!$A:$A,0),12),""),"")</f>
        <v/>
      </c>
      <c r="P213">
        <f>IFERROR(IF(ISNUMBER(INDEX(SPPR!$E:$Z,MATCH($A213,SPPR!$A:$A,0),13)),$C213*INDEX(SPPR!$E:$Z,MATCH($A213,SPPR!$A:$A,0),13),""),"")</f>
        <v/>
      </c>
      <c r="Q213">
        <f>IFERROR(IF(ISNUMBER(INDEX(SPPR!$E:$Z,MATCH($A213,SPPR!$A:$A,0),14)),$C213*INDEX(SPPR!$E:$Z,MATCH($A213,SPPR!$A:$A,0),14),""),"")</f>
        <v/>
      </c>
      <c r="R213">
        <f>IFERROR(IF(ISNUMBER(INDEX(SPPR!$E:$Z,MATCH($A213,SPPR!$A:$A,0),15)),$C213*INDEX(SPPR!$E:$Z,MATCH($A213,SPPR!$A:$A,0),15),""),"")</f>
        <v/>
      </c>
      <c r="S213">
        <f>IFERROR(IF(ISNUMBER(INDEX(SPPR!$E:$Z,MATCH($A213,SPPR!$A:$A,0),16)),$C213*INDEX(SPPR!$E:$Z,MATCH($A213,SPPR!$A:$A,0),16),""),"")</f>
        <v/>
      </c>
      <c r="T213">
        <f>IFERROR(IF(ISNUMBER(INDEX(SPPR!$E:$Z,MATCH($A213,SPPR!$A:$A,0),17)),$C213*INDEX(SPPR!$E:$Z,MATCH($A213,SPPR!$A:$A,0),17),""),"")</f>
        <v/>
      </c>
      <c r="U213">
        <f>IFERROR(IF(ISNUMBER(INDEX(SPPR!$E:$Z,MATCH($A213,SPPR!$A:$A,0),18)),$C213*INDEX(SPPR!$E:$Z,MATCH($A213,SPPR!$A:$A,0),18),""),"")</f>
        <v/>
      </c>
      <c r="V213">
        <f>IFERROR(IF(ISNUMBER(INDEX(SPPR!$E:$Z,MATCH($A213,SPPR!$A:$A,0),19)),$C213*INDEX(SPPR!$E:$Z,MATCH($A213,SPPR!$A:$A,0),19),""),"")</f>
        <v/>
      </c>
      <c r="W213">
        <f>IFERROR(IF(ISNUMBER(INDEX(SPPR!$E:$Z,MATCH($A213,SPPR!$A:$A,0),20)),$C213*INDEX(SPPR!$E:$Z,MATCH($A213,SPPR!$A:$A,0),20),""),"")</f>
        <v/>
      </c>
      <c r="X213">
        <f>IFERROR(IF(ISNUMBER(INDEX(SPPR!$E:$Z,MATCH($A213,SPPR!$A:$A,0),21)),$C213*INDEX(SPPR!$E:$Z,MATCH($A213,SPPR!$A:$A,0),21),""),"")</f>
        <v/>
      </c>
      <c r="Y213">
        <f>IFERROR(IF(ISNUMBER(INDEX(SPPR!$E:$Z,MATCH($A213,SPPR!$A:$A,0),22)),$C213*INDEX(SPPR!$E:$Z,MATCH($A213,SPPR!$A:$A,0),22),""),"")</f>
        <v/>
      </c>
    </row>
    <row r="214">
      <c r="A214" t="inlineStr">
        <is>
          <t>Pellona ditchela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IFERROR(IF(ISNUMBER(INDEX(SPPR!$E:$Z,MATCH($A214,SPPR!$A:$A,0),1)),$C214*INDEX(SPPR!$E:$Z,MATCH($A214,SPPR!$A:$A,0),1),""),"")</f>
        <v/>
      </c>
      <c r="E214">
        <f>IFERROR(IF(ISNUMBER(INDEX(SPPR!$E:$Z,MATCH($A214,SPPR!$A:$A,0),2)),$C214*INDEX(SPPR!$E:$Z,MATCH($A214,SPPR!$A:$A,0),2),""),"")</f>
        <v/>
      </c>
      <c r="F214">
        <f>IFERROR(IF(ISNUMBER(INDEX(SPPR!$E:$Z,MATCH($A214,SPPR!$A:$A,0),3)),$C214*INDEX(SPPR!$E:$Z,MATCH($A214,SPPR!$A:$A,0),3),""),"")</f>
        <v/>
      </c>
      <c r="G214">
        <f>IFERROR(IF(ISNUMBER(INDEX(SPPR!$E:$Z,MATCH($A214,SPPR!$A:$A,0),4)),$C214*INDEX(SPPR!$E:$Z,MATCH($A214,SPPR!$A:$A,0),4),""),"")</f>
        <v/>
      </c>
      <c r="H214">
        <f>IFERROR(IF(ISNUMBER(INDEX(SPPR!$E:$Z,MATCH($A214,SPPR!$A:$A,0),5)),$C214*INDEX(SPPR!$E:$Z,MATCH($A214,SPPR!$A:$A,0),5),""),"")</f>
        <v/>
      </c>
      <c r="I214">
        <f>IFERROR(IF(ISNUMBER(INDEX(SPPR!$E:$Z,MATCH($A214,SPPR!$A:$A,0),6)),$C214*INDEX(SPPR!$E:$Z,MATCH($A214,SPPR!$A:$A,0),6),""),"")</f>
        <v/>
      </c>
      <c r="J214">
        <f>IFERROR(IF(ISNUMBER(INDEX(SPPR!$E:$Z,MATCH($A214,SPPR!$A:$A,0),7)),$C214*INDEX(SPPR!$E:$Z,MATCH($A214,SPPR!$A:$A,0),7),""),"")</f>
        <v/>
      </c>
      <c r="K214">
        <f>IFERROR(IF(ISNUMBER(INDEX(SPPR!$E:$Z,MATCH($A214,SPPR!$A:$A,0),8)),$C214*INDEX(SPPR!$E:$Z,MATCH($A214,SPPR!$A:$A,0),8),""),"")</f>
        <v/>
      </c>
      <c r="L214">
        <f>IFERROR(IF(ISNUMBER(INDEX(SPPR!$E:$Z,MATCH($A214,SPPR!$A:$A,0),9)),$C214*INDEX(SPPR!$E:$Z,MATCH($A214,SPPR!$A:$A,0),9),""),"")</f>
        <v/>
      </c>
      <c r="M214">
        <f>IFERROR(IF(ISNUMBER(INDEX(SPPR!$E:$Z,MATCH($A214,SPPR!$A:$A,0),10)),$C214*INDEX(SPPR!$E:$Z,MATCH($A214,SPPR!$A:$A,0),10),""),"")</f>
        <v/>
      </c>
      <c r="N214">
        <f>IFERROR(IF(ISNUMBER(INDEX(SPPR!$E:$Z,MATCH($A214,SPPR!$A:$A,0),11)),$C214*INDEX(SPPR!$E:$Z,MATCH($A214,SPPR!$A:$A,0),11),""),"")</f>
        <v/>
      </c>
      <c r="O214">
        <f>IFERROR(IF(ISNUMBER(INDEX(SPPR!$E:$Z,MATCH($A214,SPPR!$A:$A,0),12)),$C214*INDEX(SPPR!$E:$Z,MATCH($A214,SPPR!$A:$A,0),12),""),"")</f>
        <v/>
      </c>
      <c r="P214">
        <f>IFERROR(IF(ISNUMBER(INDEX(SPPR!$E:$Z,MATCH($A214,SPPR!$A:$A,0),13)),$C214*INDEX(SPPR!$E:$Z,MATCH($A214,SPPR!$A:$A,0),13),""),"")</f>
        <v/>
      </c>
      <c r="Q214">
        <f>IFERROR(IF(ISNUMBER(INDEX(SPPR!$E:$Z,MATCH($A214,SPPR!$A:$A,0),14)),$C214*INDEX(SPPR!$E:$Z,MATCH($A214,SPPR!$A:$A,0),14),""),"")</f>
        <v/>
      </c>
      <c r="R214">
        <f>IFERROR(IF(ISNUMBER(INDEX(SPPR!$E:$Z,MATCH($A214,SPPR!$A:$A,0),15)),$C214*INDEX(SPPR!$E:$Z,MATCH($A214,SPPR!$A:$A,0),15),""),"")</f>
        <v/>
      </c>
      <c r="S214">
        <f>IFERROR(IF(ISNUMBER(INDEX(SPPR!$E:$Z,MATCH($A214,SPPR!$A:$A,0),16)),$C214*INDEX(SPPR!$E:$Z,MATCH($A214,SPPR!$A:$A,0),16),""),"")</f>
        <v/>
      </c>
      <c r="T214">
        <f>IFERROR(IF(ISNUMBER(INDEX(SPPR!$E:$Z,MATCH($A214,SPPR!$A:$A,0),17)),$C214*INDEX(SPPR!$E:$Z,MATCH($A214,SPPR!$A:$A,0),17),""),"")</f>
        <v/>
      </c>
      <c r="U214">
        <f>IFERROR(IF(ISNUMBER(INDEX(SPPR!$E:$Z,MATCH($A214,SPPR!$A:$A,0),18)),$C214*INDEX(SPPR!$E:$Z,MATCH($A214,SPPR!$A:$A,0),18),""),"")</f>
        <v/>
      </c>
      <c r="V214">
        <f>IFERROR(IF(ISNUMBER(INDEX(SPPR!$E:$Z,MATCH($A214,SPPR!$A:$A,0),19)),$C214*INDEX(SPPR!$E:$Z,MATCH($A214,SPPR!$A:$A,0),19),""),"")</f>
        <v/>
      </c>
      <c r="W214">
        <f>IFERROR(IF(ISNUMBER(INDEX(SPPR!$E:$Z,MATCH($A214,SPPR!$A:$A,0),20)),$C214*INDEX(SPPR!$E:$Z,MATCH($A214,SPPR!$A:$A,0),20),""),"")</f>
        <v/>
      </c>
      <c r="X214">
        <f>IFERROR(IF(ISNUMBER(INDEX(SPPR!$E:$Z,MATCH($A214,SPPR!$A:$A,0),21)),$C214*INDEX(SPPR!$E:$Z,MATCH($A214,SPPR!$A:$A,0),21),""),"")</f>
        <v/>
      </c>
      <c r="Y214">
        <f>IFERROR(IF(ISNUMBER(INDEX(SPPR!$E:$Z,MATCH($A214,SPPR!$A:$A,0),22)),$C214*INDEX(SPPR!$E:$Z,MATCH($A214,SPPR!$A:$A,0),22),""),"")</f>
        <v/>
      </c>
    </row>
    <row r="215">
      <c r="A215" t="inlineStr">
        <is>
          <t>Carcharhinus falciformis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IFERROR(IF(ISNUMBER(INDEX(SPPR!$E:$Z,MATCH($A215,SPPR!$A:$A,0),1)),$C215*INDEX(SPPR!$E:$Z,MATCH($A215,SPPR!$A:$A,0),1),""),"")</f>
        <v/>
      </c>
      <c r="E215">
        <f>IFERROR(IF(ISNUMBER(INDEX(SPPR!$E:$Z,MATCH($A215,SPPR!$A:$A,0),2)),$C215*INDEX(SPPR!$E:$Z,MATCH($A215,SPPR!$A:$A,0),2),""),"")</f>
        <v/>
      </c>
      <c r="F215">
        <f>IFERROR(IF(ISNUMBER(INDEX(SPPR!$E:$Z,MATCH($A215,SPPR!$A:$A,0),3)),$C215*INDEX(SPPR!$E:$Z,MATCH($A215,SPPR!$A:$A,0),3),""),"")</f>
        <v/>
      </c>
      <c r="G215">
        <f>IFERROR(IF(ISNUMBER(INDEX(SPPR!$E:$Z,MATCH($A215,SPPR!$A:$A,0),4)),$C215*INDEX(SPPR!$E:$Z,MATCH($A215,SPPR!$A:$A,0),4),""),"")</f>
        <v/>
      </c>
      <c r="H215">
        <f>IFERROR(IF(ISNUMBER(INDEX(SPPR!$E:$Z,MATCH($A215,SPPR!$A:$A,0),5)),$C215*INDEX(SPPR!$E:$Z,MATCH($A215,SPPR!$A:$A,0),5),""),"")</f>
        <v/>
      </c>
      <c r="I215">
        <f>IFERROR(IF(ISNUMBER(INDEX(SPPR!$E:$Z,MATCH($A215,SPPR!$A:$A,0),6)),$C215*INDEX(SPPR!$E:$Z,MATCH($A215,SPPR!$A:$A,0),6),""),"")</f>
        <v/>
      </c>
      <c r="J215">
        <f>IFERROR(IF(ISNUMBER(INDEX(SPPR!$E:$Z,MATCH($A215,SPPR!$A:$A,0),7)),$C215*INDEX(SPPR!$E:$Z,MATCH($A215,SPPR!$A:$A,0),7),""),"")</f>
        <v/>
      </c>
      <c r="K215">
        <f>IFERROR(IF(ISNUMBER(INDEX(SPPR!$E:$Z,MATCH($A215,SPPR!$A:$A,0),8)),$C215*INDEX(SPPR!$E:$Z,MATCH($A215,SPPR!$A:$A,0),8),""),"")</f>
        <v/>
      </c>
      <c r="L215">
        <f>IFERROR(IF(ISNUMBER(INDEX(SPPR!$E:$Z,MATCH($A215,SPPR!$A:$A,0),9)),$C215*INDEX(SPPR!$E:$Z,MATCH($A215,SPPR!$A:$A,0),9),""),"")</f>
        <v/>
      </c>
      <c r="M215">
        <f>IFERROR(IF(ISNUMBER(INDEX(SPPR!$E:$Z,MATCH($A215,SPPR!$A:$A,0),10)),$C215*INDEX(SPPR!$E:$Z,MATCH($A215,SPPR!$A:$A,0),10),""),"")</f>
        <v/>
      </c>
      <c r="N215">
        <f>IFERROR(IF(ISNUMBER(INDEX(SPPR!$E:$Z,MATCH($A215,SPPR!$A:$A,0),11)),$C215*INDEX(SPPR!$E:$Z,MATCH($A215,SPPR!$A:$A,0),11),""),"")</f>
        <v/>
      </c>
      <c r="O215">
        <f>IFERROR(IF(ISNUMBER(INDEX(SPPR!$E:$Z,MATCH($A215,SPPR!$A:$A,0),12)),$C215*INDEX(SPPR!$E:$Z,MATCH($A215,SPPR!$A:$A,0),12),""),"")</f>
        <v/>
      </c>
      <c r="P215">
        <f>IFERROR(IF(ISNUMBER(INDEX(SPPR!$E:$Z,MATCH($A215,SPPR!$A:$A,0),13)),$C215*INDEX(SPPR!$E:$Z,MATCH($A215,SPPR!$A:$A,0),13),""),"")</f>
        <v/>
      </c>
      <c r="Q215">
        <f>IFERROR(IF(ISNUMBER(INDEX(SPPR!$E:$Z,MATCH($A215,SPPR!$A:$A,0),14)),$C215*INDEX(SPPR!$E:$Z,MATCH($A215,SPPR!$A:$A,0),14),""),"")</f>
        <v/>
      </c>
      <c r="R215">
        <f>IFERROR(IF(ISNUMBER(INDEX(SPPR!$E:$Z,MATCH($A215,SPPR!$A:$A,0),15)),$C215*INDEX(SPPR!$E:$Z,MATCH($A215,SPPR!$A:$A,0),15),""),"")</f>
        <v/>
      </c>
      <c r="S215">
        <f>IFERROR(IF(ISNUMBER(INDEX(SPPR!$E:$Z,MATCH($A215,SPPR!$A:$A,0),16)),$C215*INDEX(SPPR!$E:$Z,MATCH($A215,SPPR!$A:$A,0),16),""),"")</f>
        <v/>
      </c>
      <c r="T215">
        <f>IFERROR(IF(ISNUMBER(INDEX(SPPR!$E:$Z,MATCH($A215,SPPR!$A:$A,0),17)),$C215*INDEX(SPPR!$E:$Z,MATCH($A215,SPPR!$A:$A,0),17),""),"")</f>
        <v/>
      </c>
      <c r="U215">
        <f>IFERROR(IF(ISNUMBER(INDEX(SPPR!$E:$Z,MATCH($A215,SPPR!$A:$A,0),18)),$C215*INDEX(SPPR!$E:$Z,MATCH($A215,SPPR!$A:$A,0),18),""),"")</f>
        <v/>
      </c>
      <c r="V215">
        <f>IFERROR(IF(ISNUMBER(INDEX(SPPR!$E:$Z,MATCH($A215,SPPR!$A:$A,0),19)),$C215*INDEX(SPPR!$E:$Z,MATCH($A215,SPPR!$A:$A,0),19),""),"")</f>
        <v/>
      </c>
      <c r="W215">
        <f>IFERROR(IF(ISNUMBER(INDEX(SPPR!$E:$Z,MATCH($A215,SPPR!$A:$A,0),20)),$C215*INDEX(SPPR!$E:$Z,MATCH($A215,SPPR!$A:$A,0),20),""),"")</f>
        <v/>
      </c>
      <c r="X215">
        <f>IFERROR(IF(ISNUMBER(INDEX(SPPR!$E:$Z,MATCH($A215,SPPR!$A:$A,0),21)),$C215*INDEX(SPPR!$E:$Z,MATCH($A215,SPPR!$A:$A,0),21),""),"")</f>
        <v/>
      </c>
      <c r="Y215">
        <f>IFERROR(IF(ISNUMBER(INDEX(SPPR!$E:$Z,MATCH($A215,SPPR!$A:$A,0),22)),$C215*INDEX(SPPR!$E:$Z,MATCH($A215,SPPR!$A:$A,0),22),""),"")</f>
        <v/>
      </c>
    </row>
    <row r="216">
      <c r="A216" t="inlineStr">
        <is>
          <t>Scyphozoa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IFERROR(IF(ISNUMBER(INDEX(SPPR!$E:$Z,MATCH($A216,SPPR!$A:$A,0),1)),$C216*INDEX(SPPR!$E:$Z,MATCH($A216,SPPR!$A:$A,0),1),""),"")</f>
        <v/>
      </c>
      <c r="E216">
        <f>IFERROR(IF(ISNUMBER(INDEX(SPPR!$E:$Z,MATCH($A216,SPPR!$A:$A,0),2)),$C216*INDEX(SPPR!$E:$Z,MATCH($A216,SPPR!$A:$A,0),2),""),"")</f>
        <v/>
      </c>
      <c r="F216">
        <f>IFERROR(IF(ISNUMBER(INDEX(SPPR!$E:$Z,MATCH($A216,SPPR!$A:$A,0),3)),$C216*INDEX(SPPR!$E:$Z,MATCH($A216,SPPR!$A:$A,0),3),""),"")</f>
        <v/>
      </c>
      <c r="G216">
        <f>IFERROR(IF(ISNUMBER(INDEX(SPPR!$E:$Z,MATCH($A216,SPPR!$A:$A,0),4)),$C216*INDEX(SPPR!$E:$Z,MATCH($A216,SPPR!$A:$A,0),4),""),"")</f>
        <v/>
      </c>
      <c r="H216">
        <f>IFERROR(IF(ISNUMBER(INDEX(SPPR!$E:$Z,MATCH($A216,SPPR!$A:$A,0),5)),$C216*INDEX(SPPR!$E:$Z,MATCH($A216,SPPR!$A:$A,0),5),""),"")</f>
        <v/>
      </c>
      <c r="I216">
        <f>IFERROR(IF(ISNUMBER(INDEX(SPPR!$E:$Z,MATCH($A216,SPPR!$A:$A,0),6)),$C216*INDEX(SPPR!$E:$Z,MATCH($A216,SPPR!$A:$A,0),6),""),"")</f>
        <v/>
      </c>
      <c r="J216">
        <f>IFERROR(IF(ISNUMBER(INDEX(SPPR!$E:$Z,MATCH($A216,SPPR!$A:$A,0),7)),$C216*INDEX(SPPR!$E:$Z,MATCH($A216,SPPR!$A:$A,0),7),""),"")</f>
        <v/>
      </c>
      <c r="K216">
        <f>IFERROR(IF(ISNUMBER(INDEX(SPPR!$E:$Z,MATCH($A216,SPPR!$A:$A,0),8)),$C216*INDEX(SPPR!$E:$Z,MATCH($A216,SPPR!$A:$A,0),8),""),"")</f>
        <v/>
      </c>
      <c r="L216">
        <f>IFERROR(IF(ISNUMBER(INDEX(SPPR!$E:$Z,MATCH($A216,SPPR!$A:$A,0),9)),$C216*INDEX(SPPR!$E:$Z,MATCH($A216,SPPR!$A:$A,0),9),""),"")</f>
        <v/>
      </c>
      <c r="M216">
        <f>IFERROR(IF(ISNUMBER(INDEX(SPPR!$E:$Z,MATCH($A216,SPPR!$A:$A,0),10)),$C216*INDEX(SPPR!$E:$Z,MATCH($A216,SPPR!$A:$A,0),10),""),"")</f>
        <v/>
      </c>
      <c r="N216">
        <f>IFERROR(IF(ISNUMBER(INDEX(SPPR!$E:$Z,MATCH($A216,SPPR!$A:$A,0),11)),$C216*INDEX(SPPR!$E:$Z,MATCH($A216,SPPR!$A:$A,0),11),""),"")</f>
        <v/>
      </c>
      <c r="O216">
        <f>IFERROR(IF(ISNUMBER(INDEX(SPPR!$E:$Z,MATCH($A216,SPPR!$A:$A,0),12)),$C216*INDEX(SPPR!$E:$Z,MATCH($A216,SPPR!$A:$A,0),12),""),"")</f>
        <v/>
      </c>
      <c r="P216">
        <f>IFERROR(IF(ISNUMBER(INDEX(SPPR!$E:$Z,MATCH($A216,SPPR!$A:$A,0),13)),$C216*INDEX(SPPR!$E:$Z,MATCH($A216,SPPR!$A:$A,0),13),""),"")</f>
        <v/>
      </c>
      <c r="Q216">
        <f>IFERROR(IF(ISNUMBER(INDEX(SPPR!$E:$Z,MATCH($A216,SPPR!$A:$A,0),14)),$C216*INDEX(SPPR!$E:$Z,MATCH($A216,SPPR!$A:$A,0),14),""),"")</f>
        <v/>
      </c>
      <c r="R216">
        <f>IFERROR(IF(ISNUMBER(INDEX(SPPR!$E:$Z,MATCH($A216,SPPR!$A:$A,0),15)),$C216*INDEX(SPPR!$E:$Z,MATCH($A216,SPPR!$A:$A,0),15),""),"")</f>
        <v/>
      </c>
      <c r="S216">
        <f>IFERROR(IF(ISNUMBER(INDEX(SPPR!$E:$Z,MATCH($A216,SPPR!$A:$A,0),16)),$C216*INDEX(SPPR!$E:$Z,MATCH($A216,SPPR!$A:$A,0),16),""),"")</f>
        <v/>
      </c>
      <c r="T216">
        <f>IFERROR(IF(ISNUMBER(INDEX(SPPR!$E:$Z,MATCH($A216,SPPR!$A:$A,0),17)),$C216*INDEX(SPPR!$E:$Z,MATCH($A216,SPPR!$A:$A,0),17),""),"")</f>
        <v/>
      </c>
      <c r="U216">
        <f>IFERROR(IF(ISNUMBER(INDEX(SPPR!$E:$Z,MATCH($A216,SPPR!$A:$A,0),18)),$C216*INDEX(SPPR!$E:$Z,MATCH($A216,SPPR!$A:$A,0),18),""),"")</f>
        <v/>
      </c>
      <c r="V216">
        <f>IFERROR(IF(ISNUMBER(INDEX(SPPR!$E:$Z,MATCH($A216,SPPR!$A:$A,0),19)),$C216*INDEX(SPPR!$E:$Z,MATCH($A216,SPPR!$A:$A,0),19),""),"")</f>
        <v/>
      </c>
      <c r="W216">
        <f>IFERROR(IF(ISNUMBER(INDEX(SPPR!$E:$Z,MATCH($A216,SPPR!$A:$A,0),20)),$C216*INDEX(SPPR!$E:$Z,MATCH($A216,SPPR!$A:$A,0),20),""),"")</f>
        <v/>
      </c>
      <c r="X216">
        <f>IFERROR(IF(ISNUMBER(INDEX(SPPR!$E:$Z,MATCH($A216,SPPR!$A:$A,0),21)),$C216*INDEX(SPPR!$E:$Z,MATCH($A216,SPPR!$A:$A,0),21),""),"")</f>
        <v/>
      </c>
      <c r="Y216">
        <f>IFERROR(IF(ISNUMBER(INDEX(SPPR!$E:$Z,MATCH($A216,SPPR!$A:$A,0),22)),$C216*INDEX(SPPR!$E:$Z,MATCH($A216,SPPR!$A:$A,0),22),""),"")</f>
        <v/>
      </c>
    </row>
    <row r="217">
      <c r="A217" t="inlineStr">
        <is>
          <t>Coryphaena hippurus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IFERROR(IF(ISNUMBER(INDEX(SPPR!$E:$Z,MATCH($A217,SPPR!$A:$A,0),1)),$C217*INDEX(SPPR!$E:$Z,MATCH($A217,SPPR!$A:$A,0),1),""),"")</f>
        <v/>
      </c>
      <c r="E217">
        <f>IFERROR(IF(ISNUMBER(INDEX(SPPR!$E:$Z,MATCH($A217,SPPR!$A:$A,0),2)),$C217*INDEX(SPPR!$E:$Z,MATCH($A217,SPPR!$A:$A,0),2),""),"")</f>
        <v/>
      </c>
      <c r="F217">
        <f>IFERROR(IF(ISNUMBER(INDEX(SPPR!$E:$Z,MATCH($A217,SPPR!$A:$A,0),3)),$C217*INDEX(SPPR!$E:$Z,MATCH($A217,SPPR!$A:$A,0),3),""),"")</f>
        <v/>
      </c>
      <c r="G217">
        <f>IFERROR(IF(ISNUMBER(INDEX(SPPR!$E:$Z,MATCH($A217,SPPR!$A:$A,0),4)),$C217*INDEX(SPPR!$E:$Z,MATCH($A217,SPPR!$A:$A,0),4),""),"")</f>
        <v/>
      </c>
      <c r="H217">
        <f>IFERROR(IF(ISNUMBER(INDEX(SPPR!$E:$Z,MATCH($A217,SPPR!$A:$A,0),5)),$C217*INDEX(SPPR!$E:$Z,MATCH($A217,SPPR!$A:$A,0),5),""),"")</f>
        <v/>
      </c>
      <c r="I217">
        <f>IFERROR(IF(ISNUMBER(INDEX(SPPR!$E:$Z,MATCH($A217,SPPR!$A:$A,0),6)),$C217*INDEX(SPPR!$E:$Z,MATCH($A217,SPPR!$A:$A,0),6),""),"")</f>
        <v/>
      </c>
      <c r="J217">
        <f>IFERROR(IF(ISNUMBER(INDEX(SPPR!$E:$Z,MATCH($A217,SPPR!$A:$A,0),7)),$C217*INDEX(SPPR!$E:$Z,MATCH($A217,SPPR!$A:$A,0),7),""),"")</f>
        <v/>
      </c>
      <c r="K217">
        <f>IFERROR(IF(ISNUMBER(INDEX(SPPR!$E:$Z,MATCH($A217,SPPR!$A:$A,0),8)),$C217*INDEX(SPPR!$E:$Z,MATCH($A217,SPPR!$A:$A,0),8),""),"")</f>
        <v/>
      </c>
      <c r="L217">
        <f>IFERROR(IF(ISNUMBER(INDEX(SPPR!$E:$Z,MATCH($A217,SPPR!$A:$A,0),9)),$C217*INDEX(SPPR!$E:$Z,MATCH($A217,SPPR!$A:$A,0),9),""),"")</f>
        <v/>
      </c>
      <c r="M217">
        <f>IFERROR(IF(ISNUMBER(INDEX(SPPR!$E:$Z,MATCH($A217,SPPR!$A:$A,0),10)),$C217*INDEX(SPPR!$E:$Z,MATCH($A217,SPPR!$A:$A,0),10),""),"")</f>
        <v/>
      </c>
      <c r="N217">
        <f>IFERROR(IF(ISNUMBER(INDEX(SPPR!$E:$Z,MATCH($A217,SPPR!$A:$A,0),11)),$C217*INDEX(SPPR!$E:$Z,MATCH($A217,SPPR!$A:$A,0),11),""),"")</f>
        <v/>
      </c>
      <c r="O217">
        <f>IFERROR(IF(ISNUMBER(INDEX(SPPR!$E:$Z,MATCH($A217,SPPR!$A:$A,0),12)),$C217*INDEX(SPPR!$E:$Z,MATCH($A217,SPPR!$A:$A,0),12),""),"")</f>
        <v/>
      </c>
      <c r="P217">
        <f>IFERROR(IF(ISNUMBER(INDEX(SPPR!$E:$Z,MATCH($A217,SPPR!$A:$A,0),13)),$C217*INDEX(SPPR!$E:$Z,MATCH($A217,SPPR!$A:$A,0),13),""),"")</f>
        <v/>
      </c>
      <c r="Q217">
        <f>IFERROR(IF(ISNUMBER(INDEX(SPPR!$E:$Z,MATCH($A217,SPPR!$A:$A,0),14)),$C217*INDEX(SPPR!$E:$Z,MATCH($A217,SPPR!$A:$A,0),14),""),"")</f>
        <v/>
      </c>
      <c r="R217">
        <f>IFERROR(IF(ISNUMBER(INDEX(SPPR!$E:$Z,MATCH($A217,SPPR!$A:$A,0),15)),$C217*INDEX(SPPR!$E:$Z,MATCH($A217,SPPR!$A:$A,0),15),""),"")</f>
        <v/>
      </c>
      <c r="S217">
        <f>IFERROR(IF(ISNUMBER(INDEX(SPPR!$E:$Z,MATCH($A217,SPPR!$A:$A,0),16)),$C217*INDEX(SPPR!$E:$Z,MATCH($A217,SPPR!$A:$A,0),16),""),"")</f>
        <v/>
      </c>
      <c r="T217">
        <f>IFERROR(IF(ISNUMBER(INDEX(SPPR!$E:$Z,MATCH($A217,SPPR!$A:$A,0),17)),$C217*INDEX(SPPR!$E:$Z,MATCH($A217,SPPR!$A:$A,0),17),""),"")</f>
        <v/>
      </c>
      <c r="U217">
        <f>IFERROR(IF(ISNUMBER(INDEX(SPPR!$E:$Z,MATCH($A217,SPPR!$A:$A,0),18)),$C217*INDEX(SPPR!$E:$Z,MATCH($A217,SPPR!$A:$A,0),18),""),"")</f>
        <v/>
      </c>
      <c r="V217">
        <f>IFERROR(IF(ISNUMBER(INDEX(SPPR!$E:$Z,MATCH($A217,SPPR!$A:$A,0),19)),$C217*INDEX(SPPR!$E:$Z,MATCH($A217,SPPR!$A:$A,0),19),""),"")</f>
        <v/>
      </c>
      <c r="W217">
        <f>IFERROR(IF(ISNUMBER(INDEX(SPPR!$E:$Z,MATCH($A217,SPPR!$A:$A,0),20)),$C217*INDEX(SPPR!$E:$Z,MATCH($A217,SPPR!$A:$A,0),20),""),"")</f>
        <v/>
      </c>
      <c r="X217">
        <f>IFERROR(IF(ISNUMBER(INDEX(SPPR!$E:$Z,MATCH($A217,SPPR!$A:$A,0),21)),$C217*INDEX(SPPR!$E:$Z,MATCH($A217,SPPR!$A:$A,0),21),""),"")</f>
        <v/>
      </c>
      <c r="Y217">
        <f>IFERROR(IF(ISNUMBER(INDEX(SPPR!$E:$Z,MATCH($A217,SPPR!$A:$A,0),22)),$C217*INDEX(SPPR!$E:$Z,MATCH($A217,SPPR!$A:$A,0),22),""),"")</f>
        <v/>
      </c>
    </row>
    <row r="218">
      <c r="A218" t="inlineStr">
        <is>
          <t>Labridae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IFERROR(IF(ISNUMBER(INDEX(SPPR!$E:$Z,MATCH($A218,SPPR!$A:$A,0),1)),$C218*INDEX(SPPR!$E:$Z,MATCH($A218,SPPR!$A:$A,0),1),""),"")</f>
        <v/>
      </c>
      <c r="E218">
        <f>IFERROR(IF(ISNUMBER(INDEX(SPPR!$E:$Z,MATCH($A218,SPPR!$A:$A,0),2)),$C218*INDEX(SPPR!$E:$Z,MATCH($A218,SPPR!$A:$A,0),2),""),"")</f>
        <v/>
      </c>
      <c r="F218">
        <f>IFERROR(IF(ISNUMBER(INDEX(SPPR!$E:$Z,MATCH($A218,SPPR!$A:$A,0),3)),$C218*INDEX(SPPR!$E:$Z,MATCH($A218,SPPR!$A:$A,0),3),""),"")</f>
        <v/>
      </c>
      <c r="G218">
        <f>IFERROR(IF(ISNUMBER(INDEX(SPPR!$E:$Z,MATCH($A218,SPPR!$A:$A,0),4)),$C218*INDEX(SPPR!$E:$Z,MATCH($A218,SPPR!$A:$A,0),4),""),"")</f>
        <v/>
      </c>
      <c r="H218">
        <f>IFERROR(IF(ISNUMBER(INDEX(SPPR!$E:$Z,MATCH($A218,SPPR!$A:$A,0),5)),$C218*INDEX(SPPR!$E:$Z,MATCH($A218,SPPR!$A:$A,0),5),""),"")</f>
        <v/>
      </c>
      <c r="I218">
        <f>IFERROR(IF(ISNUMBER(INDEX(SPPR!$E:$Z,MATCH($A218,SPPR!$A:$A,0),6)),$C218*INDEX(SPPR!$E:$Z,MATCH($A218,SPPR!$A:$A,0),6),""),"")</f>
        <v/>
      </c>
      <c r="J218">
        <f>IFERROR(IF(ISNUMBER(INDEX(SPPR!$E:$Z,MATCH($A218,SPPR!$A:$A,0),7)),$C218*INDEX(SPPR!$E:$Z,MATCH($A218,SPPR!$A:$A,0),7),""),"")</f>
        <v/>
      </c>
      <c r="K218">
        <f>IFERROR(IF(ISNUMBER(INDEX(SPPR!$E:$Z,MATCH($A218,SPPR!$A:$A,0),8)),$C218*INDEX(SPPR!$E:$Z,MATCH($A218,SPPR!$A:$A,0),8),""),"")</f>
        <v/>
      </c>
      <c r="L218">
        <f>IFERROR(IF(ISNUMBER(INDEX(SPPR!$E:$Z,MATCH($A218,SPPR!$A:$A,0),9)),$C218*INDEX(SPPR!$E:$Z,MATCH($A218,SPPR!$A:$A,0),9),""),"")</f>
        <v/>
      </c>
      <c r="M218">
        <f>IFERROR(IF(ISNUMBER(INDEX(SPPR!$E:$Z,MATCH($A218,SPPR!$A:$A,0),10)),$C218*INDEX(SPPR!$E:$Z,MATCH($A218,SPPR!$A:$A,0),10),""),"")</f>
        <v/>
      </c>
      <c r="N218">
        <f>IFERROR(IF(ISNUMBER(INDEX(SPPR!$E:$Z,MATCH($A218,SPPR!$A:$A,0),11)),$C218*INDEX(SPPR!$E:$Z,MATCH($A218,SPPR!$A:$A,0),11),""),"")</f>
        <v/>
      </c>
      <c r="O218">
        <f>IFERROR(IF(ISNUMBER(INDEX(SPPR!$E:$Z,MATCH($A218,SPPR!$A:$A,0),12)),$C218*INDEX(SPPR!$E:$Z,MATCH($A218,SPPR!$A:$A,0),12),""),"")</f>
        <v/>
      </c>
      <c r="P218">
        <f>IFERROR(IF(ISNUMBER(INDEX(SPPR!$E:$Z,MATCH($A218,SPPR!$A:$A,0),13)),$C218*INDEX(SPPR!$E:$Z,MATCH($A218,SPPR!$A:$A,0),13),""),"")</f>
        <v/>
      </c>
      <c r="Q218">
        <f>IFERROR(IF(ISNUMBER(INDEX(SPPR!$E:$Z,MATCH($A218,SPPR!$A:$A,0),14)),$C218*INDEX(SPPR!$E:$Z,MATCH($A218,SPPR!$A:$A,0),14),""),"")</f>
        <v/>
      </c>
      <c r="R218">
        <f>IFERROR(IF(ISNUMBER(INDEX(SPPR!$E:$Z,MATCH($A218,SPPR!$A:$A,0),15)),$C218*INDEX(SPPR!$E:$Z,MATCH($A218,SPPR!$A:$A,0),15),""),"")</f>
        <v/>
      </c>
      <c r="S218">
        <f>IFERROR(IF(ISNUMBER(INDEX(SPPR!$E:$Z,MATCH($A218,SPPR!$A:$A,0),16)),$C218*INDEX(SPPR!$E:$Z,MATCH($A218,SPPR!$A:$A,0),16),""),"")</f>
        <v/>
      </c>
      <c r="T218">
        <f>IFERROR(IF(ISNUMBER(INDEX(SPPR!$E:$Z,MATCH($A218,SPPR!$A:$A,0),17)),$C218*INDEX(SPPR!$E:$Z,MATCH($A218,SPPR!$A:$A,0),17),""),"")</f>
        <v/>
      </c>
      <c r="U218">
        <f>IFERROR(IF(ISNUMBER(INDEX(SPPR!$E:$Z,MATCH($A218,SPPR!$A:$A,0),18)),$C218*INDEX(SPPR!$E:$Z,MATCH($A218,SPPR!$A:$A,0),18),""),"")</f>
        <v/>
      </c>
      <c r="V218">
        <f>IFERROR(IF(ISNUMBER(INDEX(SPPR!$E:$Z,MATCH($A218,SPPR!$A:$A,0),19)),$C218*INDEX(SPPR!$E:$Z,MATCH($A218,SPPR!$A:$A,0),19),""),"")</f>
        <v/>
      </c>
      <c r="W218">
        <f>IFERROR(IF(ISNUMBER(INDEX(SPPR!$E:$Z,MATCH($A218,SPPR!$A:$A,0),20)),$C218*INDEX(SPPR!$E:$Z,MATCH($A218,SPPR!$A:$A,0),20),""),"")</f>
        <v/>
      </c>
      <c r="X218">
        <f>IFERROR(IF(ISNUMBER(INDEX(SPPR!$E:$Z,MATCH($A218,SPPR!$A:$A,0),21)),$C218*INDEX(SPPR!$E:$Z,MATCH($A218,SPPR!$A:$A,0),21),""),"")</f>
        <v/>
      </c>
      <c r="Y218">
        <f>IFERROR(IF(ISNUMBER(INDEX(SPPR!$E:$Z,MATCH($A218,SPPR!$A:$A,0),22)),$C218*INDEX(SPPR!$E:$Z,MATCH($A218,SPPR!$A:$A,0),22),""),"")</f>
        <v/>
      </c>
    </row>
    <row r="219">
      <c r="A219" t="inlineStr">
        <is>
          <t>Decapoda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IFERROR(IF(ISNUMBER(INDEX(SPPR!$E:$Z,MATCH($A219,SPPR!$A:$A,0),1)),$C219*INDEX(SPPR!$E:$Z,MATCH($A219,SPPR!$A:$A,0),1),""),"")</f>
        <v/>
      </c>
      <c r="E219">
        <f>IFERROR(IF(ISNUMBER(INDEX(SPPR!$E:$Z,MATCH($A219,SPPR!$A:$A,0),2)),$C219*INDEX(SPPR!$E:$Z,MATCH($A219,SPPR!$A:$A,0),2),""),"")</f>
        <v/>
      </c>
      <c r="F219">
        <f>IFERROR(IF(ISNUMBER(INDEX(SPPR!$E:$Z,MATCH($A219,SPPR!$A:$A,0),3)),$C219*INDEX(SPPR!$E:$Z,MATCH($A219,SPPR!$A:$A,0),3),""),"")</f>
        <v/>
      </c>
      <c r="G219">
        <f>IFERROR(IF(ISNUMBER(INDEX(SPPR!$E:$Z,MATCH($A219,SPPR!$A:$A,0),4)),$C219*INDEX(SPPR!$E:$Z,MATCH($A219,SPPR!$A:$A,0),4),""),"")</f>
        <v/>
      </c>
      <c r="H219">
        <f>IFERROR(IF(ISNUMBER(INDEX(SPPR!$E:$Z,MATCH($A219,SPPR!$A:$A,0),5)),$C219*INDEX(SPPR!$E:$Z,MATCH($A219,SPPR!$A:$A,0),5),""),"")</f>
        <v/>
      </c>
      <c r="I219">
        <f>IFERROR(IF(ISNUMBER(INDEX(SPPR!$E:$Z,MATCH($A219,SPPR!$A:$A,0),6)),$C219*INDEX(SPPR!$E:$Z,MATCH($A219,SPPR!$A:$A,0),6),""),"")</f>
        <v/>
      </c>
      <c r="J219">
        <f>IFERROR(IF(ISNUMBER(INDEX(SPPR!$E:$Z,MATCH($A219,SPPR!$A:$A,0),7)),$C219*INDEX(SPPR!$E:$Z,MATCH($A219,SPPR!$A:$A,0),7),""),"")</f>
        <v/>
      </c>
      <c r="K219">
        <f>IFERROR(IF(ISNUMBER(INDEX(SPPR!$E:$Z,MATCH($A219,SPPR!$A:$A,0),8)),$C219*INDEX(SPPR!$E:$Z,MATCH($A219,SPPR!$A:$A,0),8),""),"")</f>
        <v/>
      </c>
      <c r="L219">
        <f>IFERROR(IF(ISNUMBER(INDEX(SPPR!$E:$Z,MATCH($A219,SPPR!$A:$A,0),9)),$C219*INDEX(SPPR!$E:$Z,MATCH($A219,SPPR!$A:$A,0),9),""),"")</f>
        <v/>
      </c>
      <c r="M219">
        <f>IFERROR(IF(ISNUMBER(INDEX(SPPR!$E:$Z,MATCH($A219,SPPR!$A:$A,0),10)),$C219*INDEX(SPPR!$E:$Z,MATCH($A219,SPPR!$A:$A,0),10),""),"")</f>
        <v/>
      </c>
      <c r="N219">
        <f>IFERROR(IF(ISNUMBER(INDEX(SPPR!$E:$Z,MATCH($A219,SPPR!$A:$A,0),11)),$C219*INDEX(SPPR!$E:$Z,MATCH($A219,SPPR!$A:$A,0),11),""),"")</f>
        <v/>
      </c>
      <c r="O219">
        <f>IFERROR(IF(ISNUMBER(INDEX(SPPR!$E:$Z,MATCH($A219,SPPR!$A:$A,0),12)),$C219*INDEX(SPPR!$E:$Z,MATCH($A219,SPPR!$A:$A,0),12),""),"")</f>
        <v/>
      </c>
      <c r="P219">
        <f>IFERROR(IF(ISNUMBER(INDEX(SPPR!$E:$Z,MATCH($A219,SPPR!$A:$A,0),13)),$C219*INDEX(SPPR!$E:$Z,MATCH($A219,SPPR!$A:$A,0),13),""),"")</f>
        <v/>
      </c>
      <c r="Q219">
        <f>IFERROR(IF(ISNUMBER(INDEX(SPPR!$E:$Z,MATCH($A219,SPPR!$A:$A,0),14)),$C219*INDEX(SPPR!$E:$Z,MATCH($A219,SPPR!$A:$A,0),14),""),"")</f>
        <v/>
      </c>
      <c r="R219">
        <f>IFERROR(IF(ISNUMBER(INDEX(SPPR!$E:$Z,MATCH($A219,SPPR!$A:$A,0),15)),$C219*INDEX(SPPR!$E:$Z,MATCH($A219,SPPR!$A:$A,0),15),""),"")</f>
        <v/>
      </c>
      <c r="S219">
        <f>IFERROR(IF(ISNUMBER(INDEX(SPPR!$E:$Z,MATCH($A219,SPPR!$A:$A,0),16)),$C219*INDEX(SPPR!$E:$Z,MATCH($A219,SPPR!$A:$A,0),16),""),"")</f>
        <v/>
      </c>
      <c r="T219">
        <f>IFERROR(IF(ISNUMBER(INDEX(SPPR!$E:$Z,MATCH($A219,SPPR!$A:$A,0),17)),$C219*INDEX(SPPR!$E:$Z,MATCH($A219,SPPR!$A:$A,0),17),""),"")</f>
        <v/>
      </c>
      <c r="U219">
        <f>IFERROR(IF(ISNUMBER(INDEX(SPPR!$E:$Z,MATCH($A219,SPPR!$A:$A,0),18)),$C219*INDEX(SPPR!$E:$Z,MATCH($A219,SPPR!$A:$A,0),18),""),"")</f>
        <v/>
      </c>
      <c r="V219">
        <f>IFERROR(IF(ISNUMBER(INDEX(SPPR!$E:$Z,MATCH($A219,SPPR!$A:$A,0),19)),$C219*INDEX(SPPR!$E:$Z,MATCH($A219,SPPR!$A:$A,0),19),""),"")</f>
        <v/>
      </c>
      <c r="W219">
        <f>IFERROR(IF(ISNUMBER(INDEX(SPPR!$E:$Z,MATCH($A219,SPPR!$A:$A,0),20)),$C219*INDEX(SPPR!$E:$Z,MATCH($A219,SPPR!$A:$A,0),20),""),"")</f>
        <v/>
      </c>
      <c r="X219">
        <f>IFERROR(IF(ISNUMBER(INDEX(SPPR!$E:$Z,MATCH($A219,SPPR!$A:$A,0),21)),$C219*INDEX(SPPR!$E:$Z,MATCH($A219,SPPR!$A:$A,0),21),""),"")</f>
        <v/>
      </c>
      <c r="Y219">
        <f>IFERROR(IF(ISNUMBER(INDEX(SPPR!$E:$Z,MATCH($A219,SPPR!$A:$A,0),22)),$C219*INDEX(SPPR!$E:$Z,MATCH($A219,SPPR!$A:$A,0),22),""),"")</f>
        <v/>
      </c>
    </row>
    <row r="220">
      <c r="A220" t="inlineStr">
        <is>
          <t>Netuma thalassina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IFERROR(IF(ISNUMBER(INDEX(SPPR!$E:$Z,MATCH($A220,SPPR!$A:$A,0),1)),$C220*INDEX(SPPR!$E:$Z,MATCH($A220,SPPR!$A:$A,0),1),""),"")</f>
        <v/>
      </c>
      <c r="E220">
        <f>IFERROR(IF(ISNUMBER(INDEX(SPPR!$E:$Z,MATCH($A220,SPPR!$A:$A,0),2)),$C220*INDEX(SPPR!$E:$Z,MATCH($A220,SPPR!$A:$A,0),2),""),"")</f>
        <v/>
      </c>
      <c r="F220">
        <f>IFERROR(IF(ISNUMBER(INDEX(SPPR!$E:$Z,MATCH($A220,SPPR!$A:$A,0),3)),$C220*INDEX(SPPR!$E:$Z,MATCH($A220,SPPR!$A:$A,0),3),""),"")</f>
        <v/>
      </c>
      <c r="G220">
        <f>IFERROR(IF(ISNUMBER(INDEX(SPPR!$E:$Z,MATCH($A220,SPPR!$A:$A,0),4)),$C220*INDEX(SPPR!$E:$Z,MATCH($A220,SPPR!$A:$A,0),4),""),"")</f>
        <v/>
      </c>
      <c r="H220">
        <f>IFERROR(IF(ISNUMBER(INDEX(SPPR!$E:$Z,MATCH($A220,SPPR!$A:$A,0),5)),$C220*INDEX(SPPR!$E:$Z,MATCH($A220,SPPR!$A:$A,0),5),""),"")</f>
        <v/>
      </c>
      <c r="I220">
        <f>IFERROR(IF(ISNUMBER(INDEX(SPPR!$E:$Z,MATCH($A220,SPPR!$A:$A,0),6)),$C220*INDEX(SPPR!$E:$Z,MATCH($A220,SPPR!$A:$A,0),6),""),"")</f>
        <v/>
      </c>
      <c r="J220">
        <f>IFERROR(IF(ISNUMBER(INDEX(SPPR!$E:$Z,MATCH($A220,SPPR!$A:$A,0),7)),$C220*INDEX(SPPR!$E:$Z,MATCH($A220,SPPR!$A:$A,0),7),""),"")</f>
        <v/>
      </c>
      <c r="K220">
        <f>IFERROR(IF(ISNUMBER(INDEX(SPPR!$E:$Z,MATCH($A220,SPPR!$A:$A,0),8)),$C220*INDEX(SPPR!$E:$Z,MATCH($A220,SPPR!$A:$A,0),8),""),"")</f>
        <v/>
      </c>
      <c r="L220">
        <f>IFERROR(IF(ISNUMBER(INDEX(SPPR!$E:$Z,MATCH($A220,SPPR!$A:$A,0),9)),$C220*INDEX(SPPR!$E:$Z,MATCH($A220,SPPR!$A:$A,0),9),""),"")</f>
        <v/>
      </c>
      <c r="M220">
        <f>IFERROR(IF(ISNUMBER(INDEX(SPPR!$E:$Z,MATCH($A220,SPPR!$A:$A,0),10)),$C220*INDEX(SPPR!$E:$Z,MATCH($A220,SPPR!$A:$A,0),10),""),"")</f>
        <v/>
      </c>
      <c r="N220">
        <f>IFERROR(IF(ISNUMBER(INDEX(SPPR!$E:$Z,MATCH($A220,SPPR!$A:$A,0),11)),$C220*INDEX(SPPR!$E:$Z,MATCH($A220,SPPR!$A:$A,0),11),""),"")</f>
        <v/>
      </c>
      <c r="O220">
        <f>IFERROR(IF(ISNUMBER(INDEX(SPPR!$E:$Z,MATCH($A220,SPPR!$A:$A,0),12)),$C220*INDEX(SPPR!$E:$Z,MATCH($A220,SPPR!$A:$A,0),12),""),"")</f>
        <v/>
      </c>
      <c r="P220">
        <f>IFERROR(IF(ISNUMBER(INDEX(SPPR!$E:$Z,MATCH($A220,SPPR!$A:$A,0),13)),$C220*INDEX(SPPR!$E:$Z,MATCH($A220,SPPR!$A:$A,0),13),""),"")</f>
        <v/>
      </c>
      <c r="Q220">
        <f>IFERROR(IF(ISNUMBER(INDEX(SPPR!$E:$Z,MATCH($A220,SPPR!$A:$A,0),14)),$C220*INDEX(SPPR!$E:$Z,MATCH($A220,SPPR!$A:$A,0),14),""),"")</f>
        <v/>
      </c>
      <c r="R220">
        <f>IFERROR(IF(ISNUMBER(INDEX(SPPR!$E:$Z,MATCH($A220,SPPR!$A:$A,0),15)),$C220*INDEX(SPPR!$E:$Z,MATCH($A220,SPPR!$A:$A,0),15),""),"")</f>
        <v/>
      </c>
      <c r="S220">
        <f>IFERROR(IF(ISNUMBER(INDEX(SPPR!$E:$Z,MATCH($A220,SPPR!$A:$A,0),16)),$C220*INDEX(SPPR!$E:$Z,MATCH($A220,SPPR!$A:$A,0),16),""),"")</f>
        <v/>
      </c>
      <c r="T220">
        <f>IFERROR(IF(ISNUMBER(INDEX(SPPR!$E:$Z,MATCH($A220,SPPR!$A:$A,0),17)),$C220*INDEX(SPPR!$E:$Z,MATCH($A220,SPPR!$A:$A,0),17),""),"")</f>
        <v/>
      </c>
      <c r="U220">
        <f>IFERROR(IF(ISNUMBER(INDEX(SPPR!$E:$Z,MATCH($A220,SPPR!$A:$A,0),18)),$C220*INDEX(SPPR!$E:$Z,MATCH($A220,SPPR!$A:$A,0),18),""),"")</f>
        <v/>
      </c>
      <c r="V220">
        <f>IFERROR(IF(ISNUMBER(INDEX(SPPR!$E:$Z,MATCH($A220,SPPR!$A:$A,0),19)),$C220*INDEX(SPPR!$E:$Z,MATCH($A220,SPPR!$A:$A,0),19),""),"")</f>
        <v/>
      </c>
      <c r="W220">
        <f>IFERROR(IF(ISNUMBER(INDEX(SPPR!$E:$Z,MATCH($A220,SPPR!$A:$A,0),20)),$C220*INDEX(SPPR!$E:$Z,MATCH($A220,SPPR!$A:$A,0),20),""),"")</f>
        <v/>
      </c>
      <c r="X220">
        <f>IFERROR(IF(ISNUMBER(INDEX(SPPR!$E:$Z,MATCH($A220,SPPR!$A:$A,0),21)),$C220*INDEX(SPPR!$E:$Z,MATCH($A220,SPPR!$A:$A,0),21),""),"")</f>
        <v/>
      </c>
      <c r="Y220">
        <f>IFERROR(IF(ISNUMBER(INDEX(SPPR!$E:$Z,MATCH($A220,SPPR!$A:$A,0),22)),$C220*INDEX(SPPR!$E:$Z,MATCH($A220,SPPR!$A:$A,0),22),""),"")</f>
        <v/>
      </c>
    </row>
    <row r="221">
      <c r="A221" t="inlineStr">
        <is>
          <t>Sardinella lemuru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IFERROR(IF(ISNUMBER(INDEX(SPPR!$E:$Z,MATCH($A221,SPPR!$A:$A,0),1)),$C221*INDEX(SPPR!$E:$Z,MATCH($A221,SPPR!$A:$A,0),1),""),"")</f>
        <v/>
      </c>
      <c r="E221">
        <f>IFERROR(IF(ISNUMBER(INDEX(SPPR!$E:$Z,MATCH($A221,SPPR!$A:$A,0),2)),$C221*INDEX(SPPR!$E:$Z,MATCH($A221,SPPR!$A:$A,0),2),""),"")</f>
        <v/>
      </c>
      <c r="F221">
        <f>IFERROR(IF(ISNUMBER(INDEX(SPPR!$E:$Z,MATCH($A221,SPPR!$A:$A,0),3)),$C221*INDEX(SPPR!$E:$Z,MATCH($A221,SPPR!$A:$A,0),3),""),"")</f>
        <v/>
      </c>
      <c r="G221">
        <f>IFERROR(IF(ISNUMBER(INDEX(SPPR!$E:$Z,MATCH($A221,SPPR!$A:$A,0),4)),$C221*INDEX(SPPR!$E:$Z,MATCH($A221,SPPR!$A:$A,0),4),""),"")</f>
        <v/>
      </c>
      <c r="H221">
        <f>IFERROR(IF(ISNUMBER(INDEX(SPPR!$E:$Z,MATCH($A221,SPPR!$A:$A,0),5)),$C221*INDEX(SPPR!$E:$Z,MATCH($A221,SPPR!$A:$A,0),5),""),"")</f>
        <v/>
      </c>
      <c r="I221">
        <f>IFERROR(IF(ISNUMBER(INDEX(SPPR!$E:$Z,MATCH($A221,SPPR!$A:$A,0),6)),$C221*INDEX(SPPR!$E:$Z,MATCH($A221,SPPR!$A:$A,0),6),""),"")</f>
        <v/>
      </c>
      <c r="J221">
        <f>IFERROR(IF(ISNUMBER(INDEX(SPPR!$E:$Z,MATCH($A221,SPPR!$A:$A,0),7)),$C221*INDEX(SPPR!$E:$Z,MATCH($A221,SPPR!$A:$A,0),7),""),"")</f>
        <v/>
      </c>
      <c r="K221">
        <f>IFERROR(IF(ISNUMBER(INDEX(SPPR!$E:$Z,MATCH($A221,SPPR!$A:$A,0),8)),$C221*INDEX(SPPR!$E:$Z,MATCH($A221,SPPR!$A:$A,0),8),""),"")</f>
        <v/>
      </c>
      <c r="L221">
        <f>IFERROR(IF(ISNUMBER(INDEX(SPPR!$E:$Z,MATCH($A221,SPPR!$A:$A,0),9)),$C221*INDEX(SPPR!$E:$Z,MATCH($A221,SPPR!$A:$A,0),9),""),"")</f>
        <v/>
      </c>
      <c r="M221">
        <f>IFERROR(IF(ISNUMBER(INDEX(SPPR!$E:$Z,MATCH($A221,SPPR!$A:$A,0),10)),$C221*INDEX(SPPR!$E:$Z,MATCH($A221,SPPR!$A:$A,0),10),""),"")</f>
        <v/>
      </c>
      <c r="N221">
        <f>IFERROR(IF(ISNUMBER(INDEX(SPPR!$E:$Z,MATCH($A221,SPPR!$A:$A,0),11)),$C221*INDEX(SPPR!$E:$Z,MATCH($A221,SPPR!$A:$A,0),11),""),"")</f>
        <v/>
      </c>
      <c r="O221">
        <f>IFERROR(IF(ISNUMBER(INDEX(SPPR!$E:$Z,MATCH($A221,SPPR!$A:$A,0),12)),$C221*INDEX(SPPR!$E:$Z,MATCH($A221,SPPR!$A:$A,0),12),""),"")</f>
        <v/>
      </c>
      <c r="P221">
        <f>IFERROR(IF(ISNUMBER(INDEX(SPPR!$E:$Z,MATCH($A221,SPPR!$A:$A,0),13)),$C221*INDEX(SPPR!$E:$Z,MATCH($A221,SPPR!$A:$A,0),13),""),"")</f>
        <v/>
      </c>
      <c r="Q221">
        <f>IFERROR(IF(ISNUMBER(INDEX(SPPR!$E:$Z,MATCH($A221,SPPR!$A:$A,0),14)),$C221*INDEX(SPPR!$E:$Z,MATCH($A221,SPPR!$A:$A,0),14),""),"")</f>
        <v/>
      </c>
      <c r="R221">
        <f>IFERROR(IF(ISNUMBER(INDEX(SPPR!$E:$Z,MATCH($A221,SPPR!$A:$A,0),15)),$C221*INDEX(SPPR!$E:$Z,MATCH($A221,SPPR!$A:$A,0),15),""),"")</f>
        <v/>
      </c>
      <c r="S221">
        <f>IFERROR(IF(ISNUMBER(INDEX(SPPR!$E:$Z,MATCH($A221,SPPR!$A:$A,0),16)),$C221*INDEX(SPPR!$E:$Z,MATCH($A221,SPPR!$A:$A,0),16),""),"")</f>
        <v/>
      </c>
      <c r="T221">
        <f>IFERROR(IF(ISNUMBER(INDEX(SPPR!$E:$Z,MATCH($A221,SPPR!$A:$A,0),17)),$C221*INDEX(SPPR!$E:$Z,MATCH($A221,SPPR!$A:$A,0),17),""),"")</f>
        <v/>
      </c>
      <c r="U221">
        <f>IFERROR(IF(ISNUMBER(INDEX(SPPR!$E:$Z,MATCH($A221,SPPR!$A:$A,0),18)),$C221*INDEX(SPPR!$E:$Z,MATCH($A221,SPPR!$A:$A,0),18),""),"")</f>
        <v/>
      </c>
      <c r="V221">
        <f>IFERROR(IF(ISNUMBER(INDEX(SPPR!$E:$Z,MATCH($A221,SPPR!$A:$A,0),19)),$C221*INDEX(SPPR!$E:$Z,MATCH($A221,SPPR!$A:$A,0),19),""),"")</f>
        <v/>
      </c>
      <c r="W221">
        <f>IFERROR(IF(ISNUMBER(INDEX(SPPR!$E:$Z,MATCH($A221,SPPR!$A:$A,0),20)),$C221*INDEX(SPPR!$E:$Z,MATCH($A221,SPPR!$A:$A,0),20),""),"")</f>
        <v/>
      </c>
      <c r="X221">
        <f>IFERROR(IF(ISNUMBER(INDEX(SPPR!$E:$Z,MATCH($A221,SPPR!$A:$A,0),21)),$C221*INDEX(SPPR!$E:$Z,MATCH($A221,SPPR!$A:$A,0),21),""),"")</f>
        <v/>
      </c>
      <c r="Y221">
        <f>IFERROR(IF(ISNUMBER(INDEX(SPPR!$E:$Z,MATCH($A221,SPPR!$A:$A,0),22)),$C221*INDEX(SPPR!$E:$Z,MATCH($A221,SPPR!$A:$A,0),22),""),"")</f>
        <v/>
      </c>
    </row>
    <row r="222">
      <c r="A222" t="inlineStr">
        <is>
          <t>Teuthida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IFERROR(IF(ISNUMBER(INDEX(SPPR!$E:$Z,MATCH($A222,SPPR!$A:$A,0),1)),$C222*INDEX(SPPR!$E:$Z,MATCH($A222,SPPR!$A:$A,0),1),""),"")</f>
        <v/>
      </c>
      <c r="E222">
        <f>IFERROR(IF(ISNUMBER(INDEX(SPPR!$E:$Z,MATCH($A222,SPPR!$A:$A,0),2)),$C222*INDEX(SPPR!$E:$Z,MATCH($A222,SPPR!$A:$A,0),2),""),"")</f>
        <v/>
      </c>
      <c r="F222">
        <f>IFERROR(IF(ISNUMBER(INDEX(SPPR!$E:$Z,MATCH($A222,SPPR!$A:$A,0),3)),$C222*INDEX(SPPR!$E:$Z,MATCH($A222,SPPR!$A:$A,0),3),""),"")</f>
        <v/>
      </c>
      <c r="G222">
        <f>IFERROR(IF(ISNUMBER(INDEX(SPPR!$E:$Z,MATCH($A222,SPPR!$A:$A,0),4)),$C222*INDEX(SPPR!$E:$Z,MATCH($A222,SPPR!$A:$A,0),4),""),"")</f>
        <v/>
      </c>
      <c r="H222">
        <f>IFERROR(IF(ISNUMBER(INDEX(SPPR!$E:$Z,MATCH($A222,SPPR!$A:$A,0),5)),$C222*INDEX(SPPR!$E:$Z,MATCH($A222,SPPR!$A:$A,0),5),""),"")</f>
        <v/>
      </c>
      <c r="I222">
        <f>IFERROR(IF(ISNUMBER(INDEX(SPPR!$E:$Z,MATCH($A222,SPPR!$A:$A,0),6)),$C222*INDEX(SPPR!$E:$Z,MATCH($A222,SPPR!$A:$A,0),6),""),"")</f>
        <v/>
      </c>
      <c r="J222">
        <f>IFERROR(IF(ISNUMBER(INDEX(SPPR!$E:$Z,MATCH($A222,SPPR!$A:$A,0),7)),$C222*INDEX(SPPR!$E:$Z,MATCH($A222,SPPR!$A:$A,0),7),""),"")</f>
        <v/>
      </c>
      <c r="K222">
        <f>IFERROR(IF(ISNUMBER(INDEX(SPPR!$E:$Z,MATCH($A222,SPPR!$A:$A,0),8)),$C222*INDEX(SPPR!$E:$Z,MATCH($A222,SPPR!$A:$A,0),8),""),"")</f>
        <v/>
      </c>
      <c r="L222">
        <f>IFERROR(IF(ISNUMBER(INDEX(SPPR!$E:$Z,MATCH($A222,SPPR!$A:$A,0),9)),$C222*INDEX(SPPR!$E:$Z,MATCH($A222,SPPR!$A:$A,0),9),""),"")</f>
        <v/>
      </c>
      <c r="M222">
        <f>IFERROR(IF(ISNUMBER(INDEX(SPPR!$E:$Z,MATCH($A222,SPPR!$A:$A,0),10)),$C222*INDEX(SPPR!$E:$Z,MATCH($A222,SPPR!$A:$A,0),10),""),"")</f>
        <v/>
      </c>
      <c r="N222">
        <f>IFERROR(IF(ISNUMBER(INDEX(SPPR!$E:$Z,MATCH($A222,SPPR!$A:$A,0),11)),$C222*INDEX(SPPR!$E:$Z,MATCH($A222,SPPR!$A:$A,0),11),""),"")</f>
        <v/>
      </c>
      <c r="O222">
        <f>IFERROR(IF(ISNUMBER(INDEX(SPPR!$E:$Z,MATCH($A222,SPPR!$A:$A,0),12)),$C222*INDEX(SPPR!$E:$Z,MATCH($A222,SPPR!$A:$A,0),12),""),"")</f>
        <v/>
      </c>
      <c r="P222">
        <f>IFERROR(IF(ISNUMBER(INDEX(SPPR!$E:$Z,MATCH($A222,SPPR!$A:$A,0),13)),$C222*INDEX(SPPR!$E:$Z,MATCH($A222,SPPR!$A:$A,0),13),""),"")</f>
        <v/>
      </c>
      <c r="Q222">
        <f>IFERROR(IF(ISNUMBER(INDEX(SPPR!$E:$Z,MATCH($A222,SPPR!$A:$A,0),14)),$C222*INDEX(SPPR!$E:$Z,MATCH($A222,SPPR!$A:$A,0),14),""),"")</f>
        <v/>
      </c>
      <c r="R222">
        <f>IFERROR(IF(ISNUMBER(INDEX(SPPR!$E:$Z,MATCH($A222,SPPR!$A:$A,0),15)),$C222*INDEX(SPPR!$E:$Z,MATCH($A222,SPPR!$A:$A,0),15),""),"")</f>
        <v/>
      </c>
      <c r="S222">
        <f>IFERROR(IF(ISNUMBER(INDEX(SPPR!$E:$Z,MATCH($A222,SPPR!$A:$A,0),16)),$C222*INDEX(SPPR!$E:$Z,MATCH($A222,SPPR!$A:$A,0),16),""),"")</f>
        <v/>
      </c>
      <c r="T222">
        <f>IFERROR(IF(ISNUMBER(INDEX(SPPR!$E:$Z,MATCH($A222,SPPR!$A:$A,0),17)),$C222*INDEX(SPPR!$E:$Z,MATCH($A222,SPPR!$A:$A,0),17),""),"")</f>
        <v/>
      </c>
      <c r="U222">
        <f>IFERROR(IF(ISNUMBER(INDEX(SPPR!$E:$Z,MATCH($A222,SPPR!$A:$A,0),18)),$C222*INDEX(SPPR!$E:$Z,MATCH($A222,SPPR!$A:$A,0),18),""),"")</f>
        <v/>
      </c>
      <c r="V222">
        <f>IFERROR(IF(ISNUMBER(INDEX(SPPR!$E:$Z,MATCH($A222,SPPR!$A:$A,0),19)),$C222*INDEX(SPPR!$E:$Z,MATCH($A222,SPPR!$A:$A,0),19),""),"")</f>
        <v/>
      </c>
      <c r="W222">
        <f>IFERROR(IF(ISNUMBER(INDEX(SPPR!$E:$Z,MATCH($A222,SPPR!$A:$A,0),20)),$C222*INDEX(SPPR!$E:$Z,MATCH($A222,SPPR!$A:$A,0),20),""),"")</f>
        <v/>
      </c>
      <c r="X222">
        <f>IFERROR(IF(ISNUMBER(INDEX(SPPR!$E:$Z,MATCH($A222,SPPR!$A:$A,0),21)),$C222*INDEX(SPPR!$E:$Z,MATCH($A222,SPPR!$A:$A,0),21),""),"")</f>
        <v/>
      </c>
      <c r="Y222">
        <f>IFERROR(IF(ISNUMBER(INDEX(SPPR!$E:$Z,MATCH($A222,SPPR!$A:$A,0),22)),$C222*INDEX(SPPR!$E:$Z,MATCH($A222,SPPR!$A:$A,0),22),""),"")</f>
        <v/>
      </c>
    </row>
    <row r="223">
      <c r="A223" t="inlineStr">
        <is>
          <t>Acetes japonicus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IFERROR(IF(ISNUMBER(INDEX(SPPR!$E:$Z,MATCH($A223,SPPR!$A:$A,0),1)),$C223*INDEX(SPPR!$E:$Z,MATCH($A223,SPPR!$A:$A,0),1),""),"")</f>
        <v/>
      </c>
      <c r="E223">
        <f>IFERROR(IF(ISNUMBER(INDEX(SPPR!$E:$Z,MATCH($A223,SPPR!$A:$A,0),2)),$C223*INDEX(SPPR!$E:$Z,MATCH($A223,SPPR!$A:$A,0),2),""),"")</f>
        <v/>
      </c>
      <c r="F223">
        <f>IFERROR(IF(ISNUMBER(INDEX(SPPR!$E:$Z,MATCH($A223,SPPR!$A:$A,0),3)),$C223*INDEX(SPPR!$E:$Z,MATCH($A223,SPPR!$A:$A,0),3),""),"")</f>
        <v/>
      </c>
      <c r="G223">
        <f>IFERROR(IF(ISNUMBER(INDEX(SPPR!$E:$Z,MATCH($A223,SPPR!$A:$A,0),4)),$C223*INDEX(SPPR!$E:$Z,MATCH($A223,SPPR!$A:$A,0),4),""),"")</f>
        <v/>
      </c>
      <c r="H223">
        <f>IFERROR(IF(ISNUMBER(INDEX(SPPR!$E:$Z,MATCH($A223,SPPR!$A:$A,0),5)),$C223*INDEX(SPPR!$E:$Z,MATCH($A223,SPPR!$A:$A,0),5),""),"")</f>
        <v/>
      </c>
      <c r="I223">
        <f>IFERROR(IF(ISNUMBER(INDEX(SPPR!$E:$Z,MATCH($A223,SPPR!$A:$A,0),6)),$C223*INDEX(SPPR!$E:$Z,MATCH($A223,SPPR!$A:$A,0),6),""),"")</f>
        <v/>
      </c>
      <c r="J223">
        <f>IFERROR(IF(ISNUMBER(INDEX(SPPR!$E:$Z,MATCH($A223,SPPR!$A:$A,0),7)),$C223*INDEX(SPPR!$E:$Z,MATCH($A223,SPPR!$A:$A,0),7),""),"")</f>
        <v/>
      </c>
      <c r="K223">
        <f>IFERROR(IF(ISNUMBER(INDEX(SPPR!$E:$Z,MATCH($A223,SPPR!$A:$A,0),8)),$C223*INDEX(SPPR!$E:$Z,MATCH($A223,SPPR!$A:$A,0),8),""),"")</f>
        <v/>
      </c>
      <c r="L223">
        <f>IFERROR(IF(ISNUMBER(INDEX(SPPR!$E:$Z,MATCH($A223,SPPR!$A:$A,0),9)),$C223*INDEX(SPPR!$E:$Z,MATCH($A223,SPPR!$A:$A,0),9),""),"")</f>
        <v/>
      </c>
      <c r="M223">
        <f>IFERROR(IF(ISNUMBER(INDEX(SPPR!$E:$Z,MATCH($A223,SPPR!$A:$A,0),10)),$C223*INDEX(SPPR!$E:$Z,MATCH($A223,SPPR!$A:$A,0),10),""),"")</f>
        <v/>
      </c>
      <c r="N223">
        <f>IFERROR(IF(ISNUMBER(INDEX(SPPR!$E:$Z,MATCH($A223,SPPR!$A:$A,0),11)),$C223*INDEX(SPPR!$E:$Z,MATCH($A223,SPPR!$A:$A,0),11),""),"")</f>
        <v/>
      </c>
      <c r="O223">
        <f>IFERROR(IF(ISNUMBER(INDEX(SPPR!$E:$Z,MATCH($A223,SPPR!$A:$A,0),12)),$C223*INDEX(SPPR!$E:$Z,MATCH($A223,SPPR!$A:$A,0),12),""),"")</f>
        <v/>
      </c>
      <c r="P223">
        <f>IFERROR(IF(ISNUMBER(INDEX(SPPR!$E:$Z,MATCH($A223,SPPR!$A:$A,0),13)),$C223*INDEX(SPPR!$E:$Z,MATCH($A223,SPPR!$A:$A,0),13),""),"")</f>
        <v/>
      </c>
      <c r="Q223">
        <f>IFERROR(IF(ISNUMBER(INDEX(SPPR!$E:$Z,MATCH($A223,SPPR!$A:$A,0),14)),$C223*INDEX(SPPR!$E:$Z,MATCH($A223,SPPR!$A:$A,0),14),""),"")</f>
        <v/>
      </c>
      <c r="R223">
        <f>IFERROR(IF(ISNUMBER(INDEX(SPPR!$E:$Z,MATCH($A223,SPPR!$A:$A,0),15)),$C223*INDEX(SPPR!$E:$Z,MATCH($A223,SPPR!$A:$A,0),15),""),"")</f>
        <v/>
      </c>
      <c r="S223">
        <f>IFERROR(IF(ISNUMBER(INDEX(SPPR!$E:$Z,MATCH($A223,SPPR!$A:$A,0),16)),$C223*INDEX(SPPR!$E:$Z,MATCH($A223,SPPR!$A:$A,0),16),""),"")</f>
        <v/>
      </c>
      <c r="T223">
        <f>IFERROR(IF(ISNUMBER(INDEX(SPPR!$E:$Z,MATCH($A223,SPPR!$A:$A,0),17)),$C223*INDEX(SPPR!$E:$Z,MATCH($A223,SPPR!$A:$A,0),17),""),"")</f>
        <v/>
      </c>
      <c r="U223">
        <f>IFERROR(IF(ISNUMBER(INDEX(SPPR!$E:$Z,MATCH($A223,SPPR!$A:$A,0),18)),$C223*INDEX(SPPR!$E:$Z,MATCH($A223,SPPR!$A:$A,0),18),""),"")</f>
        <v/>
      </c>
      <c r="V223">
        <f>IFERROR(IF(ISNUMBER(INDEX(SPPR!$E:$Z,MATCH($A223,SPPR!$A:$A,0),19)),$C223*INDEX(SPPR!$E:$Z,MATCH($A223,SPPR!$A:$A,0),19),""),"")</f>
        <v/>
      </c>
      <c r="W223">
        <f>IFERROR(IF(ISNUMBER(INDEX(SPPR!$E:$Z,MATCH($A223,SPPR!$A:$A,0),20)),$C223*INDEX(SPPR!$E:$Z,MATCH($A223,SPPR!$A:$A,0),20),""),"")</f>
        <v/>
      </c>
      <c r="X223">
        <f>IFERROR(IF(ISNUMBER(INDEX(SPPR!$E:$Z,MATCH($A223,SPPR!$A:$A,0),21)),$C223*INDEX(SPPR!$E:$Z,MATCH($A223,SPPR!$A:$A,0),21),""),"")</f>
        <v/>
      </c>
      <c r="Y223">
        <f>IFERROR(IF(ISNUMBER(INDEX(SPPR!$E:$Z,MATCH($A223,SPPR!$A:$A,0),22)),$C223*INDEX(SPPR!$E:$Z,MATCH($A223,SPPR!$A:$A,0),22),""),"")</f>
        <v/>
      </c>
    </row>
    <row r="224">
      <c r="A224" t="inlineStr">
        <is>
          <t>Lutjanus argentimaculatus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IFERROR(IF(ISNUMBER(INDEX(SPPR!$E:$Z,MATCH($A224,SPPR!$A:$A,0),1)),$C224*INDEX(SPPR!$E:$Z,MATCH($A224,SPPR!$A:$A,0),1),""),"")</f>
        <v/>
      </c>
      <c r="E224">
        <f>IFERROR(IF(ISNUMBER(INDEX(SPPR!$E:$Z,MATCH($A224,SPPR!$A:$A,0),2)),$C224*INDEX(SPPR!$E:$Z,MATCH($A224,SPPR!$A:$A,0),2),""),"")</f>
        <v/>
      </c>
      <c r="F224">
        <f>IFERROR(IF(ISNUMBER(INDEX(SPPR!$E:$Z,MATCH($A224,SPPR!$A:$A,0),3)),$C224*INDEX(SPPR!$E:$Z,MATCH($A224,SPPR!$A:$A,0),3),""),"")</f>
        <v/>
      </c>
      <c r="G224">
        <f>IFERROR(IF(ISNUMBER(INDEX(SPPR!$E:$Z,MATCH($A224,SPPR!$A:$A,0),4)),$C224*INDEX(SPPR!$E:$Z,MATCH($A224,SPPR!$A:$A,0),4),""),"")</f>
        <v/>
      </c>
      <c r="H224">
        <f>IFERROR(IF(ISNUMBER(INDEX(SPPR!$E:$Z,MATCH($A224,SPPR!$A:$A,0),5)),$C224*INDEX(SPPR!$E:$Z,MATCH($A224,SPPR!$A:$A,0),5),""),"")</f>
        <v/>
      </c>
      <c r="I224">
        <f>IFERROR(IF(ISNUMBER(INDEX(SPPR!$E:$Z,MATCH($A224,SPPR!$A:$A,0),6)),$C224*INDEX(SPPR!$E:$Z,MATCH($A224,SPPR!$A:$A,0),6),""),"")</f>
        <v/>
      </c>
      <c r="J224">
        <f>IFERROR(IF(ISNUMBER(INDEX(SPPR!$E:$Z,MATCH($A224,SPPR!$A:$A,0),7)),$C224*INDEX(SPPR!$E:$Z,MATCH($A224,SPPR!$A:$A,0),7),""),"")</f>
        <v/>
      </c>
      <c r="K224">
        <f>IFERROR(IF(ISNUMBER(INDEX(SPPR!$E:$Z,MATCH($A224,SPPR!$A:$A,0),8)),$C224*INDEX(SPPR!$E:$Z,MATCH($A224,SPPR!$A:$A,0),8),""),"")</f>
        <v/>
      </c>
      <c r="L224">
        <f>IFERROR(IF(ISNUMBER(INDEX(SPPR!$E:$Z,MATCH($A224,SPPR!$A:$A,0),9)),$C224*INDEX(SPPR!$E:$Z,MATCH($A224,SPPR!$A:$A,0),9),""),"")</f>
        <v/>
      </c>
      <c r="M224">
        <f>IFERROR(IF(ISNUMBER(INDEX(SPPR!$E:$Z,MATCH($A224,SPPR!$A:$A,0),10)),$C224*INDEX(SPPR!$E:$Z,MATCH($A224,SPPR!$A:$A,0),10),""),"")</f>
        <v/>
      </c>
      <c r="N224">
        <f>IFERROR(IF(ISNUMBER(INDEX(SPPR!$E:$Z,MATCH($A224,SPPR!$A:$A,0),11)),$C224*INDEX(SPPR!$E:$Z,MATCH($A224,SPPR!$A:$A,0),11),""),"")</f>
        <v/>
      </c>
      <c r="O224">
        <f>IFERROR(IF(ISNUMBER(INDEX(SPPR!$E:$Z,MATCH($A224,SPPR!$A:$A,0),12)),$C224*INDEX(SPPR!$E:$Z,MATCH($A224,SPPR!$A:$A,0),12),""),"")</f>
        <v/>
      </c>
      <c r="P224">
        <f>IFERROR(IF(ISNUMBER(INDEX(SPPR!$E:$Z,MATCH($A224,SPPR!$A:$A,0),13)),$C224*INDEX(SPPR!$E:$Z,MATCH($A224,SPPR!$A:$A,0),13),""),"")</f>
        <v/>
      </c>
      <c r="Q224">
        <f>IFERROR(IF(ISNUMBER(INDEX(SPPR!$E:$Z,MATCH($A224,SPPR!$A:$A,0),14)),$C224*INDEX(SPPR!$E:$Z,MATCH($A224,SPPR!$A:$A,0),14),""),"")</f>
        <v/>
      </c>
      <c r="R224">
        <f>IFERROR(IF(ISNUMBER(INDEX(SPPR!$E:$Z,MATCH($A224,SPPR!$A:$A,0),15)),$C224*INDEX(SPPR!$E:$Z,MATCH($A224,SPPR!$A:$A,0),15),""),"")</f>
        <v/>
      </c>
      <c r="S224">
        <f>IFERROR(IF(ISNUMBER(INDEX(SPPR!$E:$Z,MATCH($A224,SPPR!$A:$A,0),16)),$C224*INDEX(SPPR!$E:$Z,MATCH($A224,SPPR!$A:$A,0),16),""),"")</f>
        <v/>
      </c>
      <c r="T224">
        <f>IFERROR(IF(ISNUMBER(INDEX(SPPR!$E:$Z,MATCH($A224,SPPR!$A:$A,0),17)),$C224*INDEX(SPPR!$E:$Z,MATCH($A224,SPPR!$A:$A,0),17),""),"")</f>
        <v/>
      </c>
      <c r="U224">
        <f>IFERROR(IF(ISNUMBER(INDEX(SPPR!$E:$Z,MATCH($A224,SPPR!$A:$A,0),18)),$C224*INDEX(SPPR!$E:$Z,MATCH($A224,SPPR!$A:$A,0),18),""),"")</f>
        <v/>
      </c>
      <c r="V224">
        <f>IFERROR(IF(ISNUMBER(INDEX(SPPR!$E:$Z,MATCH($A224,SPPR!$A:$A,0),19)),$C224*INDEX(SPPR!$E:$Z,MATCH($A224,SPPR!$A:$A,0),19),""),"")</f>
        <v/>
      </c>
      <c r="W224">
        <f>IFERROR(IF(ISNUMBER(INDEX(SPPR!$E:$Z,MATCH($A224,SPPR!$A:$A,0),20)),$C224*INDEX(SPPR!$E:$Z,MATCH($A224,SPPR!$A:$A,0),20),""),"")</f>
        <v/>
      </c>
      <c r="X224">
        <f>IFERROR(IF(ISNUMBER(INDEX(SPPR!$E:$Z,MATCH($A224,SPPR!$A:$A,0),21)),$C224*INDEX(SPPR!$E:$Z,MATCH($A224,SPPR!$A:$A,0),21),""),"")</f>
        <v/>
      </c>
      <c r="Y224">
        <f>IFERROR(IF(ISNUMBER(INDEX(SPPR!$E:$Z,MATCH($A224,SPPR!$A:$A,0),22)),$C224*INDEX(SPPR!$E:$Z,MATCH($A224,SPPR!$A:$A,0),22),""),"")</f>
        <v/>
      </c>
    </row>
    <row r="225">
      <c r="A225" t="inlineStr">
        <is>
          <t>Penaeus indicus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IFERROR(IF(ISNUMBER(INDEX(SPPR!$E:$Z,MATCH($A225,SPPR!$A:$A,0),1)),$C225*INDEX(SPPR!$E:$Z,MATCH($A225,SPPR!$A:$A,0),1),""),"")</f>
        <v/>
      </c>
      <c r="E225">
        <f>IFERROR(IF(ISNUMBER(INDEX(SPPR!$E:$Z,MATCH($A225,SPPR!$A:$A,0),2)),$C225*INDEX(SPPR!$E:$Z,MATCH($A225,SPPR!$A:$A,0),2),""),"")</f>
        <v/>
      </c>
      <c r="F225">
        <f>IFERROR(IF(ISNUMBER(INDEX(SPPR!$E:$Z,MATCH($A225,SPPR!$A:$A,0),3)),$C225*INDEX(SPPR!$E:$Z,MATCH($A225,SPPR!$A:$A,0),3),""),"")</f>
        <v/>
      </c>
      <c r="G225">
        <f>IFERROR(IF(ISNUMBER(INDEX(SPPR!$E:$Z,MATCH($A225,SPPR!$A:$A,0),4)),$C225*INDEX(SPPR!$E:$Z,MATCH($A225,SPPR!$A:$A,0),4),""),"")</f>
        <v/>
      </c>
      <c r="H225">
        <f>IFERROR(IF(ISNUMBER(INDEX(SPPR!$E:$Z,MATCH($A225,SPPR!$A:$A,0),5)),$C225*INDEX(SPPR!$E:$Z,MATCH($A225,SPPR!$A:$A,0),5),""),"")</f>
        <v/>
      </c>
      <c r="I225">
        <f>IFERROR(IF(ISNUMBER(INDEX(SPPR!$E:$Z,MATCH($A225,SPPR!$A:$A,0),6)),$C225*INDEX(SPPR!$E:$Z,MATCH($A225,SPPR!$A:$A,0),6),""),"")</f>
        <v/>
      </c>
      <c r="J225">
        <f>IFERROR(IF(ISNUMBER(INDEX(SPPR!$E:$Z,MATCH($A225,SPPR!$A:$A,0),7)),$C225*INDEX(SPPR!$E:$Z,MATCH($A225,SPPR!$A:$A,0),7),""),"")</f>
        <v/>
      </c>
      <c r="K225">
        <f>IFERROR(IF(ISNUMBER(INDEX(SPPR!$E:$Z,MATCH($A225,SPPR!$A:$A,0),8)),$C225*INDEX(SPPR!$E:$Z,MATCH($A225,SPPR!$A:$A,0),8),""),"")</f>
        <v/>
      </c>
      <c r="L225">
        <f>IFERROR(IF(ISNUMBER(INDEX(SPPR!$E:$Z,MATCH($A225,SPPR!$A:$A,0),9)),$C225*INDEX(SPPR!$E:$Z,MATCH($A225,SPPR!$A:$A,0),9),""),"")</f>
        <v/>
      </c>
      <c r="M225">
        <f>IFERROR(IF(ISNUMBER(INDEX(SPPR!$E:$Z,MATCH($A225,SPPR!$A:$A,0),10)),$C225*INDEX(SPPR!$E:$Z,MATCH($A225,SPPR!$A:$A,0),10),""),"")</f>
        <v/>
      </c>
      <c r="N225">
        <f>IFERROR(IF(ISNUMBER(INDEX(SPPR!$E:$Z,MATCH($A225,SPPR!$A:$A,0),11)),$C225*INDEX(SPPR!$E:$Z,MATCH($A225,SPPR!$A:$A,0),11),""),"")</f>
        <v/>
      </c>
      <c r="O225">
        <f>IFERROR(IF(ISNUMBER(INDEX(SPPR!$E:$Z,MATCH($A225,SPPR!$A:$A,0),12)),$C225*INDEX(SPPR!$E:$Z,MATCH($A225,SPPR!$A:$A,0),12),""),"")</f>
        <v/>
      </c>
      <c r="P225">
        <f>IFERROR(IF(ISNUMBER(INDEX(SPPR!$E:$Z,MATCH($A225,SPPR!$A:$A,0),13)),$C225*INDEX(SPPR!$E:$Z,MATCH($A225,SPPR!$A:$A,0),13),""),"")</f>
        <v/>
      </c>
      <c r="Q225">
        <f>IFERROR(IF(ISNUMBER(INDEX(SPPR!$E:$Z,MATCH($A225,SPPR!$A:$A,0),14)),$C225*INDEX(SPPR!$E:$Z,MATCH($A225,SPPR!$A:$A,0),14),""),"")</f>
        <v/>
      </c>
      <c r="R225">
        <f>IFERROR(IF(ISNUMBER(INDEX(SPPR!$E:$Z,MATCH($A225,SPPR!$A:$A,0),15)),$C225*INDEX(SPPR!$E:$Z,MATCH($A225,SPPR!$A:$A,0),15),""),"")</f>
        <v/>
      </c>
      <c r="S225">
        <f>IFERROR(IF(ISNUMBER(INDEX(SPPR!$E:$Z,MATCH($A225,SPPR!$A:$A,0),16)),$C225*INDEX(SPPR!$E:$Z,MATCH($A225,SPPR!$A:$A,0),16),""),"")</f>
        <v/>
      </c>
      <c r="T225">
        <f>IFERROR(IF(ISNUMBER(INDEX(SPPR!$E:$Z,MATCH($A225,SPPR!$A:$A,0),17)),$C225*INDEX(SPPR!$E:$Z,MATCH($A225,SPPR!$A:$A,0),17),""),"")</f>
        <v/>
      </c>
      <c r="U225">
        <f>IFERROR(IF(ISNUMBER(INDEX(SPPR!$E:$Z,MATCH($A225,SPPR!$A:$A,0),18)),$C225*INDEX(SPPR!$E:$Z,MATCH($A225,SPPR!$A:$A,0),18),""),"")</f>
        <v/>
      </c>
      <c r="V225">
        <f>IFERROR(IF(ISNUMBER(INDEX(SPPR!$E:$Z,MATCH($A225,SPPR!$A:$A,0),19)),$C225*INDEX(SPPR!$E:$Z,MATCH($A225,SPPR!$A:$A,0),19),""),"")</f>
        <v/>
      </c>
      <c r="W225">
        <f>IFERROR(IF(ISNUMBER(INDEX(SPPR!$E:$Z,MATCH($A225,SPPR!$A:$A,0),20)),$C225*INDEX(SPPR!$E:$Z,MATCH($A225,SPPR!$A:$A,0),20),""),"")</f>
        <v/>
      </c>
      <c r="X225">
        <f>IFERROR(IF(ISNUMBER(INDEX(SPPR!$E:$Z,MATCH($A225,SPPR!$A:$A,0),21)),$C225*INDEX(SPPR!$E:$Z,MATCH($A225,SPPR!$A:$A,0),21),""),"")</f>
        <v/>
      </c>
      <c r="Y225">
        <f>IFERROR(IF(ISNUMBER(INDEX(SPPR!$E:$Z,MATCH($A225,SPPR!$A:$A,0),22)),$C225*INDEX(SPPR!$E:$Z,MATCH($A225,SPPR!$A:$A,0),22),""),"")</f>
        <v/>
      </c>
    </row>
    <row r="226">
      <c r="A226" t="inlineStr">
        <is>
          <t>Nemipterus hexodon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IFERROR(IF(ISNUMBER(INDEX(SPPR!$E:$Z,MATCH($A226,SPPR!$A:$A,0),1)),$C226*INDEX(SPPR!$E:$Z,MATCH($A226,SPPR!$A:$A,0),1),""),"")</f>
        <v/>
      </c>
      <c r="E226">
        <f>IFERROR(IF(ISNUMBER(INDEX(SPPR!$E:$Z,MATCH($A226,SPPR!$A:$A,0),2)),$C226*INDEX(SPPR!$E:$Z,MATCH($A226,SPPR!$A:$A,0),2),""),"")</f>
        <v/>
      </c>
      <c r="F226">
        <f>IFERROR(IF(ISNUMBER(INDEX(SPPR!$E:$Z,MATCH($A226,SPPR!$A:$A,0),3)),$C226*INDEX(SPPR!$E:$Z,MATCH($A226,SPPR!$A:$A,0),3),""),"")</f>
        <v/>
      </c>
      <c r="G226">
        <f>IFERROR(IF(ISNUMBER(INDEX(SPPR!$E:$Z,MATCH($A226,SPPR!$A:$A,0),4)),$C226*INDEX(SPPR!$E:$Z,MATCH($A226,SPPR!$A:$A,0),4),""),"")</f>
        <v/>
      </c>
      <c r="H226">
        <f>IFERROR(IF(ISNUMBER(INDEX(SPPR!$E:$Z,MATCH($A226,SPPR!$A:$A,0),5)),$C226*INDEX(SPPR!$E:$Z,MATCH($A226,SPPR!$A:$A,0),5),""),"")</f>
        <v/>
      </c>
      <c r="I226">
        <f>IFERROR(IF(ISNUMBER(INDEX(SPPR!$E:$Z,MATCH($A226,SPPR!$A:$A,0),6)),$C226*INDEX(SPPR!$E:$Z,MATCH($A226,SPPR!$A:$A,0),6),""),"")</f>
        <v/>
      </c>
      <c r="J226">
        <f>IFERROR(IF(ISNUMBER(INDEX(SPPR!$E:$Z,MATCH($A226,SPPR!$A:$A,0),7)),$C226*INDEX(SPPR!$E:$Z,MATCH($A226,SPPR!$A:$A,0),7),""),"")</f>
        <v/>
      </c>
      <c r="K226">
        <f>IFERROR(IF(ISNUMBER(INDEX(SPPR!$E:$Z,MATCH($A226,SPPR!$A:$A,0),8)),$C226*INDEX(SPPR!$E:$Z,MATCH($A226,SPPR!$A:$A,0),8),""),"")</f>
        <v/>
      </c>
      <c r="L226">
        <f>IFERROR(IF(ISNUMBER(INDEX(SPPR!$E:$Z,MATCH($A226,SPPR!$A:$A,0),9)),$C226*INDEX(SPPR!$E:$Z,MATCH($A226,SPPR!$A:$A,0),9),""),"")</f>
        <v/>
      </c>
      <c r="M226">
        <f>IFERROR(IF(ISNUMBER(INDEX(SPPR!$E:$Z,MATCH($A226,SPPR!$A:$A,0),10)),$C226*INDEX(SPPR!$E:$Z,MATCH($A226,SPPR!$A:$A,0),10),""),"")</f>
        <v/>
      </c>
      <c r="N226">
        <f>IFERROR(IF(ISNUMBER(INDEX(SPPR!$E:$Z,MATCH($A226,SPPR!$A:$A,0),11)),$C226*INDEX(SPPR!$E:$Z,MATCH($A226,SPPR!$A:$A,0),11),""),"")</f>
        <v/>
      </c>
      <c r="O226">
        <f>IFERROR(IF(ISNUMBER(INDEX(SPPR!$E:$Z,MATCH($A226,SPPR!$A:$A,0),12)),$C226*INDEX(SPPR!$E:$Z,MATCH($A226,SPPR!$A:$A,0),12),""),"")</f>
        <v/>
      </c>
      <c r="P226">
        <f>IFERROR(IF(ISNUMBER(INDEX(SPPR!$E:$Z,MATCH($A226,SPPR!$A:$A,0),13)),$C226*INDEX(SPPR!$E:$Z,MATCH($A226,SPPR!$A:$A,0),13),""),"")</f>
        <v/>
      </c>
      <c r="Q226">
        <f>IFERROR(IF(ISNUMBER(INDEX(SPPR!$E:$Z,MATCH($A226,SPPR!$A:$A,0),14)),$C226*INDEX(SPPR!$E:$Z,MATCH($A226,SPPR!$A:$A,0),14),""),"")</f>
        <v/>
      </c>
      <c r="R226">
        <f>IFERROR(IF(ISNUMBER(INDEX(SPPR!$E:$Z,MATCH($A226,SPPR!$A:$A,0),15)),$C226*INDEX(SPPR!$E:$Z,MATCH($A226,SPPR!$A:$A,0),15),""),"")</f>
        <v/>
      </c>
      <c r="S226">
        <f>IFERROR(IF(ISNUMBER(INDEX(SPPR!$E:$Z,MATCH($A226,SPPR!$A:$A,0),16)),$C226*INDEX(SPPR!$E:$Z,MATCH($A226,SPPR!$A:$A,0),16),""),"")</f>
        <v/>
      </c>
      <c r="T226">
        <f>IFERROR(IF(ISNUMBER(INDEX(SPPR!$E:$Z,MATCH($A226,SPPR!$A:$A,0),17)),$C226*INDEX(SPPR!$E:$Z,MATCH($A226,SPPR!$A:$A,0),17),""),"")</f>
        <v/>
      </c>
      <c r="U226">
        <f>IFERROR(IF(ISNUMBER(INDEX(SPPR!$E:$Z,MATCH($A226,SPPR!$A:$A,0),18)),$C226*INDEX(SPPR!$E:$Z,MATCH($A226,SPPR!$A:$A,0),18),""),"")</f>
        <v/>
      </c>
      <c r="V226">
        <f>IFERROR(IF(ISNUMBER(INDEX(SPPR!$E:$Z,MATCH($A226,SPPR!$A:$A,0),19)),$C226*INDEX(SPPR!$E:$Z,MATCH($A226,SPPR!$A:$A,0),19),""),"")</f>
        <v/>
      </c>
      <c r="W226">
        <f>IFERROR(IF(ISNUMBER(INDEX(SPPR!$E:$Z,MATCH($A226,SPPR!$A:$A,0),20)),$C226*INDEX(SPPR!$E:$Z,MATCH($A226,SPPR!$A:$A,0),20),""),"")</f>
        <v/>
      </c>
      <c r="X226">
        <f>IFERROR(IF(ISNUMBER(INDEX(SPPR!$E:$Z,MATCH($A226,SPPR!$A:$A,0),21)),$C226*INDEX(SPPR!$E:$Z,MATCH($A226,SPPR!$A:$A,0),21),""),"")</f>
        <v/>
      </c>
      <c r="Y226">
        <f>IFERROR(IF(ISNUMBER(INDEX(SPPR!$E:$Z,MATCH($A226,SPPR!$A:$A,0),22)),$C226*INDEX(SPPR!$E:$Z,MATCH($A226,SPPR!$A:$A,0),22),""),"")</f>
        <v/>
      </c>
    </row>
    <row r="227">
      <c r="A227" t="inlineStr">
        <is>
          <t>Cephalopholis boenak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IFERROR(IF(ISNUMBER(INDEX(SPPR!$E:$Z,MATCH($A227,SPPR!$A:$A,0),1)),$C227*INDEX(SPPR!$E:$Z,MATCH($A227,SPPR!$A:$A,0),1),""),"")</f>
        <v/>
      </c>
      <c r="E227">
        <f>IFERROR(IF(ISNUMBER(INDEX(SPPR!$E:$Z,MATCH($A227,SPPR!$A:$A,0),2)),$C227*INDEX(SPPR!$E:$Z,MATCH($A227,SPPR!$A:$A,0),2),""),"")</f>
        <v/>
      </c>
      <c r="F227">
        <f>IFERROR(IF(ISNUMBER(INDEX(SPPR!$E:$Z,MATCH($A227,SPPR!$A:$A,0),3)),$C227*INDEX(SPPR!$E:$Z,MATCH($A227,SPPR!$A:$A,0),3),""),"")</f>
        <v/>
      </c>
      <c r="G227">
        <f>IFERROR(IF(ISNUMBER(INDEX(SPPR!$E:$Z,MATCH($A227,SPPR!$A:$A,0),4)),$C227*INDEX(SPPR!$E:$Z,MATCH($A227,SPPR!$A:$A,0),4),""),"")</f>
        <v/>
      </c>
      <c r="H227">
        <f>IFERROR(IF(ISNUMBER(INDEX(SPPR!$E:$Z,MATCH($A227,SPPR!$A:$A,0),5)),$C227*INDEX(SPPR!$E:$Z,MATCH($A227,SPPR!$A:$A,0),5),""),"")</f>
        <v/>
      </c>
      <c r="I227">
        <f>IFERROR(IF(ISNUMBER(INDEX(SPPR!$E:$Z,MATCH($A227,SPPR!$A:$A,0),6)),$C227*INDEX(SPPR!$E:$Z,MATCH($A227,SPPR!$A:$A,0),6),""),"")</f>
        <v/>
      </c>
      <c r="J227">
        <f>IFERROR(IF(ISNUMBER(INDEX(SPPR!$E:$Z,MATCH($A227,SPPR!$A:$A,0),7)),$C227*INDEX(SPPR!$E:$Z,MATCH($A227,SPPR!$A:$A,0),7),""),"")</f>
        <v/>
      </c>
      <c r="K227">
        <f>IFERROR(IF(ISNUMBER(INDEX(SPPR!$E:$Z,MATCH($A227,SPPR!$A:$A,0),8)),$C227*INDEX(SPPR!$E:$Z,MATCH($A227,SPPR!$A:$A,0),8),""),"")</f>
        <v/>
      </c>
      <c r="L227">
        <f>IFERROR(IF(ISNUMBER(INDEX(SPPR!$E:$Z,MATCH($A227,SPPR!$A:$A,0),9)),$C227*INDEX(SPPR!$E:$Z,MATCH($A227,SPPR!$A:$A,0),9),""),"")</f>
        <v/>
      </c>
      <c r="M227">
        <f>IFERROR(IF(ISNUMBER(INDEX(SPPR!$E:$Z,MATCH($A227,SPPR!$A:$A,0),10)),$C227*INDEX(SPPR!$E:$Z,MATCH($A227,SPPR!$A:$A,0),10),""),"")</f>
        <v/>
      </c>
      <c r="N227">
        <f>IFERROR(IF(ISNUMBER(INDEX(SPPR!$E:$Z,MATCH($A227,SPPR!$A:$A,0),11)),$C227*INDEX(SPPR!$E:$Z,MATCH($A227,SPPR!$A:$A,0),11),""),"")</f>
        <v/>
      </c>
      <c r="O227">
        <f>IFERROR(IF(ISNUMBER(INDEX(SPPR!$E:$Z,MATCH($A227,SPPR!$A:$A,0),12)),$C227*INDEX(SPPR!$E:$Z,MATCH($A227,SPPR!$A:$A,0),12),""),"")</f>
        <v/>
      </c>
      <c r="P227">
        <f>IFERROR(IF(ISNUMBER(INDEX(SPPR!$E:$Z,MATCH($A227,SPPR!$A:$A,0),13)),$C227*INDEX(SPPR!$E:$Z,MATCH($A227,SPPR!$A:$A,0),13),""),"")</f>
        <v/>
      </c>
      <c r="Q227">
        <f>IFERROR(IF(ISNUMBER(INDEX(SPPR!$E:$Z,MATCH($A227,SPPR!$A:$A,0),14)),$C227*INDEX(SPPR!$E:$Z,MATCH($A227,SPPR!$A:$A,0),14),""),"")</f>
        <v/>
      </c>
      <c r="R227">
        <f>IFERROR(IF(ISNUMBER(INDEX(SPPR!$E:$Z,MATCH($A227,SPPR!$A:$A,0),15)),$C227*INDEX(SPPR!$E:$Z,MATCH($A227,SPPR!$A:$A,0),15),""),"")</f>
        <v/>
      </c>
      <c r="S227">
        <f>IFERROR(IF(ISNUMBER(INDEX(SPPR!$E:$Z,MATCH($A227,SPPR!$A:$A,0),16)),$C227*INDEX(SPPR!$E:$Z,MATCH($A227,SPPR!$A:$A,0),16),""),"")</f>
        <v/>
      </c>
      <c r="T227">
        <f>IFERROR(IF(ISNUMBER(INDEX(SPPR!$E:$Z,MATCH($A227,SPPR!$A:$A,0),17)),$C227*INDEX(SPPR!$E:$Z,MATCH($A227,SPPR!$A:$A,0),17),""),"")</f>
        <v/>
      </c>
      <c r="U227">
        <f>IFERROR(IF(ISNUMBER(INDEX(SPPR!$E:$Z,MATCH($A227,SPPR!$A:$A,0),18)),$C227*INDEX(SPPR!$E:$Z,MATCH($A227,SPPR!$A:$A,0),18),""),"")</f>
        <v/>
      </c>
      <c r="V227">
        <f>IFERROR(IF(ISNUMBER(INDEX(SPPR!$E:$Z,MATCH($A227,SPPR!$A:$A,0),19)),$C227*INDEX(SPPR!$E:$Z,MATCH($A227,SPPR!$A:$A,0),19),""),"")</f>
        <v/>
      </c>
      <c r="W227">
        <f>IFERROR(IF(ISNUMBER(INDEX(SPPR!$E:$Z,MATCH($A227,SPPR!$A:$A,0),20)),$C227*INDEX(SPPR!$E:$Z,MATCH($A227,SPPR!$A:$A,0),20),""),"")</f>
        <v/>
      </c>
      <c r="X227">
        <f>IFERROR(IF(ISNUMBER(INDEX(SPPR!$E:$Z,MATCH($A227,SPPR!$A:$A,0),21)),$C227*INDEX(SPPR!$E:$Z,MATCH($A227,SPPR!$A:$A,0),21),""),"")</f>
        <v/>
      </c>
      <c r="Y227">
        <f>IFERROR(IF(ISNUMBER(INDEX(SPPR!$E:$Z,MATCH($A227,SPPR!$A:$A,0),22)),$C227*INDEX(SPPR!$E:$Z,MATCH($A227,SPPR!$A:$A,0),22),""),"")</f>
        <v/>
      </c>
    </row>
    <row r="228">
      <c r="A228" t="inlineStr">
        <is>
          <t>Dussumieria acuta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IFERROR(IF(ISNUMBER(INDEX(SPPR!$E:$Z,MATCH($A228,SPPR!$A:$A,0),1)),$C228*INDEX(SPPR!$E:$Z,MATCH($A228,SPPR!$A:$A,0),1),""),"")</f>
        <v/>
      </c>
      <c r="E228">
        <f>IFERROR(IF(ISNUMBER(INDEX(SPPR!$E:$Z,MATCH($A228,SPPR!$A:$A,0),2)),$C228*INDEX(SPPR!$E:$Z,MATCH($A228,SPPR!$A:$A,0),2),""),"")</f>
        <v/>
      </c>
      <c r="F228">
        <f>IFERROR(IF(ISNUMBER(INDEX(SPPR!$E:$Z,MATCH($A228,SPPR!$A:$A,0),3)),$C228*INDEX(SPPR!$E:$Z,MATCH($A228,SPPR!$A:$A,0),3),""),"")</f>
        <v/>
      </c>
      <c r="G228">
        <f>IFERROR(IF(ISNUMBER(INDEX(SPPR!$E:$Z,MATCH($A228,SPPR!$A:$A,0),4)),$C228*INDEX(SPPR!$E:$Z,MATCH($A228,SPPR!$A:$A,0),4),""),"")</f>
        <v/>
      </c>
      <c r="H228">
        <f>IFERROR(IF(ISNUMBER(INDEX(SPPR!$E:$Z,MATCH($A228,SPPR!$A:$A,0),5)),$C228*INDEX(SPPR!$E:$Z,MATCH($A228,SPPR!$A:$A,0),5),""),"")</f>
        <v/>
      </c>
      <c r="I228">
        <f>IFERROR(IF(ISNUMBER(INDEX(SPPR!$E:$Z,MATCH($A228,SPPR!$A:$A,0),6)),$C228*INDEX(SPPR!$E:$Z,MATCH($A228,SPPR!$A:$A,0),6),""),"")</f>
        <v/>
      </c>
      <c r="J228">
        <f>IFERROR(IF(ISNUMBER(INDEX(SPPR!$E:$Z,MATCH($A228,SPPR!$A:$A,0),7)),$C228*INDEX(SPPR!$E:$Z,MATCH($A228,SPPR!$A:$A,0),7),""),"")</f>
        <v/>
      </c>
      <c r="K228">
        <f>IFERROR(IF(ISNUMBER(INDEX(SPPR!$E:$Z,MATCH($A228,SPPR!$A:$A,0),8)),$C228*INDEX(SPPR!$E:$Z,MATCH($A228,SPPR!$A:$A,0),8),""),"")</f>
        <v/>
      </c>
      <c r="L228">
        <f>IFERROR(IF(ISNUMBER(INDEX(SPPR!$E:$Z,MATCH($A228,SPPR!$A:$A,0),9)),$C228*INDEX(SPPR!$E:$Z,MATCH($A228,SPPR!$A:$A,0),9),""),"")</f>
        <v/>
      </c>
      <c r="M228">
        <f>IFERROR(IF(ISNUMBER(INDEX(SPPR!$E:$Z,MATCH($A228,SPPR!$A:$A,0),10)),$C228*INDEX(SPPR!$E:$Z,MATCH($A228,SPPR!$A:$A,0),10),""),"")</f>
        <v/>
      </c>
      <c r="N228">
        <f>IFERROR(IF(ISNUMBER(INDEX(SPPR!$E:$Z,MATCH($A228,SPPR!$A:$A,0),11)),$C228*INDEX(SPPR!$E:$Z,MATCH($A228,SPPR!$A:$A,0),11),""),"")</f>
        <v/>
      </c>
      <c r="O228">
        <f>IFERROR(IF(ISNUMBER(INDEX(SPPR!$E:$Z,MATCH($A228,SPPR!$A:$A,0),12)),$C228*INDEX(SPPR!$E:$Z,MATCH($A228,SPPR!$A:$A,0),12),""),"")</f>
        <v/>
      </c>
      <c r="P228">
        <f>IFERROR(IF(ISNUMBER(INDEX(SPPR!$E:$Z,MATCH($A228,SPPR!$A:$A,0),13)),$C228*INDEX(SPPR!$E:$Z,MATCH($A228,SPPR!$A:$A,0),13),""),"")</f>
        <v/>
      </c>
      <c r="Q228">
        <f>IFERROR(IF(ISNUMBER(INDEX(SPPR!$E:$Z,MATCH($A228,SPPR!$A:$A,0),14)),$C228*INDEX(SPPR!$E:$Z,MATCH($A228,SPPR!$A:$A,0),14),""),"")</f>
        <v/>
      </c>
      <c r="R228">
        <f>IFERROR(IF(ISNUMBER(INDEX(SPPR!$E:$Z,MATCH($A228,SPPR!$A:$A,0),15)),$C228*INDEX(SPPR!$E:$Z,MATCH($A228,SPPR!$A:$A,0),15),""),"")</f>
        <v/>
      </c>
      <c r="S228">
        <f>IFERROR(IF(ISNUMBER(INDEX(SPPR!$E:$Z,MATCH($A228,SPPR!$A:$A,0),16)),$C228*INDEX(SPPR!$E:$Z,MATCH($A228,SPPR!$A:$A,0),16),""),"")</f>
        <v/>
      </c>
      <c r="T228">
        <f>IFERROR(IF(ISNUMBER(INDEX(SPPR!$E:$Z,MATCH($A228,SPPR!$A:$A,0),17)),$C228*INDEX(SPPR!$E:$Z,MATCH($A228,SPPR!$A:$A,0),17),""),"")</f>
        <v/>
      </c>
      <c r="U228">
        <f>IFERROR(IF(ISNUMBER(INDEX(SPPR!$E:$Z,MATCH($A228,SPPR!$A:$A,0),18)),$C228*INDEX(SPPR!$E:$Z,MATCH($A228,SPPR!$A:$A,0),18),""),"")</f>
        <v/>
      </c>
      <c r="V228">
        <f>IFERROR(IF(ISNUMBER(INDEX(SPPR!$E:$Z,MATCH($A228,SPPR!$A:$A,0),19)),$C228*INDEX(SPPR!$E:$Z,MATCH($A228,SPPR!$A:$A,0),19),""),"")</f>
        <v/>
      </c>
      <c r="W228">
        <f>IFERROR(IF(ISNUMBER(INDEX(SPPR!$E:$Z,MATCH($A228,SPPR!$A:$A,0),20)),$C228*INDEX(SPPR!$E:$Z,MATCH($A228,SPPR!$A:$A,0),20),""),"")</f>
        <v/>
      </c>
      <c r="X228">
        <f>IFERROR(IF(ISNUMBER(INDEX(SPPR!$E:$Z,MATCH($A228,SPPR!$A:$A,0),21)),$C228*INDEX(SPPR!$E:$Z,MATCH($A228,SPPR!$A:$A,0),21),""),"")</f>
        <v/>
      </c>
      <c r="Y228">
        <f>IFERROR(IF(ISNUMBER(INDEX(SPPR!$E:$Z,MATCH($A228,SPPR!$A:$A,0),22)),$C228*INDEX(SPPR!$E:$Z,MATCH($A228,SPPR!$A:$A,0),22),""),"")</f>
        <v/>
      </c>
    </row>
    <row r="229">
      <c r="A229" t="inlineStr">
        <is>
          <t>Sphyrna lewini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IFERROR(IF(ISNUMBER(INDEX(SPPR!$E:$Z,MATCH($A229,SPPR!$A:$A,0),1)),$C229*INDEX(SPPR!$E:$Z,MATCH($A229,SPPR!$A:$A,0),1),""),"")</f>
        <v/>
      </c>
      <c r="E229">
        <f>IFERROR(IF(ISNUMBER(INDEX(SPPR!$E:$Z,MATCH($A229,SPPR!$A:$A,0),2)),$C229*INDEX(SPPR!$E:$Z,MATCH($A229,SPPR!$A:$A,0),2),""),"")</f>
        <v/>
      </c>
      <c r="F229">
        <f>IFERROR(IF(ISNUMBER(INDEX(SPPR!$E:$Z,MATCH($A229,SPPR!$A:$A,0),3)),$C229*INDEX(SPPR!$E:$Z,MATCH($A229,SPPR!$A:$A,0),3),""),"")</f>
        <v/>
      </c>
      <c r="G229">
        <f>IFERROR(IF(ISNUMBER(INDEX(SPPR!$E:$Z,MATCH($A229,SPPR!$A:$A,0),4)),$C229*INDEX(SPPR!$E:$Z,MATCH($A229,SPPR!$A:$A,0),4),""),"")</f>
        <v/>
      </c>
      <c r="H229">
        <f>IFERROR(IF(ISNUMBER(INDEX(SPPR!$E:$Z,MATCH($A229,SPPR!$A:$A,0),5)),$C229*INDEX(SPPR!$E:$Z,MATCH($A229,SPPR!$A:$A,0),5),""),"")</f>
        <v/>
      </c>
      <c r="I229">
        <f>IFERROR(IF(ISNUMBER(INDEX(SPPR!$E:$Z,MATCH($A229,SPPR!$A:$A,0),6)),$C229*INDEX(SPPR!$E:$Z,MATCH($A229,SPPR!$A:$A,0),6),""),"")</f>
        <v/>
      </c>
      <c r="J229">
        <f>IFERROR(IF(ISNUMBER(INDEX(SPPR!$E:$Z,MATCH($A229,SPPR!$A:$A,0),7)),$C229*INDEX(SPPR!$E:$Z,MATCH($A229,SPPR!$A:$A,0),7),""),"")</f>
        <v/>
      </c>
      <c r="K229">
        <f>IFERROR(IF(ISNUMBER(INDEX(SPPR!$E:$Z,MATCH($A229,SPPR!$A:$A,0),8)),$C229*INDEX(SPPR!$E:$Z,MATCH($A229,SPPR!$A:$A,0),8),""),"")</f>
        <v/>
      </c>
      <c r="L229">
        <f>IFERROR(IF(ISNUMBER(INDEX(SPPR!$E:$Z,MATCH($A229,SPPR!$A:$A,0),9)),$C229*INDEX(SPPR!$E:$Z,MATCH($A229,SPPR!$A:$A,0),9),""),"")</f>
        <v/>
      </c>
      <c r="M229">
        <f>IFERROR(IF(ISNUMBER(INDEX(SPPR!$E:$Z,MATCH($A229,SPPR!$A:$A,0),10)),$C229*INDEX(SPPR!$E:$Z,MATCH($A229,SPPR!$A:$A,0),10),""),"")</f>
        <v/>
      </c>
      <c r="N229">
        <f>IFERROR(IF(ISNUMBER(INDEX(SPPR!$E:$Z,MATCH($A229,SPPR!$A:$A,0),11)),$C229*INDEX(SPPR!$E:$Z,MATCH($A229,SPPR!$A:$A,0),11),""),"")</f>
        <v/>
      </c>
      <c r="O229">
        <f>IFERROR(IF(ISNUMBER(INDEX(SPPR!$E:$Z,MATCH($A229,SPPR!$A:$A,0),12)),$C229*INDEX(SPPR!$E:$Z,MATCH($A229,SPPR!$A:$A,0),12),""),"")</f>
        <v/>
      </c>
      <c r="P229">
        <f>IFERROR(IF(ISNUMBER(INDEX(SPPR!$E:$Z,MATCH($A229,SPPR!$A:$A,0),13)),$C229*INDEX(SPPR!$E:$Z,MATCH($A229,SPPR!$A:$A,0),13),""),"")</f>
        <v/>
      </c>
      <c r="Q229">
        <f>IFERROR(IF(ISNUMBER(INDEX(SPPR!$E:$Z,MATCH($A229,SPPR!$A:$A,0),14)),$C229*INDEX(SPPR!$E:$Z,MATCH($A229,SPPR!$A:$A,0),14),""),"")</f>
        <v/>
      </c>
      <c r="R229">
        <f>IFERROR(IF(ISNUMBER(INDEX(SPPR!$E:$Z,MATCH($A229,SPPR!$A:$A,0),15)),$C229*INDEX(SPPR!$E:$Z,MATCH($A229,SPPR!$A:$A,0),15),""),"")</f>
        <v/>
      </c>
      <c r="S229">
        <f>IFERROR(IF(ISNUMBER(INDEX(SPPR!$E:$Z,MATCH($A229,SPPR!$A:$A,0),16)),$C229*INDEX(SPPR!$E:$Z,MATCH($A229,SPPR!$A:$A,0),16),""),"")</f>
        <v/>
      </c>
      <c r="T229">
        <f>IFERROR(IF(ISNUMBER(INDEX(SPPR!$E:$Z,MATCH($A229,SPPR!$A:$A,0),17)),$C229*INDEX(SPPR!$E:$Z,MATCH($A229,SPPR!$A:$A,0),17),""),"")</f>
        <v/>
      </c>
      <c r="U229">
        <f>IFERROR(IF(ISNUMBER(INDEX(SPPR!$E:$Z,MATCH($A229,SPPR!$A:$A,0),18)),$C229*INDEX(SPPR!$E:$Z,MATCH($A229,SPPR!$A:$A,0),18),""),"")</f>
        <v/>
      </c>
      <c r="V229">
        <f>IFERROR(IF(ISNUMBER(INDEX(SPPR!$E:$Z,MATCH($A229,SPPR!$A:$A,0),19)),$C229*INDEX(SPPR!$E:$Z,MATCH($A229,SPPR!$A:$A,0),19),""),"")</f>
        <v/>
      </c>
      <c r="W229">
        <f>IFERROR(IF(ISNUMBER(INDEX(SPPR!$E:$Z,MATCH($A229,SPPR!$A:$A,0),20)),$C229*INDEX(SPPR!$E:$Z,MATCH($A229,SPPR!$A:$A,0),20),""),"")</f>
        <v/>
      </c>
      <c r="X229">
        <f>IFERROR(IF(ISNUMBER(INDEX(SPPR!$E:$Z,MATCH($A229,SPPR!$A:$A,0),21)),$C229*INDEX(SPPR!$E:$Z,MATCH($A229,SPPR!$A:$A,0),21),""),"")</f>
        <v/>
      </c>
      <c r="Y229">
        <f>IFERROR(IF(ISNUMBER(INDEX(SPPR!$E:$Z,MATCH($A229,SPPR!$A:$A,0),22)),$C229*INDEX(SPPR!$E:$Z,MATCH($A229,SPPR!$A:$A,0),22),""),"")</f>
        <v/>
      </c>
    </row>
    <row r="230">
      <c r="A230" t="inlineStr">
        <is>
          <t>Trichiuridae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IFERROR(IF(ISNUMBER(INDEX(SPPR!$E:$Z,MATCH($A230,SPPR!$A:$A,0),1)),$C230*INDEX(SPPR!$E:$Z,MATCH($A230,SPPR!$A:$A,0),1),""),"")</f>
        <v/>
      </c>
      <c r="E230">
        <f>IFERROR(IF(ISNUMBER(INDEX(SPPR!$E:$Z,MATCH($A230,SPPR!$A:$A,0),2)),$C230*INDEX(SPPR!$E:$Z,MATCH($A230,SPPR!$A:$A,0),2),""),"")</f>
        <v/>
      </c>
      <c r="F230">
        <f>IFERROR(IF(ISNUMBER(INDEX(SPPR!$E:$Z,MATCH($A230,SPPR!$A:$A,0),3)),$C230*INDEX(SPPR!$E:$Z,MATCH($A230,SPPR!$A:$A,0),3),""),"")</f>
        <v/>
      </c>
      <c r="G230">
        <f>IFERROR(IF(ISNUMBER(INDEX(SPPR!$E:$Z,MATCH($A230,SPPR!$A:$A,0),4)),$C230*INDEX(SPPR!$E:$Z,MATCH($A230,SPPR!$A:$A,0),4),""),"")</f>
        <v/>
      </c>
      <c r="H230">
        <f>IFERROR(IF(ISNUMBER(INDEX(SPPR!$E:$Z,MATCH($A230,SPPR!$A:$A,0),5)),$C230*INDEX(SPPR!$E:$Z,MATCH($A230,SPPR!$A:$A,0),5),""),"")</f>
        <v/>
      </c>
      <c r="I230">
        <f>IFERROR(IF(ISNUMBER(INDEX(SPPR!$E:$Z,MATCH($A230,SPPR!$A:$A,0),6)),$C230*INDEX(SPPR!$E:$Z,MATCH($A230,SPPR!$A:$A,0),6),""),"")</f>
        <v/>
      </c>
      <c r="J230">
        <f>IFERROR(IF(ISNUMBER(INDEX(SPPR!$E:$Z,MATCH($A230,SPPR!$A:$A,0),7)),$C230*INDEX(SPPR!$E:$Z,MATCH($A230,SPPR!$A:$A,0),7),""),"")</f>
        <v/>
      </c>
      <c r="K230">
        <f>IFERROR(IF(ISNUMBER(INDEX(SPPR!$E:$Z,MATCH($A230,SPPR!$A:$A,0),8)),$C230*INDEX(SPPR!$E:$Z,MATCH($A230,SPPR!$A:$A,0),8),""),"")</f>
        <v/>
      </c>
      <c r="L230">
        <f>IFERROR(IF(ISNUMBER(INDEX(SPPR!$E:$Z,MATCH($A230,SPPR!$A:$A,0),9)),$C230*INDEX(SPPR!$E:$Z,MATCH($A230,SPPR!$A:$A,0),9),""),"")</f>
        <v/>
      </c>
      <c r="M230">
        <f>IFERROR(IF(ISNUMBER(INDEX(SPPR!$E:$Z,MATCH($A230,SPPR!$A:$A,0),10)),$C230*INDEX(SPPR!$E:$Z,MATCH($A230,SPPR!$A:$A,0),10),""),"")</f>
        <v/>
      </c>
      <c r="N230">
        <f>IFERROR(IF(ISNUMBER(INDEX(SPPR!$E:$Z,MATCH($A230,SPPR!$A:$A,0),11)),$C230*INDEX(SPPR!$E:$Z,MATCH($A230,SPPR!$A:$A,0),11),""),"")</f>
        <v/>
      </c>
      <c r="O230">
        <f>IFERROR(IF(ISNUMBER(INDEX(SPPR!$E:$Z,MATCH($A230,SPPR!$A:$A,0),12)),$C230*INDEX(SPPR!$E:$Z,MATCH($A230,SPPR!$A:$A,0),12),""),"")</f>
        <v/>
      </c>
      <c r="P230">
        <f>IFERROR(IF(ISNUMBER(INDEX(SPPR!$E:$Z,MATCH($A230,SPPR!$A:$A,0),13)),$C230*INDEX(SPPR!$E:$Z,MATCH($A230,SPPR!$A:$A,0),13),""),"")</f>
        <v/>
      </c>
      <c r="Q230">
        <f>IFERROR(IF(ISNUMBER(INDEX(SPPR!$E:$Z,MATCH($A230,SPPR!$A:$A,0),14)),$C230*INDEX(SPPR!$E:$Z,MATCH($A230,SPPR!$A:$A,0),14),""),"")</f>
        <v/>
      </c>
      <c r="R230">
        <f>IFERROR(IF(ISNUMBER(INDEX(SPPR!$E:$Z,MATCH($A230,SPPR!$A:$A,0),15)),$C230*INDEX(SPPR!$E:$Z,MATCH($A230,SPPR!$A:$A,0),15),""),"")</f>
        <v/>
      </c>
      <c r="S230">
        <f>IFERROR(IF(ISNUMBER(INDEX(SPPR!$E:$Z,MATCH($A230,SPPR!$A:$A,0),16)),$C230*INDEX(SPPR!$E:$Z,MATCH($A230,SPPR!$A:$A,0),16),""),"")</f>
        <v/>
      </c>
      <c r="T230">
        <f>IFERROR(IF(ISNUMBER(INDEX(SPPR!$E:$Z,MATCH($A230,SPPR!$A:$A,0),17)),$C230*INDEX(SPPR!$E:$Z,MATCH($A230,SPPR!$A:$A,0),17),""),"")</f>
        <v/>
      </c>
      <c r="U230">
        <f>IFERROR(IF(ISNUMBER(INDEX(SPPR!$E:$Z,MATCH($A230,SPPR!$A:$A,0),18)),$C230*INDEX(SPPR!$E:$Z,MATCH($A230,SPPR!$A:$A,0),18),""),"")</f>
        <v/>
      </c>
      <c r="V230">
        <f>IFERROR(IF(ISNUMBER(INDEX(SPPR!$E:$Z,MATCH($A230,SPPR!$A:$A,0),19)),$C230*INDEX(SPPR!$E:$Z,MATCH($A230,SPPR!$A:$A,0),19),""),"")</f>
        <v/>
      </c>
      <c r="W230">
        <f>IFERROR(IF(ISNUMBER(INDEX(SPPR!$E:$Z,MATCH($A230,SPPR!$A:$A,0),20)),$C230*INDEX(SPPR!$E:$Z,MATCH($A230,SPPR!$A:$A,0),20),""),"")</f>
        <v/>
      </c>
      <c r="X230">
        <f>IFERROR(IF(ISNUMBER(INDEX(SPPR!$E:$Z,MATCH($A230,SPPR!$A:$A,0),21)),$C230*INDEX(SPPR!$E:$Z,MATCH($A230,SPPR!$A:$A,0),21),""),"")</f>
        <v/>
      </c>
      <c r="Y230">
        <f>IFERROR(IF(ISNUMBER(INDEX(SPPR!$E:$Z,MATCH($A230,SPPR!$A:$A,0),22)),$C230*INDEX(SPPR!$E:$Z,MATCH($A230,SPPR!$A:$A,0),22),""),"")</f>
        <v/>
      </c>
    </row>
    <row r="231">
      <c r="A231" t="inlineStr">
        <is>
          <t>Auxis rochei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IFERROR(IF(ISNUMBER(INDEX(SPPR!$E:$Z,MATCH($A231,SPPR!$A:$A,0),1)),$C231*INDEX(SPPR!$E:$Z,MATCH($A231,SPPR!$A:$A,0),1),""),"")</f>
        <v/>
      </c>
      <c r="E231">
        <f>IFERROR(IF(ISNUMBER(INDEX(SPPR!$E:$Z,MATCH($A231,SPPR!$A:$A,0),2)),$C231*INDEX(SPPR!$E:$Z,MATCH($A231,SPPR!$A:$A,0),2),""),"")</f>
        <v/>
      </c>
      <c r="F231">
        <f>IFERROR(IF(ISNUMBER(INDEX(SPPR!$E:$Z,MATCH($A231,SPPR!$A:$A,0),3)),$C231*INDEX(SPPR!$E:$Z,MATCH($A231,SPPR!$A:$A,0),3),""),"")</f>
        <v/>
      </c>
      <c r="G231">
        <f>IFERROR(IF(ISNUMBER(INDEX(SPPR!$E:$Z,MATCH($A231,SPPR!$A:$A,0),4)),$C231*INDEX(SPPR!$E:$Z,MATCH($A231,SPPR!$A:$A,0),4),""),"")</f>
        <v/>
      </c>
      <c r="H231">
        <f>IFERROR(IF(ISNUMBER(INDEX(SPPR!$E:$Z,MATCH($A231,SPPR!$A:$A,0),5)),$C231*INDEX(SPPR!$E:$Z,MATCH($A231,SPPR!$A:$A,0),5),""),"")</f>
        <v/>
      </c>
      <c r="I231">
        <f>IFERROR(IF(ISNUMBER(INDEX(SPPR!$E:$Z,MATCH($A231,SPPR!$A:$A,0),6)),$C231*INDEX(SPPR!$E:$Z,MATCH($A231,SPPR!$A:$A,0),6),""),"")</f>
        <v/>
      </c>
      <c r="J231">
        <f>IFERROR(IF(ISNUMBER(INDEX(SPPR!$E:$Z,MATCH($A231,SPPR!$A:$A,0),7)),$C231*INDEX(SPPR!$E:$Z,MATCH($A231,SPPR!$A:$A,0),7),""),"")</f>
        <v/>
      </c>
      <c r="K231">
        <f>IFERROR(IF(ISNUMBER(INDEX(SPPR!$E:$Z,MATCH($A231,SPPR!$A:$A,0),8)),$C231*INDEX(SPPR!$E:$Z,MATCH($A231,SPPR!$A:$A,0),8),""),"")</f>
        <v/>
      </c>
      <c r="L231">
        <f>IFERROR(IF(ISNUMBER(INDEX(SPPR!$E:$Z,MATCH($A231,SPPR!$A:$A,0),9)),$C231*INDEX(SPPR!$E:$Z,MATCH($A231,SPPR!$A:$A,0),9),""),"")</f>
        <v/>
      </c>
      <c r="M231">
        <f>IFERROR(IF(ISNUMBER(INDEX(SPPR!$E:$Z,MATCH($A231,SPPR!$A:$A,0),10)),$C231*INDEX(SPPR!$E:$Z,MATCH($A231,SPPR!$A:$A,0),10),""),"")</f>
        <v/>
      </c>
      <c r="N231">
        <f>IFERROR(IF(ISNUMBER(INDEX(SPPR!$E:$Z,MATCH($A231,SPPR!$A:$A,0),11)),$C231*INDEX(SPPR!$E:$Z,MATCH($A231,SPPR!$A:$A,0),11),""),"")</f>
        <v/>
      </c>
      <c r="O231">
        <f>IFERROR(IF(ISNUMBER(INDEX(SPPR!$E:$Z,MATCH($A231,SPPR!$A:$A,0),12)),$C231*INDEX(SPPR!$E:$Z,MATCH($A231,SPPR!$A:$A,0),12),""),"")</f>
        <v/>
      </c>
      <c r="P231">
        <f>IFERROR(IF(ISNUMBER(INDEX(SPPR!$E:$Z,MATCH($A231,SPPR!$A:$A,0),13)),$C231*INDEX(SPPR!$E:$Z,MATCH($A231,SPPR!$A:$A,0),13),""),"")</f>
        <v/>
      </c>
      <c r="Q231">
        <f>IFERROR(IF(ISNUMBER(INDEX(SPPR!$E:$Z,MATCH($A231,SPPR!$A:$A,0),14)),$C231*INDEX(SPPR!$E:$Z,MATCH($A231,SPPR!$A:$A,0),14),""),"")</f>
        <v/>
      </c>
      <c r="R231">
        <f>IFERROR(IF(ISNUMBER(INDEX(SPPR!$E:$Z,MATCH($A231,SPPR!$A:$A,0),15)),$C231*INDEX(SPPR!$E:$Z,MATCH($A231,SPPR!$A:$A,0),15),""),"")</f>
        <v/>
      </c>
      <c r="S231">
        <f>IFERROR(IF(ISNUMBER(INDEX(SPPR!$E:$Z,MATCH($A231,SPPR!$A:$A,0),16)),$C231*INDEX(SPPR!$E:$Z,MATCH($A231,SPPR!$A:$A,0),16),""),"")</f>
        <v/>
      </c>
      <c r="T231">
        <f>IFERROR(IF(ISNUMBER(INDEX(SPPR!$E:$Z,MATCH($A231,SPPR!$A:$A,0),17)),$C231*INDEX(SPPR!$E:$Z,MATCH($A231,SPPR!$A:$A,0),17),""),"")</f>
        <v/>
      </c>
      <c r="U231">
        <f>IFERROR(IF(ISNUMBER(INDEX(SPPR!$E:$Z,MATCH($A231,SPPR!$A:$A,0),18)),$C231*INDEX(SPPR!$E:$Z,MATCH($A231,SPPR!$A:$A,0),18),""),"")</f>
        <v/>
      </c>
      <c r="V231">
        <f>IFERROR(IF(ISNUMBER(INDEX(SPPR!$E:$Z,MATCH($A231,SPPR!$A:$A,0),19)),$C231*INDEX(SPPR!$E:$Z,MATCH($A231,SPPR!$A:$A,0),19),""),"")</f>
        <v/>
      </c>
      <c r="W231">
        <f>IFERROR(IF(ISNUMBER(INDEX(SPPR!$E:$Z,MATCH($A231,SPPR!$A:$A,0),20)),$C231*INDEX(SPPR!$E:$Z,MATCH($A231,SPPR!$A:$A,0),20),""),"")</f>
        <v/>
      </c>
      <c r="X231">
        <f>IFERROR(IF(ISNUMBER(INDEX(SPPR!$E:$Z,MATCH($A231,SPPR!$A:$A,0),21)),$C231*INDEX(SPPR!$E:$Z,MATCH($A231,SPPR!$A:$A,0),21),""),"")</f>
        <v/>
      </c>
      <c r="Y231">
        <f>IFERROR(IF(ISNUMBER(INDEX(SPPR!$E:$Z,MATCH($A231,SPPR!$A:$A,0),22)),$C231*INDEX(SPPR!$E:$Z,MATCH($A231,SPPR!$A:$A,0),22),""),"")</f>
        <v/>
      </c>
    </row>
    <row r="232">
      <c r="A232" t="inlineStr">
        <is>
          <t>Hemiramphus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IFERROR(IF(ISNUMBER(INDEX(SPPR!$E:$Z,MATCH($A232,SPPR!$A:$A,0),1)),$C232*INDEX(SPPR!$E:$Z,MATCH($A232,SPPR!$A:$A,0),1),""),"")</f>
        <v/>
      </c>
      <c r="E232">
        <f>IFERROR(IF(ISNUMBER(INDEX(SPPR!$E:$Z,MATCH($A232,SPPR!$A:$A,0),2)),$C232*INDEX(SPPR!$E:$Z,MATCH($A232,SPPR!$A:$A,0),2),""),"")</f>
        <v/>
      </c>
      <c r="F232">
        <f>IFERROR(IF(ISNUMBER(INDEX(SPPR!$E:$Z,MATCH($A232,SPPR!$A:$A,0),3)),$C232*INDEX(SPPR!$E:$Z,MATCH($A232,SPPR!$A:$A,0),3),""),"")</f>
        <v/>
      </c>
      <c r="G232">
        <f>IFERROR(IF(ISNUMBER(INDEX(SPPR!$E:$Z,MATCH($A232,SPPR!$A:$A,0),4)),$C232*INDEX(SPPR!$E:$Z,MATCH($A232,SPPR!$A:$A,0),4),""),"")</f>
        <v/>
      </c>
      <c r="H232">
        <f>IFERROR(IF(ISNUMBER(INDEX(SPPR!$E:$Z,MATCH($A232,SPPR!$A:$A,0),5)),$C232*INDEX(SPPR!$E:$Z,MATCH($A232,SPPR!$A:$A,0),5),""),"")</f>
        <v/>
      </c>
      <c r="I232">
        <f>IFERROR(IF(ISNUMBER(INDEX(SPPR!$E:$Z,MATCH($A232,SPPR!$A:$A,0),6)),$C232*INDEX(SPPR!$E:$Z,MATCH($A232,SPPR!$A:$A,0),6),""),"")</f>
        <v/>
      </c>
      <c r="J232">
        <f>IFERROR(IF(ISNUMBER(INDEX(SPPR!$E:$Z,MATCH($A232,SPPR!$A:$A,0),7)),$C232*INDEX(SPPR!$E:$Z,MATCH($A232,SPPR!$A:$A,0),7),""),"")</f>
        <v/>
      </c>
      <c r="K232">
        <f>IFERROR(IF(ISNUMBER(INDEX(SPPR!$E:$Z,MATCH($A232,SPPR!$A:$A,0),8)),$C232*INDEX(SPPR!$E:$Z,MATCH($A232,SPPR!$A:$A,0),8),""),"")</f>
        <v/>
      </c>
      <c r="L232">
        <f>IFERROR(IF(ISNUMBER(INDEX(SPPR!$E:$Z,MATCH($A232,SPPR!$A:$A,0),9)),$C232*INDEX(SPPR!$E:$Z,MATCH($A232,SPPR!$A:$A,0),9),""),"")</f>
        <v/>
      </c>
      <c r="M232">
        <f>IFERROR(IF(ISNUMBER(INDEX(SPPR!$E:$Z,MATCH($A232,SPPR!$A:$A,0),10)),$C232*INDEX(SPPR!$E:$Z,MATCH($A232,SPPR!$A:$A,0),10),""),"")</f>
        <v/>
      </c>
      <c r="N232">
        <f>IFERROR(IF(ISNUMBER(INDEX(SPPR!$E:$Z,MATCH($A232,SPPR!$A:$A,0),11)),$C232*INDEX(SPPR!$E:$Z,MATCH($A232,SPPR!$A:$A,0),11),""),"")</f>
        <v/>
      </c>
      <c r="O232">
        <f>IFERROR(IF(ISNUMBER(INDEX(SPPR!$E:$Z,MATCH($A232,SPPR!$A:$A,0),12)),$C232*INDEX(SPPR!$E:$Z,MATCH($A232,SPPR!$A:$A,0),12),""),"")</f>
        <v/>
      </c>
      <c r="P232">
        <f>IFERROR(IF(ISNUMBER(INDEX(SPPR!$E:$Z,MATCH($A232,SPPR!$A:$A,0),13)),$C232*INDEX(SPPR!$E:$Z,MATCH($A232,SPPR!$A:$A,0),13),""),"")</f>
        <v/>
      </c>
      <c r="Q232">
        <f>IFERROR(IF(ISNUMBER(INDEX(SPPR!$E:$Z,MATCH($A232,SPPR!$A:$A,0),14)),$C232*INDEX(SPPR!$E:$Z,MATCH($A232,SPPR!$A:$A,0),14),""),"")</f>
        <v/>
      </c>
      <c r="R232">
        <f>IFERROR(IF(ISNUMBER(INDEX(SPPR!$E:$Z,MATCH($A232,SPPR!$A:$A,0),15)),$C232*INDEX(SPPR!$E:$Z,MATCH($A232,SPPR!$A:$A,0),15),""),"")</f>
        <v/>
      </c>
      <c r="S232">
        <f>IFERROR(IF(ISNUMBER(INDEX(SPPR!$E:$Z,MATCH($A232,SPPR!$A:$A,0),16)),$C232*INDEX(SPPR!$E:$Z,MATCH($A232,SPPR!$A:$A,0),16),""),"")</f>
        <v/>
      </c>
      <c r="T232">
        <f>IFERROR(IF(ISNUMBER(INDEX(SPPR!$E:$Z,MATCH($A232,SPPR!$A:$A,0),17)),$C232*INDEX(SPPR!$E:$Z,MATCH($A232,SPPR!$A:$A,0),17),""),"")</f>
        <v/>
      </c>
      <c r="U232">
        <f>IFERROR(IF(ISNUMBER(INDEX(SPPR!$E:$Z,MATCH($A232,SPPR!$A:$A,0),18)),$C232*INDEX(SPPR!$E:$Z,MATCH($A232,SPPR!$A:$A,0),18),""),"")</f>
        <v/>
      </c>
      <c r="V232">
        <f>IFERROR(IF(ISNUMBER(INDEX(SPPR!$E:$Z,MATCH($A232,SPPR!$A:$A,0),19)),$C232*INDEX(SPPR!$E:$Z,MATCH($A232,SPPR!$A:$A,0),19),""),"")</f>
        <v/>
      </c>
      <c r="W232">
        <f>IFERROR(IF(ISNUMBER(INDEX(SPPR!$E:$Z,MATCH($A232,SPPR!$A:$A,0),20)),$C232*INDEX(SPPR!$E:$Z,MATCH($A232,SPPR!$A:$A,0),20),""),"")</f>
        <v/>
      </c>
      <c r="X232">
        <f>IFERROR(IF(ISNUMBER(INDEX(SPPR!$E:$Z,MATCH($A232,SPPR!$A:$A,0),21)),$C232*INDEX(SPPR!$E:$Z,MATCH($A232,SPPR!$A:$A,0),21),""),"")</f>
        <v/>
      </c>
      <c r="Y232">
        <f>IFERROR(IF(ISNUMBER(INDEX(SPPR!$E:$Z,MATCH($A232,SPPR!$A:$A,0),22)),$C232*INDEX(SPPR!$E:$Z,MATCH($A232,SPPR!$A:$A,0),22),""),"")</f>
        <v/>
      </c>
    </row>
    <row r="233">
      <c r="A233" t="inlineStr">
        <is>
          <t>Tetrapturus angustirostris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IFERROR(IF(ISNUMBER(INDEX(SPPR!$E:$Z,MATCH($A233,SPPR!$A:$A,0),1)),$C233*INDEX(SPPR!$E:$Z,MATCH($A233,SPPR!$A:$A,0),1),""),"")</f>
        <v/>
      </c>
      <c r="E233">
        <f>IFERROR(IF(ISNUMBER(INDEX(SPPR!$E:$Z,MATCH($A233,SPPR!$A:$A,0),2)),$C233*INDEX(SPPR!$E:$Z,MATCH($A233,SPPR!$A:$A,0),2),""),"")</f>
        <v/>
      </c>
      <c r="F233">
        <f>IFERROR(IF(ISNUMBER(INDEX(SPPR!$E:$Z,MATCH($A233,SPPR!$A:$A,0),3)),$C233*INDEX(SPPR!$E:$Z,MATCH($A233,SPPR!$A:$A,0),3),""),"")</f>
        <v/>
      </c>
      <c r="G233">
        <f>IFERROR(IF(ISNUMBER(INDEX(SPPR!$E:$Z,MATCH($A233,SPPR!$A:$A,0),4)),$C233*INDEX(SPPR!$E:$Z,MATCH($A233,SPPR!$A:$A,0),4),""),"")</f>
        <v/>
      </c>
      <c r="H233">
        <f>IFERROR(IF(ISNUMBER(INDEX(SPPR!$E:$Z,MATCH($A233,SPPR!$A:$A,0),5)),$C233*INDEX(SPPR!$E:$Z,MATCH($A233,SPPR!$A:$A,0),5),""),"")</f>
        <v/>
      </c>
      <c r="I233">
        <f>IFERROR(IF(ISNUMBER(INDEX(SPPR!$E:$Z,MATCH($A233,SPPR!$A:$A,0),6)),$C233*INDEX(SPPR!$E:$Z,MATCH($A233,SPPR!$A:$A,0),6),""),"")</f>
        <v/>
      </c>
      <c r="J233">
        <f>IFERROR(IF(ISNUMBER(INDEX(SPPR!$E:$Z,MATCH($A233,SPPR!$A:$A,0),7)),$C233*INDEX(SPPR!$E:$Z,MATCH($A233,SPPR!$A:$A,0),7),""),"")</f>
        <v/>
      </c>
      <c r="K233">
        <f>IFERROR(IF(ISNUMBER(INDEX(SPPR!$E:$Z,MATCH($A233,SPPR!$A:$A,0),8)),$C233*INDEX(SPPR!$E:$Z,MATCH($A233,SPPR!$A:$A,0),8),""),"")</f>
        <v/>
      </c>
      <c r="L233">
        <f>IFERROR(IF(ISNUMBER(INDEX(SPPR!$E:$Z,MATCH($A233,SPPR!$A:$A,0),9)),$C233*INDEX(SPPR!$E:$Z,MATCH($A233,SPPR!$A:$A,0),9),""),"")</f>
        <v/>
      </c>
      <c r="M233">
        <f>IFERROR(IF(ISNUMBER(INDEX(SPPR!$E:$Z,MATCH($A233,SPPR!$A:$A,0),10)),$C233*INDEX(SPPR!$E:$Z,MATCH($A233,SPPR!$A:$A,0),10),""),"")</f>
        <v/>
      </c>
      <c r="N233">
        <f>IFERROR(IF(ISNUMBER(INDEX(SPPR!$E:$Z,MATCH($A233,SPPR!$A:$A,0),11)),$C233*INDEX(SPPR!$E:$Z,MATCH($A233,SPPR!$A:$A,0),11),""),"")</f>
        <v/>
      </c>
      <c r="O233">
        <f>IFERROR(IF(ISNUMBER(INDEX(SPPR!$E:$Z,MATCH($A233,SPPR!$A:$A,0),12)),$C233*INDEX(SPPR!$E:$Z,MATCH($A233,SPPR!$A:$A,0),12),""),"")</f>
        <v/>
      </c>
      <c r="P233">
        <f>IFERROR(IF(ISNUMBER(INDEX(SPPR!$E:$Z,MATCH($A233,SPPR!$A:$A,0),13)),$C233*INDEX(SPPR!$E:$Z,MATCH($A233,SPPR!$A:$A,0),13),""),"")</f>
        <v/>
      </c>
      <c r="Q233">
        <f>IFERROR(IF(ISNUMBER(INDEX(SPPR!$E:$Z,MATCH($A233,SPPR!$A:$A,0),14)),$C233*INDEX(SPPR!$E:$Z,MATCH($A233,SPPR!$A:$A,0),14),""),"")</f>
        <v/>
      </c>
      <c r="R233">
        <f>IFERROR(IF(ISNUMBER(INDEX(SPPR!$E:$Z,MATCH($A233,SPPR!$A:$A,0),15)),$C233*INDEX(SPPR!$E:$Z,MATCH($A233,SPPR!$A:$A,0),15),""),"")</f>
        <v/>
      </c>
      <c r="S233">
        <f>IFERROR(IF(ISNUMBER(INDEX(SPPR!$E:$Z,MATCH($A233,SPPR!$A:$A,0),16)),$C233*INDEX(SPPR!$E:$Z,MATCH($A233,SPPR!$A:$A,0),16),""),"")</f>
        <v/>
      </c>
      <c r="T233">
        <f>IFERROR(IF(ISNUMBER(INDEX(SPPR!$E:$Z,MATCH($A233,SPPR!$A:$A,0),17)),$C233*INDEX(SPPR!$E:$Z,MATCH($A233,SPPR!$A:$A,0),17),""),"")</f>
        <v/>
      </c>
      <c r="U233">
        <f>IFERROR(IF(ISNUMBER(INDEX(SPPR!$E:$Z,MATCH($A233,SPPR!$A:$A,0),18)),$C233*INDEX(SPPR!$E:$Z,MATCH($A233,SPPR!$A:$A,0),18),""),"")</f>
        <v/>
      </c>
      <c r="V233">
        <f>IFERROR(IF(ISNUMBER(INDEX(SPPR!$E:$Z,MATCH($A233,SPPR!$A:$A,0),19)),$C233*INDEX(SPPR!$E:$Z,MATCH($A233,SPPR!$A:$A,0),19),""),"")</f>
        <v/>
      </c>
      <c r="W233">
        <f>IFERROR(IF(ISNUMBER(INDEX(SPPR!$E:$Z,MATCH($A233,SPPR!$A:$A,0),20)),$C233*INDEX(SPPR!$E:$Z,MATCH($A233,SPPR!$A:$A,0),20),""),"")</f>
        <v/>
      </c>
      <c r="X233">
        <f>IFERROR(IF(ISNUMBER(INDEX(SPPR!$E:$Z,MATCH($A233,SPPR!$A:$A,0),21)),$C233*INDEX(SPPR!$E:$Z,MATCH($A233,SPPR!$A:$A,0),21),""),"")</f>
        <v/>
      </c>
      <c r="Y233">
        <f>IFERROR(IF(ISNUMBER(INDEX(SPPR!$E:$Z,MATCH($A233,SPPR!$A:$A,0),22)),$C233*INDEX(SPPR!$E:$Z,MATCH($A233,SPPR!$A:$A,0),22),""),"")</f>
        <v/>
      </c>
    </row>
    <row r="234">
      <c r="A234" t="inlineStr">
        <is>
          <t>Kajikia audax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IFERROR(IF(ISNUMBER(INDEX(SPPR!$E:$Z,MATCH($A234,SPPR!$A:$A,0),1)),$C234*INDEX(SPPR!$E:$Z,MATCH($A234,SPPR!$A:$A,0),1),""),"")</f>
        <v/>
      </c>
      <c r="E234">
        <f>IFERROR(IF(ISNUMBER(INDEX(SPPR!$E:$Z,MATCH($A234,SPPR!$A:$A,0),2)),$C234*INDEX(SPPR!$E:$Z,MATCH($A234,SPPR!$A:$A,0),2),""),"")</f>
        <v/>
      </c>
      <c r="F234">
        <f>IFERROR(IF(ISNUMBER(INDEX(SPPR!$E:$Z,MATCH($A234,SPPR!$A:$A,0),3)),$C234*INDEX(SPPR!$E:$Z,MATCH($A234,SPPR!$A:$A,0),3),""),"")</f>
        <v/>
      </c>
      <c r="G234">
        <f>IFERROR(IF(ISNUMBER(INDEX(SPPR!$E:$Z,MATCH($A234,SPPR!$A:$A,0),4)),$C234*INDEX(SPPR!$E:$Z,MATCH($A234,SPPR!$A:$A,0),4),""),"")</f>
        <v/>
      </c>
      <c r="H234">
        <f>IFERROR(IF(ISNUMBER(INDEX(SPPR!$E:$Z,MATCH($A234,SPPR!$A:$A,0),5)),$C234*INDEX(SPPR!$E:$Z,MATCH($A234,SPPR!$A:$A,0),5),""),"")</f>
        <v/>
      </c>
      <c r="I234">
        <f>IFERROR(IF(ISNUMBER(INDEX(SPPR!$E:$Z,MATCH($A234,SPPR!$A:$A,0),6)),$C234*INDEX(SPPR!$E:$Z,MATCH($A234,SPPR!$A:$A,0),6),""),"")</f>
        <v/>
      </c>
      <c r="J234">
        <f>IFERROR(IF(ISNUMBER(INDEX(SPPR!$E:$Z,MATCH($A234,SPPR!$A:$A,0),7)),$C234*INDEX(SPPR!$E:$Z,MATCH($A234,SPPR!$A:$A,0),7),""),"")</f>
        <v/>
      </c>
      <c r="K234">
        <f>IFERROR(IF(ISNUMBER(INDEX(SPPR!$E:$Z,MATCH($A234,SPPR!$A:$A,0),8)),$C234*INDEX(SPPR!$E:$Z,MATCH($A234,SPPR!$A:$A,0),8),""),"")</f>
        <v/>
      </c>
      <c r="L234">
        <f>IFERROR(IF(ISNUMBER(INDEX(SPPR!$E:$Z,MATCH($A234,SPPR!$A:$A,0),9)),$C234*INDEX(SPPR!$E:$Z,MATCH($A234,SPPR!$A:$A,0),9),""),"")</f>
        <v/>
      </c>
      <c r="M234">
        <f>IFERROR(IF(ISNUMBER(INDEX(SPPR!$E:$Z,MATCH($A234,SPPR!$A:$A,0),10)),$C234*INDEX(SPPR!$E:$Z,MATCH($A234,SPPR!$A:$A,0),10),""),"")</f>
        <v/>
      </c>
      <c r="N234">
        <f>IFERROR(IF(ISNUMBER(INDEX(SPPR!$E:$Z,MATCH($A234,SPPR!$A:$A,0),11)),$C234*INDEX(SPPR!$E:$Z,MATCH($A234,SPPR!$A:$A,0),11),""),"")</f>
        <v/>
      </c>
      <c r="O234">
        <f>IFERROR(IF(ISNUMBER(INDEX(SPPR!$E:$Z,MATCH($A234,SPPR!$A:$A,0),12)),$C234*INDEX(SPPR!$E:$Z,MATCH($A234,SPPR!$A:$A,0),12),""),"")</f>
        <v/>
      </c>
      <c r="P234">
        <f>IFERROR(IF(ISNUMBER(INDEX(SPPR!$E:$Z,MATCH($A234,SPPR!$A:$A,0),13)),$C234*INDEX(SPPR!$E:$Z,MATCH($A234,SPPR!$A:$A,0),13),""),"")</f>
        <v/>
      </c>
      <c r="Q234">
        <f>IFERROR(IF(ISNUMBER(INDEX(SPPR!$E:$Z,MATCH($A234,SPPR!$A:$A,0),14)),$C234*INDEX(SPPR!$E:$Z,MATCH($A234,SPPR!$A:$A,0),14),""),"")</f>
        <v/>
      </c>
      <c r="R234">
        <f>IFERROR(IF(ISNUMBER(INDEX(SPPR!$E:$Z,MATCH($A234,SPPR!$A:$A,0),15)),$C234*INDEX(SPPR!$E:$Z,MATCH($A234,SPPR!$A:$A,0),15),""),"")</f>
        <v/>
      </c>
      <c r="S234">
        <f>IFERROR(IF(ISNUMBER(INDEX(SPPR!$E:$Z,MATCH($A234,SPPR!$A:$A,0),16)),$C234*INDEX(SPPR!$E:$Z,MATCH($A234,SPPR!$A:$A,0),16),""),"")</f>
        <v/>
      </c>
      <c r="T234">
        <f>IFERROR(IF(ISNUMBER(INDEX(SPPR!$E:$Z,MATCH($A234,SPPR!$A:$A,0),17)),$C234*INDEX(SPPR!$E:$Z,MATCH($A234,SPPR!$A:$A,0),17),""),"")</f>
        <v/>
      </c>
      <c r="U234">
        <f>IFERROR(IF(ISNUMBER(INDEX(SPPR!$E:$Z,MATCH($A234,SPPR!$A:$A,0),18)),$C234*INDEX(SPPR!$E:$Z,MATCH($A234,SPPR!$A:$A,0),18),""),"")</f>
        <v/>
      </c>
      <c r="V234">
        <f>IFERROR(IF(ISNUMBER(INDEX(SPPR!$E:$Z,MATCH($A234,SPPR!$A:$A,0),19)),$C234*INDEX(SPPR!$E:$Z,MATCH($A234,SPPR!$A:$A,0),19),""),"")</f>
        <v/>
      </c>
      <c r="W234">
        <f>IFERROR(IF(ISNUMBER(INDEX(SPPR!$E:$Z,MATCH($A234,SPPR!$A:$A,0),20)),$C234*INDEX(SPPR!$E:$Z,MATCH($A234,SPPR!$A:$A,0),20),""),"")</f>
        <v/>
      </c>
      <c r="X234">
        <f>IFERROR(IF(ISNUMBER(INDEX(SPPR!$E:$Z,MATCH($A234,SPPR!$A:$A,0),21)),$C234*INDEX(SPPR!$E:$Z,MATCH($A234,SPPR!$A:$A,0),21),""),"")</f>
        <v/>
      </c>
      <c r="Y234">
        <f>IFERROR(IF(ISNUMBER(INDEX(SPPR!$E:$Z,MATCH($A234,SPPR!$A:$A,0),22)),$C234*INDEX(SPPR!$E:$Z,MATCH($A234,SPPR!$A:$A,0),22),""),"")</f>
        <v/>
      </c>
    </row>
    <row r="235">
      <c r="A235" t="inlineStr">
        <is>
          <t>Prionace glauca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IFERROR(IF(ISNUMBER(INDEX(SPPR!$E:$Z,MATCH($A235,SPPR!$A:$A,0),1)),$C235*INDEX(SPPR!$E:$Z,MATCH($A235,SPPR!$A:$A,0),1),""),"")</f>
        <v/>
      </c>
      <c r="E235">
        <f>IFERROR(IF(ISNUMBER(INDEX(SPPR!$E:$Z,MATCH($A235,SPPR!$A:$A,0),2)),$C235*INDEX(SPPR!$E:$Z,MATCH($A235,SPPR!$A:$A,0),2),""),"")</f>
        <v/>
      </c>
      <c r="F235">
        <f>IFERROR(IF(ISNUMBER(INDEX(SPPR!$E:$Z,MATCH($A235,SPPR!$A:$A,0),3)),$C235*INDEX(SPPR!$E:$Z,MATCH($A235,SPPR!$A:$A,0),3),""),"")</f>
        <v/>
      </c>
      <c r="G235">
        <f>IFERROR(IF(ISNUMBER(INDEX(SPPR!$E:$Z,MATCH($A235,SPPR!$A:$A,0),4)),$C235*INDEX(SPPR!$E:$Z,MATCH($A235,SPPR!$A:$A,0),4),""),"")</f>
        <v/>
      </c>
      <c r="H235">
        <f>IFERROR(IF(ISNUMBER(INDEX(SPPR!$E:$Z,MATCH($A235,SPPR!$A:$A,0),5)),$C235*INDEX(SPPR!$E:$Z,MATCH($A235,SPPR!$A:$A,0),5),""),"")</f>
        <v/>
      </c>
      <c r="I235">
        <f>IFERROR(IF(ISNUMBER(INDEX(SPPR!$E:$Z,MATCH($A235,SPPR!$A:$A,0),6)),$C235*INDEX(SPPR!$E:$Z,MATCH($A235,SPPR!$A:$A,0),6),""),"")</f>
        <v/>
      </c>
      <c r="J235">
        <f>IFERROR(IF(ISNUMBER(INDEX(SPPR!$E:$Z,MATCH($A235,SPPR!$A:$A,0),7)),$C235*INDEX(SPPR!$E:$Z,MATCH($A235,SPPR!$A:$A,0),7),""),"")</f>
        <v/>
      </c>
      <c r="K235">
        <f>IFERROR(IF(ISNUMBER(INDEX(SPPR!$E:$Z,MATCH($A235,SPPR!$A:$A,0),8)),$C235*INDEX(SPPR!$E:$Z,MATCH($A235,SPPR!$A:$A,0),8),""),"")</f>
        <v/>
      </c>
      <c r="L235">
        <f>IFERROR(IF(ISNUMBER(INDEX(SPPR!$E:$Z,MATCH($A235,SPPR!$A:$A,0),9)),$C235*INDEX(SPPR!$E:$Z,MATCH($A235,SPPR!$A:$A,0),9),""),"")</f>
        <v/>
      </c>
      <c r="M235">
        <f>IFERROR(IF(ISNUMBER(INDEX(SPPR!$E:$Z,MATCH($A235,SPPR!$A:$A,0),10)),$C235*INDEX(SPPR!$E:$Z,MATCH($A235,SPPR!$A:$A,0),10),""),"")</f>
        <v/>
      </c>
      <c r="N235">
        <f>IFERROR(IF(ISNUMBER(INDEX(SPPR!$E:$Z,MATCH($A235,SPPR!$A:$A,0),11)),$C235*INDEX(SPPR!$E:$Z,MATCH($A235,SPPR!$A:$A,0),11),""),"")</f>
        <v/>
      </c>
      <c r="O235">
        <f>IFERROR(IF(ISNUMBER(INDEX(SPPR!$E:$Z,MATCH($A235,SPPR!$A:$A,0),12)),$C235*INDEX(SPPR!$E:$Z,MATCH($A235,SPPR!$A:$A,0),12),""),"")</f>
        <v/>
      </c>
      <c r="P235">
        <f>IFERROR(IF(ISNUMBER(INDEX(SPPR!$E:$Z,MATCH($A235,SPPR!$A:$A,0),13)),$C235*INDEX(SPPR!$E:$Z,MATCH($A235,SPPR!$A:$A,0),13),""),"")</f>
        <v/>
      </c>
      <c r="Q235">
        <f>IFERROR(IF(ISNUMBER(INDEX(SPPR!$E:$Z,MATCH($A235,SPPR!$A:$A,0),14)),$C235*INDEX(SPPR!$E:$Z,MATCH($A235,SPPR!$A:$A,0),14),""),"")</f>
        <v/>
      </c>
      <c r="R235">
        <f>IFERROR(IF(ISNUMBER(INDEX(SPPR!$E:$Z,MATCH($A235,SPPR!$A:$A,0),15)),$C235*INDEX(SPPR!$E:$Z,MATCH($A235,SPPR!$A:$A,0),15),""),"")</f>
        <v/>
      </c>
      <c r="S235">
        <f>IFERROR(IF(ISNUMBER(INDEX(SPPR!$E:$Z,MATCH($A235,SPPR!$A:$A,0),16)),$C235*INDEX(SPPR!$E:$Z,MATCH($A235,SPPR!$A:$A,0),16),""),"")</f>
        <v/>
      </c>
      <c r="T235">
        <f>IFERROR(IF(ISNUMBER(INDEX(SPPR!$E:$Z,MATCH($A235,SPPR!$A:$A,0),17)),$C235*INDEX(SPPR!$E:$Z,MATCH($A235,SPPR!$A:$A,0),17),""),"")</f>
        <v/>
      </c>
      <c r="U235">
        <f>IFERROR(IF(ISNUMBER(INDEX(SPPR!$E:$Z,MATCH($A235,SPPR!$A:$A,0),18)),$C235*INDEX(SPPR!$E:$Z,MATCH($A235,SPPR!$A:$A,0),18),""),"")</f>
        <v/>
      </c>
      <c r="V235">
        <f>IFERROR(IF(ISNUMBER(INDEX(SPPR!$E:$Z,MATCH($A235,SPPR!$A:$A,0),19)),$C235*INDEX(SPPR!$E:$Z,MATCH($A235,SPPR!$A:$A,0),19),""),"")</f>
        <v/>
      </c>
      <c r="W235">
        <f>IFERROR(IF(ISNUMBER(INDEX(SPPR!$E:$Z,MATCH($A235,SPPR!$A:$A,0),20)),$C235*INDEX(SPPR!$E:$Z,MATCH($A235,SPPR!$A:$A,0),20),""),"")</f>
        <v/>
      </c>
      <c r="X235">
        <f>IFERROR(IF(ISNUMBER(INDEX(SPPR!$E:$Z,MATCH($A235,SPPR!$A:$A,0),21)),$C235*INDEX(SPPR!$E:$Z,MATCH($A235,SPPR!$A:$A,0),21),""),"")</f>
        <v/>
      </c>
      <c r="Y235">
        <f>IFERROR(IF(ISNUMBER(INDEX(SPPR!$E:$Z,MATCH($A235,SPPR!$A:$A,0),22)),$C235*INDEX(SPPR!$E:$Z,MATCH($A235,SPPR!$A:$A,0),22),""),"")</f>
        <v/>
      </c>
    </row>
    <row r="236">
      <c r="A236" t="inlineStr">
        <is>
          <t>Dasyatidae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IFERROR(IF(ISNUMBER(INDEX(SPPR!$E:$Z,MATCH($A236,SPPR!$A:$A,0),1)),$C236*INDEX(SPPR!$E:$Z,MATCH($A236,SPPR!$A:$A,0),1),""),"")</f>
        <v/>
      </c>
      <c r="E236">
        <f>IFERROR(IF(ISNUMBER(INDEX(SPPR!$E:$Z,MATCH($A236,SPPR!$A:$A,0),2)),$C236*INDEX(SPPR!$E:$Z,MATCH($A236,SPPR!$A:$A,0),2),""),"")</f>
        <v/>
      </c>
      <c r="F236">
        <f>IFERROR(IF(ISNUMBER(INDEX(SPPR!$E:$Z,MATCH($A236,SPPR!$A:$A,0),3)),$C236*INDEX(SPPR!$E:$Z,MATCH($A236,SPPR!$A:$A,0),3),""),"")</f>
        <v/>
      </c>
      <c r="G236">
        <f>IFERROR(IF(ISNUMBER(INDEX(SPPR!$E:$Z,MATCH($A236,SPPR!$A:$A,0),4)),$C236*INDEX(SPPR!$E:$Z,MATCH($A236,SPPR!$A:$A,0),4),""),"")</f>
        <v/>
      </c>
      <c r="H236">
        <f>IFERROR(IF(ISNUMBER(INDEX(SPPR!$E:$Z,MATCH($A236,SPPR!$A:$A,0),5)),$C236*INDEX(SPPR!$E:$Z,MATCH($A236,SPPR!$A:$A,0),5),""),"")</f>
        <v/>
      </c>
      <c r="I236">
        <f>IFERROR(IF(ISNUMBER(INDEX(SPPR!$E:$Z,MATCH($A236,SPPR!$A:$A,0),6)),$C236*INDEX(SPPR!$E:$Z,MATCH($A236,SPPR!$A:$A,0),6),""),"")</f>
        <v/>
      </c>
      <c r="J236">
        <f>IFERROR(IF(ISNUMBER(INDEX(SPPR!$E:$Z,MATCH($A236,SPPR!$A:$A,0),7)),$C236*INDEX(SPPR!$E:$Z,MATCH($A236,SPPR!$A:$A,0),7),""),"")</f>
        <v/>
      </c>
      <c r="K236">
        <f>IFERROR(IF(ISNUMBER(INDEX(SPPR!$E:$Z,MATCH($A236,SPPR!$A:$A,0),8)),$C236*INDEX(SPPR!$E:$Z,MATCH($A236,SPPR!$A:$A,0),8),""),"")</f>
        <v/>
      </c>
      <c r="L236">
        <f>IFERROR(IF(ISNUMBER(INDEX(SPPR!$E:$Z,MATCH($A236,SPPR!$A:$A,0),9)),$C236*INDEX(SPPR!$E:$Z,MATCH($A236,SPPR!$A:$A,0),9),""),"")</f>
        <v/>
      </c>
      <c r="M236">
        <f>IFERROR(IF(ISNUMBER(INDEX(SPPR!$E:$Z,MATCH($A236,SPPR!$A:$A,0),10)),$C236*INDEX(SPPR!$E:$Z,MATCH($A236,SPPR!$A:$A,0),10),""),"")</f>
        <v/>
      </c>
      <c r="N236">
        <f>IFERROR(IF(ISNUMBER(INDEX(SPPR!$E:$Z,MATCH($A236,SPPR!$A:$A,0),11)),$C236*INDEX(SPPR!$E:$Z,MATCH($A236,SPPR!$A:$A,0),11),""),"")</f>
        <v/>
      </c>
      <c r="O236">
        <f>IFERROR(IF(ISNUMBER(INDEX(SPPR!$E:$Z,MATCH($A236,SPPR!$A:$A,0),12)),$C236*INDEX(SPPR!$E:$Z,MATCH($A236,SPPR!$A:$A,0),12),""),"")</f>
        <v/>
      </c>
      <c r="P236">
        <f>IFERROR(IF(ISNUMBER(INDEX(SPPR!$E:$Z,MATCH($A236,SPPR!$A:$A,0),13)),$C236*INDEX(SPPR!$E:$Z,MATCH($A236,SPPR!$A:$A,0),13),""),"")</f>
        <v/>
      </c>
      <c r="Q236">
        <f>IFERROR(IF(ISNUMBER(INDEX(SPPR!$E:$Z,MATCH($A236,SPPR!$A:$A,0),14)),$C236*INDEX(SPPR!$E:$Z,MATCH($A236,SPPR!$A:$A,0),14),""),"")</f>
        <v/>
      </c>
      <c r="R236">
        <f>IFERROR(IF(ISNUMBER(INDEX(SPPR!$E:$Z,MATCH($A236,SPPR!$A:$A,0),15)),$C236*INDEX(SPPR!$E:$Z,MATCH($A236,SPPR!$A:$A,0),15),""),"")</f>
        <v/>
      </c>
      <c r="S236">
        <f>IFERROR(IF(ISNUMBER(INDEX(SPPR!$E:$Z,MATCH($A236,SPPR!$A:$A,0),16)),$C236*INDEX(SPPR!$E:$Z,MATCH($A236,SPPR!$A:$A,0),16),""),"")</f>
        <v/>
      </c>
      <c r="T236">
        <f>IFERROR(IF(ISNUMBER(INDEX(SPPR!$E:$Z,MATCH($A236,SPPR!$A:$A,0),17)),$C236*INDEX(SPPR!$E:$Z,MATCH($A236,SPPR!$A:$A,0),17),""),"")</f>
        <v/>
      </c>
      <c r="U236">
        <f>IFERROR(IF(ISNUMBER(INDEX(SPPR!$E:$Z,MATCH($A236,SPPR!$A:$A,0),18)),$C236*INDEX(SPPR!$E:$Z,MATCH($A236,SPPR!$A:$A,0),18),""),"")</f>
        <v/>
      </c>
      <c r="V236">
        <f>IFERROR(IF(ISNUMBER(INDEX(SPPR!$E:$Z,MATCH($A236,SPPR!$A:$A,0),19)),$C236*INDEX(SPPR!$E:$Z,MATCH($A236,SPPR!$A:$A,0),19),""),"")</f>
        <v/>
      </c>
      <c r="W236">
        <f>IFERROR(IF(ISNUMBER(INDEX(SPPR!$E:$Z,MATCH($A236,SPPR!$A:$A,0),20)),$C236*INDEX(SPPR!$E:$Z,MATCH($A236,SPPR!$A:$A,0),20),""),"")</f>
        <v/>
      </c>
      <c r="X236">
        <f>IFERROR(IF(ISNUMBER(INDEX(SPPR!$E:$Z,MATCH($A236,SPPR!$A:$A,0),21)),$C236*INDEX(SPPR!$E:$Z,MATCH($A236,SPPR!$A:$A,0),21),""),"")</f>
        <v/>
      </c>
      <c r="Y236">
        <f>IFERROR(IF(ISNUMBER(INDEX(SPPR!$E:$Z,MATCH($A236,SPPR!$A:$A,0),22)),$C236*INDEX(SPPR!$E:$Z,MATCH($A236,SPPR!$A:$A,0),22),""),"")</f>
        <v/>
      </c>
    </row>
    <row r="237">
      <c r="A237" t="inlineStr">
        <is>
          <t>Cypselurus poecilopterus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IFERROR(IF(ISNUMBER(INDEX(SPPR!$E:$Z,MATCH($A237,SPPR!$A:$A,0),1)),$C237*INDEX(SPPR!$E:$Z,MATCH($A237,SPPR!$A:$A,0),1),""),"")</f>
        <v/>
      </c>
      <c r="E237">
        <f>IFERROR(IF(ISNUMBER(INDEX(SPPR!$E:$Z,MATCH($A237,SPPR!$A:$A,0),2)),$C237*INDEX(SPPR!$E:$Z,MATCH($A237,SPPR!$A:$A,0),2),""),"")</f>
        <v/>
      </c>
      <c r="F237">
        <f>IFERROR(IF(ISNUMBER(INDEX(SPPR!$E:$Z,MATCH($A237,SPPR!$A:$A,0),3)),$C237*INDEX(SPPR!$E:$Z,MATCH($A237,SPPR!$A:$A,0),3),""),"")</f>
        <v/>
      </c>
      <c r="G237">
        <f>IFERROR(IF(ISNUMBER(INDEX(SPPR!$E:$Z,MATCH($A237,SPPR!$A:$A,0),4)),$C237*INDEX(SPPR!$E:$Z,MATCH($A237,SPPR!$A:$A,0),4),""),"")</f>
        <v/>
      </c>
      <c r="H237">
        <f>IFERROR(IF(ISNUMBER(INDEX(SPPR!$E:$Z,MATCH($A237,SPPR!$A:$A,0),5)),$C237*INDEX(SPPR!$E:$Z,MATCH($A237,SPPR!$A:$A,0),5),""),"")</f>
        <v/>
      </c>
      <c r="I237">
        <f>IFERROR(IF(ISNUMBER(INDEX(SPPR!$E:$Z,MATCH($A237,SPPR!$A:$A,0),6)),$C237*INDEX(SPPR!$E:$Z,MATCH($A237,SPPR!$A:$A,0),6),""),"")</f>
        <v/>
      </c>
      <c r="J237">
        <f>IFERROR(IF(ISNUMBER(INDEX(SPPR!$E:$Z,MATCH($A237,SPPR!$A:$A,0),7)),$C237*INDEX(SPPR!$E:$Z,MATCH($A237,SPPR!$A:$A,0),7),""),"")</f>
        <v/>
      </c>
      <c r="K237">
        <f>IFERROR(IF(ISNUMBER(INDEX(SPPR!$E:$Z,MATCH($A237,SPPR!$A:$A,0),8)),$C237*INDEX(SPPR!$E:$Z,MATCH($A237,SPPR!$A:$A,0),8),""),"")</f>
        <v/>
      </c>
      <c r="L237">
        <f>IFERROR(IF(ISNUMBER(INDEX(SPPR!$E:$Z,MATCH($A237,SPPR!$A:$A,0),9)),$C237*INDEX(SPPR!$E:$Z,MATCH($A237,SPPR!$A:$A,0),9),""),"")</f>
        <v/>
      </c>
      <c r="M237">
        <f>IFERROR(IF(ISNUMBER(INDEX(SPPR!$E:$Z,MATCH($A237,SPPR!$A:$A,0),10)),$C237*INDEX(SPPR!$E:$Z,MATCH($A237,SPPR!$A:$A,0),10),""),"")</f>
        <v/>
      </c>
      <c r="N237">
        <f>IFERROR(IF(ISNUMBER(INDEX(SPPR!$E:$Z,MATCH($A237,SPPR!$A:$A,0),11)),$C237*INDEX(SPPR!$E:$Z,MATCH($A237,SPPR!$A:$A,0),11),""),"")</f>
        <v/>
      </c>
      <c r="O237">
        <f>IFERROR(IF(ISNUMBER(INDEX(SPPR!$E:$Z,MATCH($A237,SPPR!$A:$A,0),12)),$C237*INDEX(SPPR!$E:$Z,MATCH($A237,SPPR!$A:$A,0),12),""),"")</f>
        <v/>
      </c>
      <c r="P237">
        <f>IFERROR(IF(ISNUMBER(INDEX(SPPR!$E:$Z,MATCH($A237,SPPR!$A:$A,0),13)),$C237*INDEX(SPPR!$E:$Z,MATCH($A237,SPPR!$A:$A,0),13),""),"")</f>
        <v/>
      </c>
      <c r="Q237">
        <f>IFERROR(IF(ISNUMBER(INDEX(SPPR!$E:$Z,MATCH($A237,SPPR!$A:$A,0),14)),$C237*INDEX(SPPR!$E:$Z,MATCH($A237,SPPR!$A:$A,0),14),""),"")</f>
        <v/>
      </c>
      <c r="R237">
        <f>IFERROR(IF(ISNUMBER(INDEX(SPPR!$E:$Z,MATCH($A237,SPPR!$A:$A,0),15)),$C237*INDEX(SPPR!$E:$Z,MATCH($A237,SPPR!$A:$A,0),15),""),"")</f>
        <v/>
      </c>
      <c r="S237">
        <f>IFERROR(IF(ISNUMBER(INDEX(SPPR!$E:$Z,MATCH($A237,SPPR!$A:$A,0),16)),$C237*INDEX(SPPR!$E:$Z,MATCH($A237,SPPR!$A:$A,0),16),""),"")</f>
        <v/>
      </c>
      <c r="T237">
        <f>IFERROR(IF(ISNUMBER(INDEX(SPPR!$E:$Z,MATCH($A237,SPPR!$A:$A,0),17)),$C237*INDEX(SPPR!$E:$Z,MATCH($A237,SPPR!$A:$A,0),17),""),"")</f>
        <v/>
      </c>
      <c r="U237">
        <f>IFERROR(IF(ISNUMBER(INDEX(SPPR!$E:$Z,MATCH($A237,SPPR!$A:$A,0),18)),$C237*INDEX(SPPR!$E:$Z,MATCH($A237,SPPR!$A:$A,0),18),""),"")</f>
        <v/>
      </c>
      <c r="V237">
        <f>IFERROR(IF(ISNUMBER(INDEX(SPPR!$E:$Z,MATCH($A237,SPPR!$A:$A,0),19)),$C237*INDEX(SPPR!$E:$Z,MATCH($A237,SPPR!$A:$A,0),19),""),"")</f>
        <v/>
      </c>
      <c r="W237">
        <f>IFERROR(IF(ISNUMBER(INDEX(SPPR!$E:$Z,MATCH($A237,SPPR!$A:$A,0),20)),$C237*INDEX(SPPR!$E:$Z,MATCH($A237,SPPR!$A:$A,0),20),""),"")</f>
        <v/>
      </c>
      <c r="X237">
        <f>IFERROR(IF(ISNUMBER(INDEX(SPPR!$E:$Z,MATCH($A237,SPPR!$A:$A,0),21)),$C237*INDEX(SPPR!$E:$Z,MATCH($A237,SPPR!$A:$A,0),21),""),"")</f>
        <v/>
      </c>
      <c r="Y237">
        <f>IFERROR(IF(ISNUMBER(INDEX(SPPR!$E:$Z,MATCH($A237,SPPR!$A:$A,0),22)),$C237*INDEX(SPPR!$E:$Z,MATCH($A237,SPPR!$A:$A,0),22),""),"")</f>
        <v/>
      </c>
    </row>
    <row r="238">
      <c r="A238" t="inlineStr">
        <is>
          <t>Carcharhinus longimanus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IFERROR(IF(ISNUMBER(INDEX(SPPR!$E:$Z,MATCH($A238,SPPR!$A:$A,0),1)),$C238*INDEX(SPPR!$E:$Z,MATCH($A238,SPPR!$A:$A,0),1),""),"")</f>
        <v/>
      </c>
      <c r="E238">
        <f>IFERROR(IF(ISNUMBER(INDEX(SPPR!$E:$Z,MATCH($A238,SPPR!$A:$A,0),2)),$C238*INDEX(SPPR!$E:$Z,MATCH($A238,SPPR!$A:$A,0),2),""),"")</f>
        <v/>
      </c>
      <c r="F238">
        <f>IFERROR(IF(ISNUMBER(INDEX(SPPR!$E:$Z,MATCH($A238,SPPR!$A:$A,0),3)),$C238*INDEX(SPPR!$E:$Z,MATCH($A238,SPPR!$A:$A,0),3),""),"")</f>
        <v/>
      </c>
      <c r="G238">
        <f>IFERROR(IF(ISNUMBER(INDEX(SPPR!$E:$Z,MATCH($A238,SPPR!$A:$A,0),4)),$C238*INDEX(SPPR!$E:$Z,MATCH($A238,SPPR!$A:$A,0),4),""),"")</f>
        <v/>
      </c>
      <c r="H238">
        <f>IFERROR(IF(ISNUMBER(INDEX(SPPR!$E:$Z,MATCH($A238,SPPR!$A:$A,0),5)),$C238*INDEX(SPPR!$E:$Z,MATCH($A238,SPPR!$A:$A,0),5),""),"")</f>
        <v/>
      </c>
      <c r="I238">
        <f>IFERROR(IF(ISNUMBER(INDEX(SPPR!$E:$Z,MATCH($A238,SPPR!$A:$A,0),6)),$C238*INDEX(SPPR!$E:$Z,MATCH($A238,SPPR!$A:$A,0),6),""),"")</f>
        <v/>
      </c>
      <c r="J238">
        <f>IFERROR(IF(ISNUMBER(INDEX(SPPR!$E:$Z,MATCH($A238,SPPR!$A:$A,0),7)),$C238*INDEX(SPPR!$E:$Z,MATCH($A238,SPPR!$A:$A,0),7),""),"")</f>
        <v/>
      </c>
      <c r="K238">
        <f>IFERROR(IF(ISNUMBER(INDEX(SPPR!$E:$Z,MATCH($A238,SPPR!$A:$A,0),8)),$C238*INDEX(SPPR!$E:$Z,MATCH($A238,SPPR!$A:$A,0),8),""),"")</f>
        <v/>
      </c>
      <c r="L238">
        <f>IFERROR(IF(ISNUMBER(INDEX(SPPR!$E:$Z,MATCH($A238,SPPR!$A:$A,0),9)),$C238*INDEX(SPPR!$E:$Z,MATCH($A238,SPPR!$A:$A,0),9),""),"")</f>
        <v/>
      </c>
      <c r="M238">
        <f>IFERROR(IF(ISNUMBER(INDEX(SPPR!$E:$Z,MATCH($A238,SPPR!$A:$A,0),10)),$C238*INDEX(SPPR!$E:$Z,MATCH($A238,SPPR!$A:$A,0),10),""),"")</f>
        <v/>
      </c>
      <c r="N238">
        <f>IFERROR(IF(ISNUMBER(INDEX(SPPR!$E:$Z,MATCH($A238,SPPR!$A:$A,0),11)),$C238*INDEX(SPPR!$E:$Z,MATCH($A238,SPPR!$A:$A,0),11),""),"")</f>
        <v/>
      </c>
      <c r="O238">
        <f>IFERROR(IF(ISNUMBER(INDEX(SPPR!$E:$Z,MATCH($A238,SPPR!$A:$A,0),12)),$C238*INDEX(SPPR!$E:$Z,MATCH($A238,SPPR!$A:$A,0),12),""),"")</f>
        <v/>
      </c>
      <c r="P238">
        <f>IFERROR(IF(ISNUMBER(INDEX(SPPR!$E:$Z,MATCH($A238,SPPR!$A:$A,0),13)),$C238*INDEX(SPPR!$E:$Z,MATCH($A238,SPPR!$A:$A,0),13),""),"")</f>
        <v/>
      </c>
      <c r="Q238">
        <f>IFERROR(IF(ISNUMBER(INDEX(SPPR!$E:$Z,MATCH($A238,SPPR!$A:$A,0),14)),$C238*INDEX(SPPR!$E:$Z,MATCH($A238,SPPR!$A:$A,0),14),""),"")</f>
        <v/>
      </c>
      <c r="R238">
        <f>IFERROR(IF(ISNUMBER(INDEX(SPPR!$E:$Z,MATCH($A238,SPPR!$A:$A,0),15)),$C238*INDEX(SPPR!$E:$Z,MATCH($A238,SPPR!$A:$A,0),15),""),"")</f>
        <v/>
      </c>
      <c r="S238">
        <f>IFERROR(IF(ISNUMBER(INDEX(SPPR!$E:$Z,MATCH($A238,SPPR!$A:$A,0),16)),$C238*INDEX(SPPR!$E:$Z,MATCH($A238,SPPR!$A:$A,0),16),""),"")</f>
        <v/>
      </c>
      <c r="T238">
        <f>IFERROR(IF(ISNUMBER(INDEX(SPPR!$E:$Z,MATCH($A238,SPPR!$A:$A,0),17)),$C238*INDEX(SPPR!$E:$Z,MATCH($A238,SPPR!$A:$A,0),17),""),"")</f>
        <v/>
      </c>
      <c r="U238">
        <f>IFERROR(IF(ISNUMBER(INDEX(SPPR!$E:$Z,MATCH($A238,SPPR!$A:$A,0),18)),$C238*INDEX(SPPR!$E:$Z,MATCH($A238,SPPR!$A:$A,0),18),""),"")</f>
        <v/>
      </c>
      <c r="V238">
        <f>IFERROR(IF(ISNUMBER(INDEX(SPPR!$E:$Z,MATCH($A238,SPPR!$A:$A,0),19)),$C238*INDEX(SPPR!$E:$Z,MATCH($A238,SPPR!$A:$A,0),19),""),"")</f>
        <v/>
      </c>
      <c r="W238">
        <f>IFERROR(IF(ISNUMBER(INDEX(SPPR!$E:$Z,MATCH($A238,SPPR!$A:$A,0),20)),$C238*INDEX(SPPR!$E:$Z,MATCH($A238,SPPR!$A:$A,0),20),""),"")</f>
        <v/>
      </c>
      <c r="X238">
        <f>IFERROR(IF(ISNUMBER(INDEX(SPPR!$E:$Z,MATCH($A238,SPPR!$A:$A,0),21)),$C238*INDEX(SPPR!$E:$Z,MATCH($A238,SPPR!$A:$A,0),21),""),"")</f>
        <v/>
      </c>
      <c r="Y238">
        <f>IFERROR(IF(ISNUMBER(INDEX(SPPR!$E:$Z,MATCH($A238,SPPR!$A:$A,0),22)),$C238*INDEX(SPPR!$E:$Z,MATCH($A238,SPPR!$A:$A,0),22),""),"")</f>
        <v/>
      </c>
    </row>
    <row r="239">
      <c r="A239" t="inlineStr">
        <is>
          <t>Latidae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IFERROR(IF(ISNUMBER(INDEX(SPPR!$E:$Z,MATCH($A239,SPPR!$A:$A,0),1)),$C239*INDEX(SPPR!$E:$Z,MATCH($A239,SPPR!$A:$A,0),1),""),"")</f>
        <v/>
      </c>
      <c r="E239">
        <f>IFERROR(IF(ISNUMBER(INDEX(SPPR!$E:$Z,MATCH($A239,SPPR!$A:$A,0),2)),$C239*INDEX(SPPR!$E:$Z,MATCH($A239,SPPR!$A:$A,0),2),""),"")</f>
        <v/>
      </c>
      <c r="F239">
        <f>IFERROR(IF(ISNUMBER(INDEX(SPPR!$E:$Z,MATCH($A239,SPPR!$A:$A,0),3)),$C239*INDEX(SPPR!$E:$Z,MATCH($A239,SPPR!$A:$A,0),3),""),"")</f>
        <v/>
      </c>
      <c r="G239">
        <f>IFERROR(IF(ISNUMBER(INDEX(SPPR!$E:$Z,MATCH($A239,SPPR!$A:$A,0),4)),$C239*INDEX(SPPR!$E:$Z,MATCH($A239,SPPR!$A:$A,0),4),""),"")</f>
        <v/>
      </c>
      <c r="H239">
        <f>IFERROR(IF(ISNUMBER(INDEX(SPPR!$E:$Z,MATCH($A239,SPPR!$A:$A,0),5)),$C239*INDEX(SPPR!$E:$Z,MATCH($A239,SPPR!$A:$A,0),5),""),"")</f>
        <v/>
      </c>
      <c r="I239">
        <f>IFERROR(IF(ISNUMBER(INDEX(SPPR!$E:$Z,MATCH($A239,SPPR!$A:$A,0),6)),$C239*INDEX(SPPR!$E:$Z,MATCH($A239,SPPR!$A:$A,0),6),""),"")</f>
        <v/>
      </c>
      <c r="J239">
        <f>IFERROR(IF(ISNUMBER(INDEX(SPPR!$E:$Z,MATCH($A239,SPPR!$A:$A,0),7)),$C239*INDEX(SPPR!$E:$Z,MATCH($A239,SPPR!$A:$A,0),7),""),"")</f>
        <v/>
      </c>
      <c r="K239">
        <f>IFERROR(IF(ISNUMBER(INDEX(SPPR!$E:$Z,MATCH($A239,SPPR!$A:$A,0),8)),$C239*INDEX(SPPR!$E:$Z,MATCH($A239,SPPR!$A:$A,0),8),""),"")</f>
        <v/>
      </c>
      <c r="L239">
        <f>IFERROR(IF(ISNUMBER(INDEX(SPPR!$E:$Z,MATCH($A239,SPPR!$A:$A,0),9)),$C239*INDEX(SPPR!$E:$Z,MATCH($A239,SPPR!$A:$A,0),9),""),"")</f>
        <v/>
      </c>
      <c r="M239">
        <f>IFERROR(IF(ISNUMBER(INDEX(SPPR!$E:$Z,MATCH($A239,SPPR!$A:$A,0),10)),$C239*INDEX(SPPR!$E:$Z,MATCH($A239,SPPR!$A:$A,0),10),""),"")</f>
        <v/>
      </c>
      <c r="N239">
        <f>IFERROR(IF(ISNUMBER(INDEX(SPPR!$E:$Z,MATCH($A239,SPPR!$A:$A,0),11)),$C239*INDEX(SPPR!$E:$Z,MATCH($A239,SPPR!$A:$A,0),11),""),"")</f>
        <v/>
      </c>
      <c r="O239">
        <f>IFERROR(IF(ISNUMBER(INDEX(SPPR!$E:$Z,MATCH($A239,SPPR!$A:$A,0),12)),$C239*INDEX(SPPR!$E:$Z,MATCH($A239,SPPR!$A:$A,0),12),""),"")</f>
        <v/>
      </c>
      <c r="P239">
        <f>IFERROR(IF(ISNUMBER(INDEX(SPPR!$E:$Z,MATCH($A239,SPPR!$A:$A,0),13)),$C239*INDEX(SPPR!$E:$Z,MATCH($A239,SPPR!$A:$A,0),13),""),"")</f>
        <v/>
      </c>
      <c r="Q239">
        <f>IFERROR(IF(ISNUMBER(INDEX(SPPR!$E:$Z,MATCH($A239,SPPR!$A:$A,0),14)),$C239*INDEX(SPPR!$E:$Z,MATCH($A239,SPPR!$A:$A,0),14),""),"")</f>
        <v/>
      </c>
      <c r="R239">
        <f>IFERROR(IF(ISNUMBER(INDEX(SPPR!$E:$Z,MATCH($A239,SPPR!$A:$A,0),15)),$C239*INDEX(SPPR!$E:$Z,MATCH($A239,SPPR!$A:$A,0),15),""),"")</f>
        <v/>
      </c>
      <c r="S239">
        <f>IFERROR(IF(ISNUMBER(INDEX(SPPR!$E:$Z,MATCH($A239,SPPR!$A:$A,0),16)),$C239*INDEX(SPPR!$E:$Z,MATCH($A239,SPPR!$A:$A,0),16),""),"")</f>
        <v/>
      </c>
      <c r="T239">
        <f>IFERROR(IF(ISNUMBER(INDEX(SPPR!$E:$Z,MATCH($A239,SPPR!$A:$A,0),17)),$C239*INDEX(SPPR!$E:$Z,MATCH($A239,SPPR!$A:$A,0),17),""),"")</f>
        <v/>
      </c>
      <c r="U239">
        <f>IFERROR(IF(ISNUMBER(INDEX(SPPR!$E:$Z,MATCH($A239,SPPR!$A:$A,0),18)),$C239*INDEX(SPPR!$E:$Z,MATCH($A239,SPPR!$A:$A,0),18),""),"")</f>
        <v/>
      </c>
      <c r="V239">
        <f>IFERROR(IF(ISNUMBER(INDEX(SPPR!$E:$Z,MATCH($A239,SPPR!$A:$A,0),19)),$C239*INDEX(SPPR!$E:$Z,MATCH($A239,SPPR!$A:$A,0),19),""),"")</f>
        <v/>
      </c>
      <c r="W239">
        <f>IFERROR(IF(ISNUMBER(INDEX(SPPR!$E:$Z,MATCH($A239,SPPR!$A:$A,0),20)),$C239*INDEX(SPPR!$E:$Z,MATCH($A239,SPPR!$A:$A,0),20),""),"")</f>
        <v/>
      </c>
      <c r="X239">
        <f>IFERROR(IF(ISNUMBER(INDEX(SPPR!$E:$Z,MATCH($A239,SPPR!$A:$A,0),21)),$C239*INDEX(SPPR!$E:$Z,MATCH($A239,SPPR!$A:$A,0),21),""),"")</f>
        <v/>
      </c>
      <c r="Y239">
        <f>IFERROR(IF(ISNUMBER(INDEX(SPPR!$E:$Z,MATCH($A239,SPPR!$A:$A,0),22)),$C239*INDEX(SPPR!$E:$Z,MATCH($A239,SPPR!$A:$A,0),22),""),"")</f>
        <v/>
      </c>
    </row>
    <row r="240">
      <c r="A240" t="inlineStr">
        <is>
          <t>Pleuronectiformes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IFERROR(IF(ISNUMBER(INDEX(SPPR!$E:$Z,MATCH($A240,SPPR!$A:$A,0),1)),$C240*INDEX(SPPR!$E:$Z,MATCH($A240,SPPR!$A:$A,0),1),""),"")</f>
        <v/>
      </c>
      <c r="E240">
        <f>IFERROR(IF(ISNUMBER(INDEX(SPPR!$E:$Z,MATCH($A240,SPPR!$A:$A,0),2)),$C240*INDEX(SPPR!$E:$Z,MATCH($A240,SPPR!$A:$A,0),2),""),"")</f>
        <v/>
      </c>
      <c r="F240">
        <f>IFERROR(IF(ISNUMBER(INDEX(SPPR!$E:$Z,MATCH($A240,SPPR!$A:$A,0),3)),$C240*INDEX(SPPR!$E:$Z,MATCH($A240,SPPR!$A:$A,0),3),""),"")</f>
        <v/>
      </c>
      <c r="G240">
        <f>IFERROR(IF(ISNUMBER(INDEX(SPPR!$E:$Z,MATCH($A240,SPPR!$A:$A,0),4)),$C240*INDEX(SPPR!$E:$Z,MATCH($A240,SPPR!$A:$A,0),4),""),"")</f>
        <v/>
      </c>
      <c r="H240">
        <f>IFERROR(IF(ISNUMBER(INDEX(SPPR!$E:$Z,MATCH($A240,SPPR!$A:$A,0),5)),$C240*INDEX(SPPR!$E:$Z,MATCH($A240,SPPR!$A:$A,0),5),""),"")</f>
        <v/>
      </c>
      <c r="I240">
        <f>IFERROR(IF(ISNUMBER(INDEX(SPPR!$E:$Z,MATCH($A240,SPPR!$A:$A,0),6)),$C240*INDEX(SPPR!$E:$Z,MATCH($A240,SPPR!$A:$A,0),6),""),"")</f>
        <v/>
      </c>
      <c r="J240">
        <f>IFERROR(IF(ISNUMBER(INDEX(SPPR!$E:$Z,MATCH($A240,SPPR!$A:$A,0),7)),$C240*INDEX(SPPR!$E:$Z,MATCH($A240,SPPR!$A:$A,0),7),""),"")</f>
        <v/>
      </c>
      <c r="K240">
        <f>IFERROR(IF(ISNUMBER(INDEX(SPPR!$E:$Z,MATCH($A240,SPPR!$A:$A,0),8)),$C240*INDEX(SPPR!$E:$Z,MATCH($A240,SPPR!$A:$A,0),8),""),"")</f>
        <v/>
      </c>
      <c r="L240">
        <f>IFERROR(IF(ISNUMBER(INDEX(SPPR!$E:$Z,MATCH($A240,SPPR!$A:$A,0),9)),$C240*INDEX(SPPR!$E:$Z,MATCH($A240,SPPR!$A:$A,0),9),""),"")</f>
        <v/>
      </c>
      <c r="M240">
        <f>IFERROR(IF(ISNUMBER(INDEX(SPPR!$E:$Z,MATCH($A240,SPPR!$A:$A,0),10)),$C240*INDEX(SPPR!$E:$Z,MATCH($A240,SPPR!$A:$A,0),10),""),"")</f>
        <v/>
      </c>
      <c r="N240">
        <f>IFERROR(IF(ISNUMBER(INDEX(SPPR!$E:$Z,MATCH($A240,SPPR!$A:$A,0),11)),$C240*INDEX(SPPR!$E:$Z,MATCH($A240,SPPR!$A:$A,0),11),""),"")</f>
        <v/>
      </c>
      <c r="O240">
        <f>IFERROR(IF(ISNUMBER(INDEX(SPPR!$E:$Z,MATCH($A240,SPPR!$A:$A,0),12)),$C240*INDEX(SPPR!$E:$Z,MATCH($A240,SPPR!$A:$A,0),12),""),"")</f>
        <v/>
      </c>
      <c r="P240">
        <f>IFERROR(IF(ISNUMBER(INDEX(SPPR!$E:$Z,MATCH($A240,SPPR!$A:$A,0),13)),$C240*INDEX(SPPR!$E:$Z,MATCH($A240,SPPR!$A:$A,0),13),""),"")</f>
        <v/>
      </c>
      <c r="Q240">
        <f>IFERROR(IF(ISNUMBER(INDEX(SPPR!$E:$Z,MATCH($A240,SPPR!$A:$A,0),14)),$C240*INDEX(SPPR!$E:$Z,MATCH($A240,SPPR!$A:$A,0),14),""),"")</f>
        <v/>
      </c>
      <c r="R240">
        <f>IFERROR(IF(ISNUMBER(INDEX(SPPR!$E:$Z,MATCH($A240,SPPR!$A:$A,0),15)),$C240*INDEX(SPPR!$E:$Z,MATCH($A240,SPPR!$A:$A,0),15),""),"")</f>
        <v/>
      </c>
      <c r="S240">
        <f>IFERROR(IF(ISNUMBER(INDEX(SPPR!$E:$Z,MATCH($A240,SPPR!$A:$A,0),16)),$C240*INDEX(SPPR!$E:$Z,MATCH($A240,SPPR!$A:$A,0),16),""),"")</f>
        <v/>
      </c>
      <c r="T240">
        <f>IFERROR(IF(ISNUMBER(INDEX(SPPR!$E:$Z,MATCH($A240,SPPR!$A:$A,0),17)),$C240*INDEX(SPPR!$E:$Z,MATCH($A240,SPPR!$A:$A,0),17),""),"")</f>
        <v/>
      </c>
      <c r="U240">
        <f>IFERROR(IF(ISNUMBER(INDEX(SPPR!$E:$Z,MATCH($A240,SPPR!$A:$A,0),18)),$C240*INDEX(SPPR!$E:$Z,MATCH($A240,SPPR!$A:$A,0),18),""),"")</f>
        <v/>
      </c>
      <c r="V240">
        <f>IFERROR(IF(ISNUMBER(INDEX(SPPR!$E:$Z,MATCH($A240,SPPR!$A:$A,0),19)),$C240*INDEX(SPPR!$E:$Z,MATCH($A240,SPPR!$A:$A,0),19),""),"")</f>
        <v/>
      </c>
      <c r="W240">
        <f>IFERROR(IF(ISNUMBER(INDEX(SPPR!$E:$Z,MATCH($A240,SPPR!$A:$A,0),20)),$C240*INDEX(SPPR!$E:$Z,MATCH($A240,SPPR!$A:$A,0),20),""),"")</f>
        <v/>
      </c>
      <c r="X240">
        <f>IFERROR(IF(ISNUMBER(INDEX(SPPR!$E:$Z,MATCH($A240,SPPR!$A:$A,0),21)),$C240*INDEX(SPPR!$E:$Z,MATCH($A240,SPPR!$A:$A,0),21),""),"")</f>
        <v/>
      </c>
      <c r="Y240">
        <f>IFERROR(IF(ISNUMBER(INDEX(SPPR!$E:$Z,MATCH($A240,SPPR!$A:$A,0),22)),$C240*INDEX(SPPR!$E:$Z,MATCH($A240,SPPR!$A:$A,0),22),""),"")</f>
        <v/>
      </c>
    </row>
    <row r="241">
      <c r="A241" t="inlineStr">
        <is>
          <t>Octopoda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IFERROR(IF(ISNUMBER(INDEX(SPPR!$E:$Z,MATCH($A241,SPPR!$A:$A,0),1)),$C241*INDEX(SPPR!$E:$Z,MATCH($A241,SPPR!$A:$A,0),1),""),"")</f>
        <v/>
      </c>
      <c r="E241">
        <f>IFERROR(IF(ISNUMBER(INDEX(SPPR!$E:$Z,MATCH($A241,SPPR!$A:$A,0),2)),$C241*INDEX(SPPR!$E:$Z,MATCH($A241,SPPR!$A:$A,0),2),""),"")</f>
        <v/>
      </c>
      <c r="F241">
        <f>IFERROR(IF(ISNUMBER(INDEX(SPPR!$E:$Z,MATCH($A241,SPPR!$A:$A,0),3)),$C241*INDEX(SPPR!$E:$Z,MATCH($A241,SPPR!$A:$A,0),3),""),"")</f>
        <v/>
      </c>
      <c r="G241">
        <f>IFERROR(IF(ISNUMBER(INDEX(SPPR!$E:$Z,MATCH($A241,SPPR!$A:$A,0),4)),$C241*INDEX(SPPR!$E:$Z,MATCH($A241,SPPR!$A:$A,0),4),""),"")</f>
        <v/>
      </c>
      <c r="H241">
        <f>IFERROR(IF(ISNUMBER(INDEX(SPPR!$E:$Z,MATCH($A241,SPPR!$A:$A,0),5)),$C241*INDEX(SPPR!$E:$Z,MATCH($A241,SPPR!$A:$A,0),5),""),"")</f>
        <v/>
      </c>
      <c r="I241">
        <f>IFERROR(IF(ISNUMBER(INDEX(SPPR!$E:$Z,MATCH($A241,SPPR!$A:$A,0),6)),$C241*INDEX(SPPR!$E:$Z,MATCH($A241,SPPR!$A:$A,0),6),""),"")</f>
        <v/>
      </c>
      <c r="J241">
        <f>IFERROR(IF(ISNUMBER(INDEX(SPPR!$E:$Z,MATCH($A241,SPPR!$A:$A,0),7)),$C241*INDEX(SPPR!$E:$Z,MATCH($A241,SPPR!$A:$A,0),7),""),"")</f>
        <v/>
      </c>
      <c r="K241">
        <f>IFERROR(IF(ISNUMBER(INDEX(SPPR!$E:$Z,MATCH($A241,SPPR!$A:$A,0),8)),$C241*INDEX(SPPR!$E:$Z,MATCH($A241,SPPR!$A:$A,0),8),""),"")</f>
        <v/>
      </c>
      <c r="L241">
        <f>IFERROR(IF(ISNUMBER(INDEX(SPPR!$E:$Z,MATCH($A241,SPPR!$A:$A,0),9)),$C241*INDEX(SPPR!$E:$Z,MATCH($A241,SPPR!$A:$A,0),9),""),"")</f>
        <v/>
      </c>
      <c r="M241">
        <f>IFERROR(IF(ISNUMBER(INDEX(SPPR!$E:$Z,MATCH($A241,SPPR!$A:$A,0),10)),$C241*INDEX(SPPR!$E:$Z,MATCH($A241,SPPR!$A:$A,0),10),""),"")</f>
        <v/>
      </c>
      <c r="N241">
        <f>IFERROR(IF(ISNUMBER(INDEX(SPPR!$E:$Z,MATCH($A241,SPPR!$A:$A,0),11)),$C241*INDEX(SPPR!$E:$Z,MATCH($A241,SPPR!$A:$A,0),11),""),"")</f>
        <v/>
      </c>
      <c r="O241">
        <f>IFERROR(IF(ISNUMBER(INDEX(SPPR!$E:$Z,MATCH($A241,SPPR!$A:$A,0),12)),$C241*INDEX(SPPR!$E:$Z,MATCH($A241,SPPR!$A:$A,0),12),""),"")</f>
        <v/>
      </c>
      <c r="P241">
        <f>IFERROR(IF(ISNUMBER(INDEX(SPPR!$E:$Z,MATCH($A241,SPPR!$A:$A,0),13)),$C241*INDEX(SPPR!$E:$Z,MATCH($A241,SPPR!$A:$A,0),13),""),"")</f>
        <v/>
      </c>
      <c r="Q241">
        <f>IFERROR(IF(ISNUMBER(INDEX(SPPR!$E:$Z,MATCH($A241,SPPR!$A:$A,0),14)),$C241*INDEX(SPPR!$E:$Z,MATCH($A241,SPPR!$A:$A,0),14),""),"")</f>
        <v/>
      </c>
      <c r="R241">
        <f>IFERROR(IF(ISNUMBER(INDEX(SPPR!$E:$Z,MATCH($A241,SPPR!$A:$A,0),15)),$C241*INDEX(SPPR!$E:$Z,MATCH($A241,SPPR!$A:$A,0),15),""),"")</f>
        <v/>
      </c>
      <c r="S241">
        <f>IFERROR(IF(ISNUMBER(INDEX(SPPR!$E:$Z,MATCH($A241,SPPR!$A:$A,0),16)),$C241*INDEX(SPPR!$E:$Z,MATCH($A241,SPPR!$A:$A,0),16),""),"")</f>
        <v/>
      </c>
      <c r="T241">
        <f>IFERROR(IF(ISNUMBER(INDEX(SPPR!$E:$Z,MATCH($A241,SPPR!$A:$A,0),17)),$C241*INDEX(SPPR!$E:$Z,MATCH($A241,SPPR!$A:$A,0),17),""),"")</f>
        <v/>
      </c>
      <c r="U241">
        <f>IFERROR(IF(ISNUMBER(INDEX(SPPR!$E:$Z,MATCH($A241,SPPR!$A:$A,0),18)),$C241*INDEX(SPPR!$E:$Z,MATCH($A241,SPPR!$A:$A,0),18),""),"")</f>
        <v/>
      </c>
      <c r="V241">
        <f>IFERROR(IF(ISNUMBER(INDEX(SPPR!$E:$Z,MATCH($A241,SPPR!$A:$A,0),19)),$C241*INDEX(SPPR!$E:$Z,MATCH($A241,SPPR!$A:$A,0),19),""),"")</f>
        <v/>
      </c>
      <c r="W241">
        <f>IFERROR(IF(ISNUMBER(INDEX(SPPR!$E:$Z,MATCH($A241,SPPR!$A:$A,0),20)),$C241*INDEX(SPPR!$E:$Z,MATCH($A241,SPPR!$A:$A,0),20),""),"")</f>
        <v/>
      </c>
      <c r="X241">
        <f>IFERROR(IF(ISNUMBER(INDEX(SPPR!$E:$Z,MATCH($A241,SPPR!$A:$A,0),21)),$C241*INDEX(SPPR!$E:$Z,MATCH($A241,SPPR!$A:$A,0),21),""),"")</f>
        <v/>
      </c>
      <c r="Y241">
        <f>IFERROR(IF(ISNUMBER(INDEX(SPPR!$E:$Z,MATCH($A241,SPPR!$A:$A,0),22)),$C241*INDEX(SPPR!$E:$Z,MATCH($A241,SPPR!$A:$A,0),22),""),"")</f>
        <v/>
      </c>
    </row>
    <row r="242">
      <c r="A242" t="inlineStr">
        <is>
          <t>Isurus oxyrinchus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IFERROR(IF(ISNUMBER(INDEX(SPPR!$E:$Z,MATCH($A242,SPPR!$A:$A,0),1)),$C242*INDEX(SPPR!$E:$Z,MATCH($A242,SPPR!$A:$A,0),1),""),"")</f>
        <v/>
      </c>
      <c r="E242">
        <f>IFERROR(IF(ISNUMBER(INDEX(SPPR!$E:$Z,MATCH($A242,SPPR!$A:$A,0),2)),$C242*INDEX(SPPR!$E:$Z,MATCH($A242,SPPR!$A:$A,0),2),""),"")</f>
        <v/>
      </c>
      <c r="F242">
        <f>IFERROR(IF(ISNUMBER(INDEX(SPPR!$E:$Z,MATCH($A242,SPPR!$A:$A,0),3)),$C242*INDEX(SPPR!$E:$Z,MATCH($A242,SPPR!$A:$A,0),3),""),"")</f>
        <v/>
      </c>
      <c r="G242">
        <f>IFERROR(IF(ISNUMBER(INDEX(SPPR!$E:$Z,MATCH($A242,SPPR!$A:$A,0),4)),$C242*INDEX(SPPR!$E:$Z,MATCH($A242,SPPR!$A:$A,0),4),""),"")</f>
        <v/>
      </c>
      <c r="H242">
        <f>IFERROR(IF(ISNUMBER(INDEX(SPPR!$E:$Z,MATCH($A242,SPPR!$A:$A,0),5)),$C242*INDEX(SPPR!$E:$Z,MATCH($A242,SPPR!$A:$A,0),5),""),"")</f>
        <v/>
      </c>
      <c r="I242">
        <f>IFERROR(IF(ISNUMBER(INDEX(SPPR!$E:$Z,MATCH($A242,SPPR!$A:$A,0),6)),$C242*INDEX(SPPR!$E:$Z,MATCH($A242,SPPR!$A:$A,0),6),""),"")</f>
        <v/>
      </c>
      <c r="J242">
        <f>IFERROR(IF(ISNUMBER(INDEX(SPPR!$E:$Z,MATCH($A242,SPPR!$A:$A,0),7)),$C242*INDEX(SPPR!$E:$Z,MATCH($A242,SPPR!$A:$A,0),7),""),"")</f>
        <v/>
      </c>
      <c r="K242">
        <f>IFERROR(IF(ISNUMBER(INDEX(SPPR!$E:$Z,MATCH($A242,SPPR!$A:$A,0),8)),$C242*INDEX(SPPR!$E:$Z,MATCH($A242,SPPR!$A:$A,0),8),""),"")</f>
        <v/>
      </c>
      <c r="L242">
        <f>IFERROR(IF(ISNUMBER(INDEX(SPPR!$E:$Z,MATCH($A242,SPPR!$A:$A,0),9)),$C242*INDEX(SPPR!$E:$Z,MATCH($A242,SPPR!$A:$A,0),9),""),"")</f>
        <v/>
      </c>
      <c r="M242">
        <f>IFERROR(IF(ISNUMBER(INDEX(SPPR!$E:$Z,MATCH($A242,SPPR!$A:$A,0),10)),$C242*INDEX(SPPR!$E:$Z,MATCH($A242,SPPR!$A:$A,0),10),""),"")</f>
        <v/>
      </c>
      <c r="N242">
        <f>IFERROR(IF(ISNUMBER(INDEX(SPPR!$E:$Z,MATCH($A242,SPPR!$A:$A,0),11)),$C242*INDEX(SPPR!$E:$Z,MATCH($A242,SPPR!$A:$A,0),11),""),"")</f>
        <v/>
      </c>
      <c r="O242">
        <f>IFERROR(IF(ISNUMBER(INDEX(SPPR!$E:$Z,MATCH($A242,SPPR!$A:$A,0),12)),$C242*INDEX(SPPR!$E:$Z,MATCH($A242,SPPR!$A:$A,0),12),""),"")</f>
        <v/>
      </c>
      <c r="P242">
        <f>IFERROR(IF(ISNUMBER(INDEX(SPPR!$E:$Z,MATCH($A242,SPPR!$A:$A,0),13)),$C242*INDEX(SPPR!$E:$Z,MATCH($A242,SPPR!$A:$A,0),13),""),"")</f>
        <v/>
      </c>
      <c r="Q242">
        <f>IFERROR(IF(ISNUMBER(INDEX(SPPR!$E:$Z,MATCH($A242,SPPR!$A:$A,0),14)),$C242*INDEX(SPPR!$E:$Z,MATCH($A242,SPPR!$A:$A,0),14),""),"")</f>
        <v/>
      </c>
      <c r="R242">
        <f>IFERROR(IF(ISNUMBER(INDEX(SPPR!$E:$Z,MATCH($A242,SPPR!$A:$A,0),15)),$C242*INDEX(SPPR!$E:$Z,MATCH($A242,SPPR!$A:$A,0),15),""),"")</f>
        <v/>
      </c>
      <c r="S242">
        <f>IFERROR(IF(ISNUMBER(INDEX(SPPR!$E:$Z,MATCH($A242,SPPR!$A:$A,0),16)),$C242*INDEX(SPPR!$E:$Z,MATCH($A242,SPPR!$A:$A,0),16),""),"")</f>
        <v/>
      </c>
      <c r="T242">
        <f>IFERROR(IF(ISNUMBER(INDEX(SPPR!$E:$Z,MATCH($A242,SPPR!$A:$A,0),17)),$C242*INDEX(SPPR!$E:$Z,MATCH($A242,SPPR!$A:$A,0),17),""),"")</f>
        <v/>
      </c>
      <c r="U242">
        <f>IFERROR(IF(ISNUMBER(INDEX(SPPR!$E:$Z,MATCH($A242,SPPR!$A:$A,0),18)),$C242*INDEX(SPPR!$E:$Z,MATCH($A242,SPPR!$A:$A,0),18),""),"")</f>
        <v/>
      </c>
      <c r="V242">
        <f>IFERROR(IF(ISNUMBER(INDEX(SPPR!$E:$Z,MATCH($A242,SPPR!$A:$A,0),19)),$C242*INDEX(SPPR!$E:$Z,MATCH($A242,SPPR!$A:$A,0),19),""),"")</f>
        <v/>
      </c>
      <c r="W242">
        <f>IFERROR(IF(ISNUMBER(INDEX(SPPR!$E:$Z,MATCH($A242,SPPR!$A:$A,0),20)),$C242*INDEX(SPPR!$E:$Z,MATCH($A242,SPPR!$A:$A,0),20),""),"")</f>
        <v/>
      </c>
      <c r="X242">
        <f>IFERROR(IF(ISNUMBER(INDEX(SPPR!$E:$Z,MATCH($A242,SPPR!$A:$A,0),21)),$C242*INDEX(SPPR!$E:$Z,MATCH($A242,SPPR!$A:$A,0),21),""),"")</f>
        <v/>
      </c>
      <c r="Y242">
        <f>IFERROR(IF(ISNUMBER(INDEX(SPPR!$E:$Z,MATCH($A242,SPPR!$A:$A,0),22)),$C242*INDEX(SPPR!$E:$Z,MATCH($A242,SPPR!$A:$A,0),22),""),"")</f>
        <v/>
      </c>
    </row>
    <row r="243">
      <c r="A243" t="inlineStr">
        <is>
          <t>Exocoetidae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IFERROR(IF(ISNUMBER(INDEX(SPPR!$E:$Z,MATCH($A243,SPPR!$A:$A,0),1)),$C243*INDEX(SPPR!$E:$Z,MATCH($A243,SPPR!$A:$A,0),1),""),"")</f>
        <v/>
      </c>
      <c r="E243">
        <f>IFERROR(IF(ISNUMBER(INDEX(SPPR!$E:$Z,MATCH($A243,SPPR!$A:$A,0),2)),$C243*INDEX(SPPR!$E:$Z,MATCH($A243,SPPR!$A:$A,0),2),""),"")</f>
        <v/>
      </c>
      <c r="F243">
        <f>IFERROR(IF(ISNUMBER(INDEX(SPPR!$E:$Z,MATCH($A243,SPPR!$A:$A,0),3)),$C243*INDEX(SPPR!$E:$Z,MATCH($A243,SPPR!$A:$A,0),3),""),"")</f>
        <v/>
      </c>
      <c r="G243">
        <f>IFERROR(IF(ISNUMBER(INDEX(SPPR!$E:$Z,MATCH($A243,SPPR!$A:$A,0),4)),$C243*INDEX(SPPR!$E:$Z,MATCH($A243,SPPR!$A:$A,0),4),""),"")</f>
        <v/>
      </c>
      <c r="H243">
        <f>IFERROR(IF(ISNUMBER(INDEX(SPPR!$E:$Z,MATCH($A243,SPPR!$A:$A,0),5)),$C243*INDEX(SPPR!$E:$Z,MATCH($A243,SPPR!$A:$A,0),5),""),"")</f>
        <v/>
      </c>
      <c r="I243">
        <f>IFERROR(IF(ISNUMBER(INDEX(SPPR!$E:$Z,MATCH($A243,SPPR!$A:$A,0),6)),$C243*INDEX(SPPR!$E:$Z,MATCH($A243,SPPR!$A:$A,0),6),""),"")</f>
        <v/>
      </c>
      <c r="J243">
        <f>IFERROR(IF(ISNUMBER(INDEX(SPPR!$E:$Z,MATCH($A243,SPPR!$A:$A,0),7)),$C243*INDEX(SPPR!$E:$Z,MATCH($A243,SPPR!$A:$A,0),7),""),"")</f>
        <v/>
      </c>
      <c r="K243">
        <f>IFERROR(IF(ISNUMBER(INDEX(SPPR!$E:$Z,MATCH($A243,SPPR!$A:$A,0),8)),$C243*INDEX(SPPR!$E:$Z,MATCH($A243,SPPR!$A:$A,0),8),""),"")</f>
        <v/>
      </c>
      <c r="L243">
        <f>IFERROR(IF(ISNUMBER(INDEX(SPPR!$E:$Z,MATCH($A243,SPPR!$A:$A,0),9)),$C243*INDEX(SPPR!$E:$Z,MATCH($A243,SPPR!$A:$A,0),9),""),"")</f>
        <v/>
      </c>
      <c r="M243">
        <f>IFERROR(IF(ISNUMBER(INDEX(SPPR!$E:$Z,MATCH($A243,SPPR!$A:$A,0),10)),$C243*INDEX(SPPR!$E:$Z,MATCH($A243,SPPR!$A:$A,0),10),""),"")</f>
        <v/>
      </c>
      <c r="N243">
        <f>IFERROR(IF(ISNUMBER(INDEX(SPPR!$E:$Z,MATCH($A243,SPPR!$A:$A,0),11)),$C243*INDEX(SPPR!$E:$Z,MATCH($A243,SPPR!$A:$A,0),11),""),"")</f>
        <v/>
      </c>
      <c r="O243">
        <f>IFERROR(IF(ISNUMBER(INDEX(SPPR!$E:$Z,MATCH($A243,SPPR!$A:$A,0),12)),$C243*INDEX(SPPR!$E:$Z,MATCH($A243,SPPR!$A:$A,0),12),""),"")</f>
        <v/>
      </c>
      <c r="P243">
        <f>IFERROR(IF(ISNUMBER(INDEX(SPPR!$E:$Z,MATCH($A243,SPPR!$A:$A,0),13)),$C243*INDEX(SPPR!$E:$Z,MATCH($A243,SPPR!$A:$A,0),13),""),"")</f>
        <v/>
      </c>
      <c r="Q243">
        <f>IFERROR(IF(ISNUMBER(INDEX(SPPR!$E:$Z,MATCH($A243,SPPR!$A:$A,0),14)),$C243*INDEX(SPPR!$E:$Z,MATCH($A243,SPPR!$A:$A,0),14),""),"")</f>
        <v/>
      </c>
      <c r="R243">
        <f>IFERROR(IF(ISNUMBER(INDEX(SPPR!$E:$Z,MATCH($A243,SPPR!$A:$A,0),15)),$C243*INDEX(SPPR!$E:$Z,MATCH($A243,SPPR!$A:$A,0),15),""),"")</f>
        <v/>
      </c>
      <c r="S243">
        <f>IFERROR(IF(ISNUMBER(INDEX(SPPR!$E:$Z,MATCH($A243,SPPR!$A:$A,0),16)),$C243*INDEX(SPPR!$E:$Z,MATCH($A243,SPPR!$A:$A,0),16),""),"")</f>
        <v/>
      </c>
      <c r="T243">
        <f>IFERROR(IF(ISNUMBER(INDEX(SPPR!$E:$Z,MATCH($A243,SPPR!$A:$A,0),17)),$C243*INDEX(SPPR!$E:$Z,MATCH($A243,SPPR!$A:$A,0),17),""),"")</f>
        <v/>
      </c>
      <c r="U243">
        <f>IFERROR(IF(ISNUMBER(INDEX(SPPR!$E:$Z,MATCH($A243,SPPR!$A:$A,0),18)),$C243*INDEX(SPPR!$E:$Z,MATCH($A243,SPPR!$A:$A,0),18),""),"")</f>
        <v/>
      </c>
      <c r="V243">
        <f>IFERROR(IF(ISNUMBER(INDEX(SPPR!$E:$Z,MATCH($A243,SPPR!$A:$A,0),19)),$C243*INDEX(SPPR!$E:$Z,MATCH($A243,SPPR!$A:$A,0),19),""),"")</f>
        <v/>
      </c>
      <c r="W243">
        <f>IFERROR(IF(ISNUMBER(INDEX(SPPR!$E:$Z,MATCH($A243,SPPR!$A:$A,0),20)),$C243*INDEX(SPPR!$E:$Z,MATCH($A243,SPPR!$A:$A,0),20),""),"")</f>
        <v/>
      </c>
      <c r="X243">
        <f>IFERROR(IF(ISNUMBER(INDEX(SPPR!$E:$Z,MATCH($A243,SPPR!$A:$A,0),21)),$C243*INDEX(SPPR!$E:$Z,MATCH($A243,SPPR!$A:$A,0),21),""),"")</f>
        <v/>
      </c>
      <c r="Y243">
        <f>IFERROR(IF(ISNUMBER(INDEX(SPPR!$E:$Z,MATCH($A243,SPPR!$A:$A,0),22)),$C243*INDEX(SPPR!$E:$Z,MATCH($A243,SPPR!$A:$A,0),22),""),"")</f>
        <v/>
      </c>
    </row>
    <row r="244">
      <c r="A244" t="inlineStr">
        <is>
          <t>Hemiramphidae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IFERROR(IF(ISNUMBER(INDEX(SPPR!$E:$Z,MATCH($A244,SPPR!$A:$A,0),1)),$C244*INDEX(SPPR!$E:$Z,MATCH($A244,SPPR!$A:$A,0),1),""),"")</f>
        <v/>
      </c>
      <c r="E244">
        <f>IFERROR(IF(ISNUMBER(INDEX(SPPR!$E:$Z,MATCH($A244,SPPR!$A:$A,0),2)),$C244*INDEX(SPPR!$E:$Z,MATCH($A244,SPPR!$A:$A,0),2),""),"")</f>
        <v/>
      </c>
      <c r="F244">
        <f>IFERROR(IF(ISNUMBER(INDEX(SPPR!$E:$Z,MATCH($A244,SPPR!$A:$A,0),3)),$C244*INDEX(SPPR!$E:$Z,MATCH($A244,SPPR!$A:$A,0),3),""),"")</f>
        <v/>
      </c>
      <c r="G244">
        <f>IFERROR(IF(ISNUMBER(INDEX(SPPR!$E:$Z,MATCH($A244,SPPR!$A:$A,0),4)),$C244*INDEX(SPPR!$E:$Z,MATCH($A244,SPPR!$A:$A,0),4),""),"")</f>
        <v/>
      </c>
      <c r="H244">
        <f>IFERROR(IF(ISNUMBER(INDEX(SPPR!$E:$Z,MATCH($A244,SPPR!$A:$A,0),5)),$C244*INDEX(SPPR!$E:$Z,MATCH($A244,SPPR!$A:$A,0),5),""),"")</f>
        <v/>
      </c>
      <c r="I244">
        <f>IFERROR(IF(ISNUMBER(INDEX(SPPR!$E:$Z,MATCH($A244,SPPR!$A:$A,0),6)),$C244*INDEX(SPPR!$E:$Z,MATCH($A244,SPPR!$A:$A,0),6),""),"")</f>
        <v/>
      </c>
      <c r="J244">
        <f>IFERROR(IF(ISNUMBER(INDEX(SPPR!$E:$Z,MATCH($A244,SPPR!$A:$A,0),7)),$C244*INDEX(SPPR!$E:$Z,MATCH($A244,SPPR!$A:$A,0),7),""),"")</f>
        <v/>
      </c>
      <c r="K244">
        <f>IFERROR(IF(ISNUMBER(INDEX(SPPR!$E:$Z,MATCH($A244,SPPR!$A:$A,0),8)),$C244*INDEX(SPPR!$E:$Z,MATCH($A244,SPPR!$A:$A,0),8),""),"")</f>
        <v/>
      </c>
      <c r="L244">
        <f>IFERROR(IF(ISNUMBER(INDEX(SPPR!$E:$Z,MATCH($A244,SPPR!$A:$A,0),9)),$C244*INDEX(SPPR!$E:$Z,MATCH($A244,SPPR!$A:$A,0),9),""),"")</f>
        <v/>
      </c>
      <c r="M244">
        <f>IFERROR(IF(ISNUMBER(INDEX(SPPR!$E:$Z,MATCH($A244,SPPR!$A:$A,0),10)),$C244*INDEX(SPPR!$E:$Z,MATCH($A244,SPPR!$A:$A,0),10),""),"")</f>
        <v/>
      </c>
      <c r="N244">
        <f>IFERROR(IF(ISNUMBER(INDEX(SPPR!$E:$Z,MATCH($A244,SPPR!$A:$A,0),11)),$C244*INDEX(SPPR!$E:$Z,MATCH($A244,SPPR!$A:$A,0),11),""),"")</f>
        <v/>
      </c>
      <c r="O244">
        <f>IFERROR(IF(ISNUMBER(INDEX(SPPR!$E:$Z,MATCH($A244,SPPR!$A:$A,0),12)),$C244*INDEX(SPPR!$E:$Z,MATCH($A244,SPPR!$A:$A,0),12),""),"")</f>
        <v/>
      </c>
      <c r="P244">
        <f>IFERROR(IF(ISNUMBER(INDEX(SPPR!$E:$Z,MATCH($A244,SPPR!$A:$A,0),13)),$C244*INDEX(SPPR!$E:$Z,MATCH($A244,SPPR!$A:$A,0),13),""),"")</f>
        <v/>
      </c>
      <c r="Q244">
        <f>IFERROR(IF(ISNUMBER(INDEX(SPPR!$E:$Z,MATCH($A244,SPPR!$A:$A,0),14)),$C244*INDEX(SPPR!$E:$Z,MATCH($A244,SPPR!$A:$A,0),14),""),"")</f>
        <v/>
      </c>
      <c r="R244">
        <f>IFERROR(IF(ISNUMBER(INDEX(SPPR!$E:$Z,MATCH($A244,SPPR!$A:$A,0),15)),$C244*INDEX(SPPR!$E:$Z,MATCH($A244,SPPR!$A:$A,0),15),""),"")</f>
        <v/>
      </c>
      <c r="S244">
        <f>IFERROR(IF(ISNUMBER(INDEX(SPPR!$E:$Z,MATCH($A244,SPPR!$A:$A,0),16)),$C244*INDEX(SPPR!$E:$Z,MATCH($A244,SPPR!$A:$A,0),16),""),"")</f>
        <v/>
      </c>
      <c r="T244">
        <f>IFERROR(IF(ISNUMBER(INDEX(SPPR!$E:$Z,MATCH($A244,SPPR!$A:$A,0),17)),$C244*INDEX(SPPR!$E:$Z,MATCH($A244,SPPR!$A:$A,0),17),""),"")</f>
        <v/>
      </c>
      <c r="U244">
        <f>IFERROR(IF(ISNUMBER(INDEX(SPPR!$E:$Z,MATCH($A244,SPPR!$A:$A,0),18)),$C244*INDEX(SPPR!$E:$Z,MATCH($A244,SPPR!$A:$A,0),18),""),"")</f>
        <v/>
      </c>
      <c r="V244">
        <f>IFERROR(IF(ISNUMBER(INDEX(SPPR!$E:$Z,MATCH($A244,SPPR!$A:$A,0),19)),$C244*INDEX(SPPR!$E:$Z,MATCH($A244,SPPR!$A:$A,0),19),""),"")</f>
        <v/>
      </c>
      <c r="W244">
        <f>IFERROR(IF(ISNUMBER(INDEX(SPPR!$E:$Z,MATCH($A244,SPPR!$A:$A,0),20)),$C244*INDEX(SPPR!$E:$Z,MATCH($A244,SPPR!$A:$A,0),20),""),"")</f>
        <v/>
      </c>
      <c r="X244">
        <f>IFERROR(IF(ISNUMBER(INDEX(SPPR!$E:$Z,MATCH($A244,SPPR!$A:$A,0),21)),$C244*INDEX(SPPR!$E:$Z,MATCH($A244,SPPR!$A:$A,0),21),""),"")</f>
        <v/>
      </c>
      <c r="Y244">
        <f>IFERROR(IF(ISNUMBER(INDEX(SPPR!$E:$Z,MATCH($A244,SPPR!$A:$A,0),22)),$C244*INDEX(SPPR!$E:$Z,MATCH($A244,SPPR!$A:$A,0),22),""),"")</f>
        <v/>
      </c>
    </row>
    <row r="245">
      <c r="A245" t="inlineStr">
        <is>
          <t>Sphyraena barracuda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IFERROR(IF(ISNUMBER(INDEX(SPPR!$E:$Z,MATCH($A245,SPPR!$A:$A,0),1)),$C245*INDEX(SPPR!$E:$Z,MATCH($A245,SPPR!$A:$A,0),1),""),"")</f>
        <v/>
      </c>
      <c r="E245">
        <f>IFERROR(IF(ISNUMBER(INDEX(SPPR!$E:$Z,MATCH($A245,SPPR!$A:$A,0),2)),$C245*INDEX(SPPR!$E:$Z,MATCH($A245,SPPR!$A:$A,0),2),""),"")</f>
        <v/>
      </c>
      <c r="F245">
        <f>IFERROR(IF(ISNUMBER(INDEX(SPPR!$E:$Z,MATCH($A245,SPPR!$A:$A,0),3)),$C245*INDEX(SPPR!$E:$Z,MATCH($A245,SPPR!$A:$A,0),3),""),"")</f>
        <v/>
      </c>
      <c r="G245">
        <f>IFERROR(IF(ISNUMBER(INDEX(SPPR!$E:$Z,MATCH($A245,SPPR!$A:$A,0),4)),$C245*INDEX(SPPR!$E:$Z,MATCH($A245,SPPR!$A:$A,0),4),""),"")</f>
        <v/>
      </c>
      <c r="H245">
        <f>IFERROR(IF(ISNUMBER(INDEX(SPPR!$E:$Z,MATCH($A245,SPPR!$A:$A,0),5)),$C245*INDEX(SPPR!$E:$Z,MATCH($A245,SPPR!$A:$A,0),5),""),"")</f>
        <v/>
      </c>
      <c r="I245">
        <f>IFERROR(IF(ISNUMBER(INDEX(SPPR!$E:$Z,MATCH($A245,SPPR!$A:$A,0),6)),$C245*INDEX(SPPR!$E:$Z,MATCH($A245,SPPR!$A:$A,0),6),""),"")</f>
        <v/>
      </c>
      <c r="J245">
        <f>IFERROR(IF(ISNUMBER(INDEX(SPPR!$E:$Z,MATCH($A245,SPPR!$A:$A,0),7)),$C245*INDEX(SPPR!$E:$Z,MATCH($A245,SPPR!$A:$A,0),7),""),"")</f>
        <v/>
      </c>
      <c r="K245">
        <f>IFERROR(IF(ISNUMBER(INDEX(SPPR!$E:$Z,MATCH($A245,SPPR!$A:$A,0),8)),$C245*INDEX(SPPR!$E:$Z,MATCH($A245,SPPR!$A:$A,0),8),""),"")</f>
        <v/>
      </c>
      <c r="L245">
        <f>IFERROR(IF(ISNUMBER(INDEX(SPPR!$E:$Z,MATCH($A245,SPPR!$A:$A,0),9)),$C245*INDEX(SPPR!$E:$Z,MATCH($A245,SPPR!$A:$A,0),9),""),"")</f>
        <v/>
      </c>
      <c r="M245">
        <f>IFERROR(IF(ISNUMBER(INDEX(SPPR!$E:$Z,MATCH($A245,SPPR!$A:$A,0),10)),$C245*INDEX(SPPR!$E:$Z,MATCH($A245,SPPR!$A:$A,0),10),""),"")</f>
        <v/>
      </c>
      <c r="N245">
        <f>IFERROR(IF(ISNUMBER(INDEX(SPPR!$E:$Z,MATCH($A245,SPPR!$A:$A,0),11)),$C245*INDEX(SPPR!$E:$Z,MATCH($A245,SPPR!$A:$A,0),11),""),"")</f>
        <v/>
      </c>
      <c r="O245">
        <f>IFERROR(IF(ISNUMBER(INDEX(SPPR!$E:$Z,MATCH($A245,SPPR!$A:$A,0),12)),$C245*INDEX(SPPR!$E:$Z,MATCH($A245,SPPR!$A:$A,0),12),""),"")</f>
        <v/>
      </c>
      <c r="P245">
        <f>IFERROR(IF(ISNUMBER(INDEX(SPPR!$E:$Z,MATCH($A245,SPPR!$A:$A,0),13)),$C245*INDEX(SPPR!$E:$Z,MATCH($A245,SPPR!$A:$A,0),13),""),"")</f>
        <v/>
      </c>
      <c r="Q245">
        <f>IFERROR(IF(ISNUMBER(INDEX(SPPR!$E:$Z,MATCH($A245,SPPR!$A:$A,0),14)),$C245*INDEX(SPPR!$E:$Z,MATCH($A245,SPPR!$A:$A,0),14),""),"")</f>
        <v/>
      </c>
      <c r="R245">
        <f>IFERROR(IF(ISNUMBER(INDEX(SPPR!$E:$Z,MATCH($A245,SPPR!$A:$A,0),15)),$C245*INDEX(SPPR!$E:$Z,MATCH($A245,SPPR!$A:$A,0),15),""),"")</f>
        <v/>
      </c>
      <c r="S245">
        <f>IFERROR(IF(ISNUMBER(INDEX(SPPR!$E:$Z,MATCH($A245,SPPR!$A:$A,0),16)),$C245*INDEX(SPPR!$E:$Z,MATCH($A245,SPPR!$A:$A,0),16),""),"")</f>
        <v/>
      </c>
      <c r="T245">
        <f>IFERROR(IF(ISNUMBER(INDEX(SPPR!$E:$Z,MATCH($A245,SPPR!$A:$A,0),17)),$C245*INDEX(SPPR!$E:$Z,MATCH($A245,SPPR!$A:$A,0),17),""),"")</f>
        <v/>
      </c>
      <c r="U245">
        <f>IFERROR(IF(ISNUMBER(INDEX(SPPR!$E:$Z,MATCH($A245,SPPR!$A:$A,0),18)),$C245*INDEX(SPPR!$E:$Z,MATCH($A245,SPPR!$A:$A,0),18),""),"")</f>
        <v/>
      </c>
      <c r="V245">
        <f>IFERROR(IF(ISNUMBER(INDEX(SPPR!$E:$Z,MATCH($A245,SPPR!$A:$A,0),19)),$C245*INDEX(SPPR!$E:$Z,MATCH($A245,SPPR!$A:$A,0),19),""),"")</f>
        <v/>
      </c>
      <c r="W245">
        <f>IFERROR(IF(ISNUMBER(INDEX(SPPR!$E:$Z,MATCH($A245,SPPR!$A:$A,0),20)),$C245*INDEX(SPPR!$E:$Z,MATCH($A245,SPPR!$A:$A,0),20),""),"")</f>
        <v/>
      </c>
      <c r="X245">
        <f>IFERROR(IF(ISNUMBER(INDEX(SPPR!$E:$Z,MATCH($A245,SPPR!$A:$A,0),21)),$C245*INDEX(SPPR!$E:$Z,MATCH($A245,SPPR!$A:$A,0),21),""),"")</f>
        <v/>
      </c>
      <c r="Y245">
        <f>IFERROR(IF(ISNUMBER(INDEX(SPPR!$E:$Z,MATCH($A245,SPPR!$A:$A,0),22)),$C245*INDEX(SPPR!$E:$Z,MATCH($A245,SPPR!$A:$A,0),22),""),"")</f>
        <v/>
      </c>
    </row>
    <row r="246">
      <c r="A246" t="inlineStr">
        <is>
          <t>Tenualosa toli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IFERROR(IF(ISNUMBER(INDEX(SPPR!$E:$Z,MATCH($A246,SPPR!$A:$A,0),1)),$C246*INDEX(SPPR!$E:$Z,MATCH($A246,SPPR!$A:$A,0),1),""),"")</f>
        <v/>
      </c>
      <c r="E246">
        <f>IFERROR(IF(ISNUMBER(INDEX(SPPR!$E:$Z,MATCH($A246,SPPR!$A:$A,0),2)),$C246*INDEX(SPPR!$E:$Z,MATCH($A246,SPPR!$A:$A,0),2),""),"")</f>
        <v/>
      </c>
      <c r="F246">
        <f>IFERROR(IF(ISNUMBER(INDEX(SPPR!$E:$Z,MATCH($A246,SPPR!$A:$A,0),3)),$C246*INDEX(SPPR!$E:$Z,MATCH($A246,SPPR!$A:$A,0),3),""),"")</f>
        <v/>
      </c>
      <c r="G246">
        <f>IFERROR(IF(ISNUMBER(INDEX(SPPR!$E:$Z,MATCH($A246,SPPR!$A:$A,0),4)),$C246*INDEX(SPPR!$E:$Z,MATCH($A246,SPPR!$A:$A,0),4),""),"")</f>
        <v/>
      </c>
      <c r="H246">
        <f>IFERROR(IF(ISNUMBER(INDEX(SPPR!$E:$Z,MATCH($A246,SPPR!$A:$A,0),5)),$C246*INDEX(SPPR!$E:$Z,MATCH($A246,SPPR!$A:$A,0),5),""),"")</f>
        <v/>
      </c>
      <c r="I246">
        <f>IFERROR(IF(ISNUMBER(INDEX(SPPR!$E:$Z,MATCH($A246,SPPR!$A:$A,0),6)),$C246*INDEX(SPPR!$E:$Z,MATCH($A246,SPPR!$A:$A,0),6),""),"")</f>
        <v/>
      </c>
      <c r="J246">
        <f>IFERROR(IF(ISNUMBER(INDEX(SPPR!$E:$Z,MATCH($A246,SPPR!$A:$A,0),7)),$C246*INDEX(SPPR!$E:$Z,MATCH($A246,SPPR!$A:$A,0),7),""),"")</f>
        <v/>
      </c>
      <c r="K246">
        <f>IFERROR(IF(ISNUMBER(INDEX(SPPR!$E:$Z,MATCH($A246,SPPR!$A:$A,0),8)),$C246*INDEX(SPPR!$E:$Z,MATCH($A246,SPPR!$A:$A,0),8),""),"")</f>
        <v/>
      </c>
      <c r="L246">
        <f>IFERROR(IF(ISNUMBER(INDEX(SPPR!$E:$Z,MATCH($A246,SPPR!$A:$A,0),9)),$C246*INDEX(SPPR!$E:$Z,MATCH($A246,SPPR!$A:$A,0),9),""),"")</f>
        <v/>
      </c>
      <c r="M246">
        <f>IFERROR(IF(ISNUMBER(INDEX(SPPR!$E:$Z,MATCH($A246,SPPR!$A:$A,0),10)),$C246*INDEX(SPPR!$E:$Z,MATCH($A246,SPPR!$A:$A,0),10),""),"")</f>
        <v/>
      </c>
      <c r="N246">
        <f>IFERROR(IF(ISNUMBER(INDEX(SPPR!$E:$Z,MATCH($A246,SPPR!$A:$A,0),11)),$C246*INDEX(SPPR!$E:$Z,MATCH($A246,SPPR!$A:$A,0),11),""),"")</f>
        <v/>
      </c>
      <c r="O246">
        <f>IFERROR(IF(ISNUMBER(INDEX(SPPR!$E:$Z,MATCH($A246,SPPR!$A:$A,0),12)),$C246*INDEX(SPPR!$E:$Z,MATCH($A246,SPPR!$A:$A,0),12),""),"")</f>
        <v/>
      </c>
      <c r="P246">
        <f>IFERROR(IF(ISNUMBER(INDEX(SPPR!$E:$Z,MATCH($A246,SPPR!$A:$A,0),13)),$C246*INDEX(SPPR!$E:$Z,MATCH($A246,SPPR!$A:$A,0),13),""),"")</f>
        <v/>
      </c>
      <c r="Q246">
        <f>IFERROR(IF(ISNUMBER(INDEX(SPPR!$E:$Z,MATCH($A246,SPPR!$A:$A,0),14)),$C246*INDEX(SPPR!$E:$Z,MATCH($A246,SPPR!$A:$A,0),14),""),"")</f>
        <v/>
      </c>
      <c r="R246">
        <f>IFERROR(IF(ISNUMBER(INDEX(SPPR!$E:$Z,MATCH($A246,SPPR!$A:$A,0),15)),$C246*INDEX(SPPR!$E:$Z,MATCH($A246,SPPR!$A:$A,0),15),""),"")</f>
        <v/>
      </c>
      <c r="S246">
        <f>IFERROR(IF(ISNUMBER(INDEX(SPPR!$E:$Z,MATCH($A246,SPPR!$A:$A,0),16)),$C246*INDEX(SPPR!$E:$Z,MATCH($A246,SPPR!$A:$A,0),16),""),"")</f>
        <v/>
      </c>
      <c r="T246">
        <f>IFERROR(IF(ISNUMBER(INDEX(SPPR!$E:$Z,MATCH($A246,SPPR!$A:$A,0),17)),$C246*INDEX(SPPR!$E:$Z,MATCH($A246,SPPR!$A:$A,0),17),""),"")</f>
        <v/>
      </c>
      <c r="U246">
        <f>IFERROR(IF(ISNUMBER(INDEX(SPPR!$E:$Z,MATCH($A246,SPPR!$A:$A,0),18)),$C246*INDEX(SPPR!$E:$Z,MATCH($A246,SPPR!$A:$A,0),18),""),"")</f>
        <v/>
      </c>
      <c r="V246">
        <f>IFERROR(IF(ISNUMBER(INDEX(SPPR!$E:$Z,MATCH($A246,SPPR!$A:$A,0),19)),$C246*INDEX(SPPR!$E:$Z,MATCH($A246,SPPR!$A:$A,0),19),""),"")</f>
        <v/>
      </c>
      <c r="W246">
        <f>IFERROR(IF(ISNUMBER(INDEX(SPPR!$E:$Z,MATCH($A246,SPPR!$A:$A,0),20)),$C246*INDEX(SPPR!$E:$Z,MATCH($A246,SPPR!$A:$A,0),20),""),"")</f>
        <v/>
      </c>
      <c r="X246">
        <f>IFERROR(IF(ISNUMBER(INDEX(SPPR!$E:$Z,MATCH($A246,SPPR!$A:$A,0),21)),$C246*INDEX(SPPR!$E:$Z,MATCH($A246,SPPR!$A:$A,0),21),""),"")</f>
        <v/>
      </c>
      <c r="Y246">
        <f>IFERROR(IF(ISNUMBER(INDEX(SPPR!$E:$Z,MATCH($A246,SPPR!$A:$A,0),22)),$C246*INDEX(SPPR!$E:$Z,MATCH($A246,SPPR!$A:$A,0),22),""),"")</f>
        <v/>
      </c>
    </row>
    <row r="247">
      <c r="A247" t="inlineStr">
        <is>
          <t>Alopias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IFERROR(IF(ISNUMBER(INDEX(SPPR!$E:$Z,MATCH($A247,SPPR!$A:$A,0),1)),$C247*INDEX(SPPR!$E:$Z,MATCH($A247,SPPR!$A:$A,0),1),""),"")</f>
        <v/>
      </c>
      <c r="E247">
        <f>IFERROR(IF(ISNUMBER(INDEX(SPPR!$E:$Z,MATCH($A247,SPPR!$A:$A,0),2)),$C247*INDEX(SPPR!$E:$Z,MATCH($A247,SPPR!$A:$A,0),2),""),"")</f>
        <v/>
      </c>
      <c r="F247">
        <f>IFERROR(IF(ISNUMBER(INDEX(SPPR!$E:$Z,MATCH($A247,SPPR!$A:$A,0),3)),$C247*INDEX(SPPR!$E:$Z,MATCH($A247,SPPR!$A:$A,0),3),""),"")</f>
        <v/>
      </c>
      <c r="G247">
        <f>IFERROR(IF(ISNUMBER(INDEX(SPPR!$E:$Z,MATCH($A247,SPPR!$A:$A,0),4)),$C247*INDEX(SPPR!$E:$Z,MATCH($A247,SPPR!$A:$A,0),4),""),"")</f>
        <v/>
      </c>
      <c r="H247">
        <f>IFERROR(IF(ISNUMBER(INDEX(SPPR!$E:$Z,MATCH($A247,SPPR!$A:$A,0),5)),$C247*INDEX(SPPR!$E:$Z,MATCH($A247,SPPR!$A:$A,0),5),""),"")</f>
        <v/>
      </c>
      <c r="I247">
        <f>IFERROR(IF(ISNUMBER(INDEX(SPPR!$E:$Z,MATCH($A247,SPPR!$A:$A,0),6)),$C247*INDEX(SPPR!$E:$Z,MATCH($A247,SPPR!$A:$A,0),6),""),"")</f>
        <v/>
      </c>
      <c r="J247">
        <f>IFERROR(IF(ISNUMBER(INDEX(SPPR!$E:$Z,MATCH($A247,SPPR!$A:$A,0),7)),$C247*INDEX(SPPR!$E:$Z,MATCH($A247,SPPR!$A:$A,0),7),""),"")</f>
        <v/>
      </c>
      <c r="K247">
        <f>IFERROR(IF(ISNUMBER(INDEX(SPPR!$E:$Z,MATCH($A247,SPPR!$A:$A,0),8)),$C247*INDEX(SPPR!$E:$Z,MATCH($A247,SPPR!$A:$A,0),8),""),"")</f>
        <v/>
      </c>
      <c r="L247">
        <f>IFERROR(IF(ISNUMBER(INDEX(SPPR!$E:$Z,MATCH($A247,SPPR!$A:$A,0),9)),$C247*INDEX(SPPR!$E:$Z,MATCH($A247,SPPR!$A:$A,0),9),""),"")</f>
        <v/>
      </c>
      <c r="M247">
        <f>IFERROR(IF(ISNUMBER(INDEX(SPPR!$E:$Z,MATCH($A247,SPPR!$A:$A,0),10)),$C247*INDEX(SPPR!$E:$Z,MATCH($A247,SPPR!$A:$A,0),10),""),"")</f>
        <v/>
      </c>
      <c r="N247">
        <f>IFERROR(IF(ISNUMBER(INDEX(SPPR!$E:$Z,MATCH($A247,SPPR!$A:$A,0),11)),$C247*INDEX(SPPR!$E:$Z,MATCH($A247,SPPR!$A:$A,0),11),""),"")</f>
        <v/>
      </c>
      <c r="O247">
        <f>IFERROR(IF(ISNUMBER(INDEX(SPPR!$E:$Z,MATCH($A247,SPPR!$A:$A,0),12)),$C247*INDEX(SPPR!$E:$Z,MATCH($A247,SPPR!$A:$A,0),12),""),"")</f>
        <v/>
      </c>
      <c r="P247">
        <f>IFERROR(IF(ISNUMBER(INDEX(SPPR!$E:$Z,MATCH($A247,SPPR!$A:$A,0),13)),$C247*INDEX(SPPR!$E:$Z,MATCH($A247,SPPR!$A:$A,0),13),""),"")</f>
        <v/>
      </c>
      <c r="Q247">
        <f>IFERROR(IF(ISNUMBER(INDEX(SPPR!$E:$Z,MATCH($A247,SPPR!$A:$A,0),14)),$C247*INDEX(SPPR!$E:$Z,MATCH($A247,SPPR!$A:$A,0),14),""),"")</f>
        <v/>
      </c>
      <c r="R247">
        <f>IFERROR(IF(ISNUMBER(INDEX(SPPR!$E:$Z,MATCH($A247,SPPR!$A:$A,0),15)),$C247*INDEX(SPPR!$E:$Z,MATCH($A247,SPPR!$A:$A,0),15),""),"")</f>
        <v/>
      </c>
      <c r="S247">
        <f>IFERROR(IF(ISNUMBER(INDEX(SPPR!$E:$Z,MATCH($A247,SPPR!$A:$A,0),16)),$C247*INDEX(SPPR!$E:$Z,MATCH($A247,SPPR!$A:$A,0),16),""),"")</f>
        <v/>
      </c>
      <c r="T247">
        <f>IFERROR(IF(ISNUMBER(INDEX(SPPR!$E:$Z,MATCH($A247,SPPR!$A:$A,0),17)),$C247*INDEX(SPPR!$E:$Z,MATCH($A247,SPPR!$A:$A,0),17),""),"")</f>
        <v/>
      </c>
      <c r="U247">
        <f>IFERROR(IF(ISNUMBER(INDEX(SPPR!$E:$Z,MATCH($A247,SPPR!$A:$A,0),18)),$C247*INDEX(SPPR!$E:$Z,MATCH($A247,SPPR!$A:$A,0),18),""),"")</f>
        <v/>
      </c>
      <c r="V247">
        <f>IFERROR(IF(ISNUMBER(INDEX(SPPR!$E:$Z,MATCH($A247,SPPR!$A:$A,0),19)),$C247*INDEX(SPPR!$E:$Z,MATCH($A247,SPPR!$A:$A,0),19),""),"")</f>
        <v/>
      </c>
      <c r="W247">
        <f>IFERROR(IF(ISNUMBER(INDEX(SPPR!$E:$Z,MATCH($A247,SPPR!$A:$A,0),20)),$C247*INDEX(SPPR!$E:$Z,MATCH($A247,SPPR!$A:$A,0),20),""),"")</f>
        <v/>
      </c>
      <c r="X247">
        <f>IFERROR(IF(ISNUMBER(INDEX(SPPR!$E:$Z,MATCH($A247,SPPR!$A:$A,0),21)),$C247*INDEX(SPPR!$E:$Z,MATCH($A247,SPPR!$A:$A,0),21),""),"")</f>
        <v/>
      </c>
      <c r="Y247">
        <f>IFERROR(IF(ISNUMBER(INDEX(SPPR!$E:$Z,MATCH($A247,SPPR!$A:$A,0),22)),$C247*INDEX(SPPR!$E:$Z,MATCH($A247,SPPR!$A:$A,0),22),""),"")</f>
        <v/>
      </c>
    </row>
    <row r="248">
      <c r="A248" t="inlineStr">
        <is>
          <t>Isurus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IFERROR(IF(ISNUMBER(INDEX(SPPR!$E:$Z,MATCH($A248,SPPR!$A:$A,0),1)),$C248*INDEX(SPPR!$E:$Z,MATCH($A248,SPPR!$A:$A,0),1),""),"")</f>
        <v/>
      </c>
      <c r="E248">
        <f>IFERROR(IF(ISNUMBER(INDEX(SPPR!$E:$Z,MATCH($A248,SPPR!$A:$A,0),2)),$C248*INDEX(SPPR!$E:$Z,MATCH($A248,SPPR!$A:$A,0),2),""),"")</f>
        <v/>
      </c>
      <c r="F248">
        <f>IFERROR(IF(ISNUMBER(INDEX(SPPR!$E:$Z,MATCH($A248,SPPR!$A:$A,0),3)),$C248*INDEX(SPPR!$E:$Z,MATCH($A248,SPPR!$A:$A,0),3),""),"")</f>
        <v/>
      </c>
      <c r="G248">
        <f>IFERROR(IF(ISNUMBER(INDEX(SPPR!$E:$Z,MATCH($A248,SPPR!$A:$A,0),4)),$C248*INDEX(SPPR!$E:$Z,MATCH($A248,SPPR!$A:$A,0),4),""),"")</f>
        <v/>
      </c>
      <c r="H248">
        <f>IFERROR(IF(ISNUMBER(INDEX(SPPR!$E:$Z,MATCH($A248,SPPR!$A:$A,0),5)),$C248*INDEX(SPPR!$E:$Z,MATCH($A248,SPPR!$A:$A,0),5),""),"")</f>
        <v/>
      </c>
      <c r="I248">
        <f>IFERROR(IF(ISNUMBER(INDEX(SPPR!$E:$Z,MATCH($A248,SPPR!$A:$A,0),6)),$C248*INDEX(SPPR!$E:$Z,MATCH($A248,SPPR!$A:$A,0),6),""),"")</f>
        <v/>
      </c>
      <c r="J248">
        <f>IFERROR(IF(ISNUMBER(INDEX(SPPR!$E:$Z,MATCH($A248,SPPR!$A:$A,0),7)),$C248*INDEX(SPPR!$E:$Z,MATCH($A248,SPPR!$A:$A,0),7),""),"")</f>
        <v/>
      </c>
      <c r="K248">
        <f>IFERROR(IF(ISNUMBER(INDEX(SPPR!$E:$Z,MATCH($A248,SPPR!$A:$A,0),8)),$C248*INDEX(SPPR!$E:$Z,MATCH($A248,SPPR!$A:$A,0),8),""),"")</f>
        <v/>
      </c>
      <c r="L248">
        <f>IFERROR(IF(ISNUMBER(INDEX(SPPR!$E:$Z,MATCH($A248,SPPR!$A:$A,0),9)),$C248*INDEX(SPPR!$E:$Z,MATCH($A248,SPPR!$A:$A,0),9),""),"")</f>
        <v/>
      </c>
      <c r="M248">
        <f>IFERROR(IF(ISNUMBER(INDEX(SPPR!$E:$Z,MATCH($A248,SPPR!$A:$A,0),10)),$C248*INDEX(SPPR!$E:$Z,MATCH($A248,SPPR!$A:$A,0),10),""),"")</f>
        <v/>
      </c>
      <c r="N248">
        <f>IFERROR(IF(ISNUMBER(INDEX(SPPR!$E:$Z,MATCH($A248,SPPR!$A:$A,0),11)),$C248*INDEX(SPPR!$E:$Z,MATCH($A248,SPPR!$A:$A,0),11),""),"")</f>
        <v/>
      </c>
      <c r="O248">
        <f>IFERROR(IF(ISNUMBER(INDEX(SPPR!$E:$Z,MATCH($A248,SPPR!$A:$A,0),12)),$C248*INDEX(SPPR!$E:$Z,MATCH($A248,SPPR!$A:$A,0),12),""),"")</f>
        <v/>
      </c>
      <c r="P248">
        <f>IFERROR(IF(ISNUMBER(INDEX(SPPR!$E:$Z,MATCH($A248,SPPR!$A:$A,0),13)),$C248*INDEX(SPPR!$E:$Z,MATCH($A248,SPPR!$A:$A,0),13),""),"")</f>
        <v/>
      </c>
      <c r="Q248">
        <f>IFERROR(IF(ISNUMBER(INDEX(SPPR!$E:$Z,MATCH($A248,SPPR!$A:$A,0),14)),$C248*INDEX(SPPR!$E:$Z,MATCH($A248,SPPR!$A:$A,0),14),""),"")</f>
        <v/>
      </c>
      <c r="R248">
        <f>IFERROR(IF(ISNUMBER(INDEX(SPPR!$E:$Z,MATCH($A248,SPPR!$A:$A,0),15)),$C248*INDEX(SPPR!$E:$Z,MATCH($A248,SPPR!$A:$A,0),15),""),"")</f>
        <v/>
      </c>
      <c r="S248">
        <f>IFERROR(IF(ISNUMBER(INDEX(SPPR!$E:$Z,MATCH($A248,SPPR!$A:$A,0),16)),$C248*INDEX(SPPR!$E:$Z,MATCH($A248,SPPR!$A:$A,0),16),""),"")</f>
        <v/>
      </c>
      <c r="T248">
        <f>IFERROR(IF(ISNUMBER(INDEX(SPPR!$E:$Z,MATCH($A248,SPPR!$A:$A,0),17)),$C248*INDEX(SPPR!$E:$Z,MATCH($A248,SPPR!$A:$A,0),17),""),"")</f>
        <v/>
      </c>
      <c r="U248">
        <f>IFERROR(IF(ISNUMBER(INDEX(SPPR!$E:$Z,MATCH($A248,SPPR!$A:$A,0),18)),$C248*INDEX(SPPR!$E:$Z,MATCH($A248,SPPR!$A:$A,0),18),""),"")</f>
        <v/>
      </c>
      <c r="V248">
        <f>IFERROR(IF(ISNUMBER(INDEX(SPPR!$E:$Z,MATCH($A248,SPPR!$A:$A,0),19)),$C248*INDEX(SPPR!$E:$Z,MATCH($A248,SPPR!$A:$A,0),19),""),"")</f>
        <v/>
      </c>
      <c r="W248">
        <f>IFERROR(IF(ISNUMBER(INDEX(SPPR!$E:$Z,MATCH($A248,SPPR!$A:$A,0),20)),$C248*INDEX(SPPR!$E:$Z,MATCH($A248,SPPR!$A:$A,0),20),""),"")</f>
        <v/>
      </c>
      <c r="X248">
        <f>IFERROR(IF(ISNUMBER(INDEX(SPPR!$E:$Z,MATCH($A248,SPPR!$A:$A,0),21)),$C248*INDEX(SPPR!$E:$Z,MATCH($A248,SPPR!$A:$A,0),21),""),"")</f>
        <v/>
      </c>
      <c r="Y248">
        <f>IFERROR(IF(ISNUMBER(INDEX(SPPR!$E:$Z,MATCH($A248,SPPR!$A:$A,0),22)),$C248*INDEX(SPPR!$E:$Z,MATCH($A248,SPPR!$A:$A,0),22),""),"")</f>
        <v/>
      </c>
    </row>
    <row r="249">
      <c r="A249" t="inlineStr">
        <is>
          <t>Trochus niloticus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IFERROR(IF(ISNUMBER(INDEX(SPPR!$E:$Z,MATCH($A249,SPPR!$A:$A,0),1)),$C249*INDEX(SPPR!$E:$Z,MATCH($A249,SPPR!$A:$A,0),1),""),"")</f>
        <v/>
      </c>
      <c r="E249">
        <f>IFERROR(IF(ISNUMBER(INDEX(SPPR!$E:$Z,MATCH($A249,SPPR!$A:$A,0),2)),$C249*INDEX(SPPR!$E:$Z,MATCH($A249,SPPR!$A:$A,0),2),""),"")</f>
        <v/>
      </c>
      <c r="F249">
        <f>IFERROR(IF(ISNUMBER(INDEX(SPPR!$E:$Z,MATCH($A249,SPPR!$A:$A,0),3)),$C249*INDEX(SPPR!$E:$Z,MATCH($A249,SPPR!$A:$A,0),3),""),"")</f>
        <v/>
      </c>
      <c r="G249">
        <f>IFERROR(IF(ISNUMBER(INDEX(SPPR!$E:$Z,MATCH($A249,SPPR!$A:$A,0),4)),$C249*INDEX(SPPR!$E:$Z,MATCH($A249,SPPR!$A:$A,0),4),""),"")</f>
        <v/>
      </c>
      <c r="H249">
        <f>IFERROR(IF(ISNUMBER(INDEX(SPPR!$E:$Z,MATCH($A249,SPPR!$A:$A,0),5)),$C249*INDEX(SPPR!$E:$Z,MATCH($A249,SPPR!$A:$A,0),5),""),"")</f>
        <v/>
      </c>
      <c r="I249">
        <f>IFERROR(IF(ISNUMBER(INDEX(SPPR!$E:$Z,MATCH($A249,SPPR!$A:$A,0),6)),$C249*INDEX(SPPR!$E:$Z,MATCH($A249,SPPR!$A:$A,0),6),""),"")</f>
        <v/>
      </c>
      <c r="J249">
        <f>IFERROR(IF(ISNUMBER(INDEX(SPPR!$E:$Z,MATCH($A249,SPPR!$A:$A,0),7)),$C249*INDEX(SPPR!$E:$Z,MATCH($A249,SPPR!$A:$A,0),7),""),"")</f>
        <v/>
      </c>
      <c r="K249">
        <f>IFERROR(IF(ISNUMBER(INDEX(SPPR!$E:$Z,MATCH($A249,SPPR!$A:$A,0),8)),$C249*INDEX(SPPR!$E:$Z,MATCH($A249,SPPR!$A:$A,0),8),""),"")</f>
        <v/>
      </c>
      <c r="L249">
        <f>IFERROR(IF(ISNUMBER(INDEX(SPPR!$E:$Z,MATCH($A249,SPPR!$A:$A,0),9)),$C249*INDEX(SPPR!$E:$Z,MATCH($A249,SPPR!$A:$A,0),9),""),"")</f>
        <v/>
      </c>
      <c r="M249">
        <f>IFERROR(IF(ISNUMBER(INDEX(SPPR!$E:$Z,MATCH($A249,SPPR!$A:$A,0),10)),$C249*INDEX(SPPR!$E:$Z,MATCH($A249,SPPR!$A:$A,0),10),""),"")</f>
        <v/>
      </c>
      <c r="N249">
        <f>IFERROR(IF(ISNUMBER(INDEX(SPPR!$E:$Z,MATCH($A249,SPPR!$A:$A,0),11)),$C249*INDEX(SPPR!$E:$Z,MATCH($A249,SPPR!$A:$A,0),11),""),"")</f>
        <v/>
      </c>
      <c r="O249">
        <f>IFERROR(IF(ISNUMBER(INDEX(SPPR!$E:$Z,MATCH($A249,SPPR!$A:$A,0),12)),$C249*INDEX(SPPR!$E:$Z,MATCH($A249,SPPR!$A:$A,0),12),""),"")</f>
        <v/>
      </c>
      <c r="P249">
        <f>IFERROR(IF(ISNUMBER(INDEX(SPPR!$E:$Z,MATCH($A249,SPPR!$A:$A,0),13)),$C249*INDEX(SPPR!$E:$Z,MATCH($A249,SPPR!$A:$A,0),13),""),"")</f>
        <v/>
      </c>
      <c r="Q249">
        <f>IFERROR(IF(ISNUMBER(INDEX(SPPR!$E:$Z,MATCH($A249,SPPR!$A:$A,0),14)),$C249*INDEX(SPPR!$E:$Z,MATCH($A249,SPPR!$A:$A,0),14),""),"")</f>
        <v/>
      </c>
      <c r="R249">
        <f>IFERROR(IF(ISNUMBER(INDEX(SPPR!$E:$Z,MATCH($A249,SPPR!$A:$A,0),15)),$C249*INDEX(SPPR!$E:$Z,MATCH($A249,SPPR!$A:$A,0),15),""),"")</f>
        <v/>
      </c>
      <c r="S249">
        <f>IFERROR(IF(ISNUMBER(INDEX(SPPR!$E:$Z,MATCH($A249,SPPR!$A:$A,0),16)),$C249*INDEX(SPPR!$E:$Z,MATCH($A249,SPPR!$A:$A,0),16),""),"")</f>
        <v/>
      </c>
      <c r="T249">
        <f>IFERROR(IF(ISNUMBER(INDEX(SPPR!$E:$Z,MATCH($A249,SPPR!$A:$A,0),17)),$C249*INDEX(SPPR!$E:$Z,MATCH($A249,SPPR!$A:$A,0),17),""),"")</f>
        <v/>
      </c>
      <c r="U249">
        <f>IFERROR(IF(ISNUMBER(INDEX(SPPR!$E:$Z,MATCH($A249,SPPR!$A:$A,0),18)),$C249*INDEX(SPPR!$E:$Z,MATCH($A249,SPPR!$A:$A,0),18),""),"")</f>
        <v/>
      </c>
      <c r="V249">
        <f>IFERROR(IF(ISNUMBER(INDEX(SPPR!$E:$Z,MATCH($A249,SPPR!$A:$A,0),19)),$C249*INDEX(SPPR!$E:$Z,MATCH($A249,SPPR!$A:$A,0),19),""),"")</f>
        <v/>
      </c>
      <c r="W249">
        <f>IFERROR(IF(ISNUMBER(INDEX(SPPR!$E:$Z,MATCH($A249,SPPR!$A:$A,0),20)),$C249*INDEX(SPPR!$E:$Z,MATCH($A249,SPPR!$A:$A,0),20),""),"")</f>
        <v/>
      </c>
      <c r="X249">
        <f>IFERROR(IF(ISNUMBER(INDEX(SPPR!$E:$Z,MATCH($A249,SPPR!$A:$A,0),21)),$C249*INDEX(SPPR!$E:$Z,MATCH($A249,SPPR!$A:$A,0),21),""),"")</f>
        <v/>
      </c>
      <c r="Y249">
        <f>IFERROR(IF(ISNUMBER(INDEX(SPPR!$E:$Z,MATCH($A249,SPPR!$A:$A,0),22)),$C249*INDEX(SPPR!$E:$Z,MATCH($A249,SPPR!$A:$A,0),22),""),"")</f>
        <v/>
      </c>
    </row>
    <row r="250">
      <c r="A250" t="inlineStr">
        <is>
          <t>Congridae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IFERROR(IF(ISNUMBER(INDEX(SPPR!$E:$Z,MATCH($A250,SPPR!$A:$A,0),1)),$C250*INDEX(SPPR!$E:$Z,MATCH($A250,SPPR!$A:$A,0),1),""),"")</f>
        <v/>
      </c>
      <c r="E250">
        <f>IFERROR(IF(ISNUMBER(INDEX(SPPR!$E:$Z,MATCH($A250,SPPR!$A:$A,0),2)),$C250*INDEX(SPPR!$E:$Z,MATCH($A250,SPPR!$A:$A,0),2),""),"")</f>
        <v/>
      </c>
      <c r="F250">
        <f>IFERROR(IF(ISNUMBER(INDEX(SPPR!$E:$Z,MATCH($A250,SPPR!$A:$A,0),3)),$C250*INDEX(SPPR!$E:$Z,MATCH($A250,SPPR!$A:$A,0),3),""),"")</f>
        <v/>
      </c>
      <c r="G250">
        <f>IFERROR(IF(ISNUMBER(INDEX(SPPR!$E:$Z,MATCH($A250,SPPR!$A:$A,0),4)),$C250*INDEX(SPPR!$E:$Z,MATCH($A250,SPPR!$A:$A,0),4),""),"")</f>
        <v/>
      </c>
      <c r="H250">
        <f>IFERROR(IF(ISNUMBER(INDEX(SPPR!$E:$Z,MATCH($A250,SPPR!$A:$A,0),5)),$C250*INDEX(SPPR!$E:$Z,MATCH($A250,SPPR!$A:$A,0),5),""),"")</f>
        <v/>
      </c>
      <c r="I250">
        <f>IFERROR(IF(ISNUMBER(INDEX(SPPR!$E:$Z,MATCH($A250,SPPR!$A:$A,0),6)),$C250*INDEX(SPPR!$E:$Z,MATCH($A250,SPPR!$A:$A,0),6),""),"")</f>
        <v/>
      </c>
      <c r="J250">
        <f>IFERROR(IF(ISNUMBER(INDEX(SPPR!$E:$Z,MATCH($A250,SPPR!$A:$A,0),7)),$C250*INDEX(SPPR!$E:$Z,MATCH($A250,SPPR!$A:$A,0),7),""),"")</f>
        <v/>
      </c>
      <c r="K250">
        <f>IFERROR(IF(ISNUMBER(INDEX(SPPR!$E:$Z,MATCH($A250,SPPR!$A:$A,0),8)),$C250*INDEX(SPPR!$E:$Z,MATCH($A250,SPPR!$A:$A,0),8),""),"")</f>
        <v/>
      </c>
      <c r="L250">
        <f>IFERROR(IF(ISNUMBER(INDEX(SPPR!$E:$Z,MATCH($A250,SPPR!$A:$A,0),9)),$C250*INDEX(SPPR!$E:$Z,MATCH($A250,SPPR!$A:$A,0),9),""),"")</f>
        <v/>
      </c>
      <c r="M250">
        <f>IFERROR(IF(ISNUMBER(INDEX(SPPR!$E:$Z,MATCH($A250,SPPR!$A:$A,0),10)),$C250*INDEX(SPPR!$E:$Z,MATCH($A250,SPPR!$A:$A,0),10),""),"")</f>
        <v/>
      </c>
      <c r="N250">
        <f>IFERROR(IF(ISNUMBER(INDEX(SPPR!$E:$Z,MATCH($A250,SPPR!$A:$A,0),11)),$C250*INDEX(SPPR!$E:$Z,MATCH($A250,SPPR!$A:$A,0),11),""),"")</f>
        <v/>
      </c>
      <c r="O250">
        <f>IFERROR(IF(ISNUMBER(INDEX(SPPR!$E:$Z,MATCH($A250,SPPR!$A:$A,0),12)),$C250*INDEX(SPPR!$E:$Z,MATCH($A250,SPPR!$A:$A,0),12),""),"")</f>
        <v/>
      </c>
      <c r="P250">
        <f>IFERROR(IF(ISNUMBER(INDEX(SPPR!$E:$Z,MATCH($A250,SPPR!$A:$A,0),13)),$C250*INDEX(SPPR!$E:$Z,MATCH($A250,SPPR!$A:$A,0),13),""),"")</f>
        <v/>
      </c>
      <c r="Q250">
        <f>IFERROR(IF(ISNUMBER(INDEX(SPPR!$E:$Z,MATCH($A250,SPPR!$A:$A,0),14)),$C250*INDEX(SPPR!$E:$Z,MATCH($A250,SPPR!$A:$A,0),14),""),"")</f>
        <v/>
      </c>
      <c r="R250">
        <f>IFERROR(IF(ISNUMBER(INDEX(SPPR!$E:$Z,MATCH($A250,SPPR!$A:$A,0),15)),$C250*INDEX(SPPR!$E:$Z,MATCH($A250,SPPR!$A:$A,0),15),""),"")</f>
        <v/>
      </c>
      <c r="S250">
        <f>IFERROR(IF(ISNUMBER(INDEX(SPPR!$E:$Z,MATCH($A250,SPPR!$A:$A,0),16)),$C250*INDEX(SPPR!$E:$Z,MATCH($A250,SPPR!$A:$A,0),16),""),"")</f>
        <v/>
      </c>
      <c r="T250">
        <f>IFERROR(IF(ISNUMBER(INDEX(SPPR!$E:$Z,MATCH($A250,SPPR!$A:$A,0),17)),$C250*INDEX(SPPR!$E:$Z,MATCH($A250,SPPR!$A:$A,0),17),""),"")</f>
        <v/>
      </c>
      <c r="U250">
        <f>IFERROR(IF(ISNUMBER(INDEX(SPPR!$E:$Z,MATCH($A250,SPPR!$A:$A,0),18)),$C250*INDEX(SPPR!$E:$Z,MATCH($A250,SPPR!$A:$A,0),18),""),"")</f>
        <v/>
      </c>
      <c r="V250">
        <f>IFERROR(IF(ISNUMBER(INDEX(SPPR!$E:$Z,MATCH($A250,SPPR!$A:$A,0),19)),$C250*INDEX(SPPR!$E:$Z,MATCH($A250,SPPR!$A:$A,0),19),""),"")</f>
        <v/>
      </c>
      <c r="W250">
        <f>IFERROR(IF(ISNUMBER(INDEX(SPPR!$E:$Z,MATCH($A250,SPPR!$A:$A,0),20)),$C250*INDEX(SPPR!$E:$Z,MATCH($A250,SPPR!$A:$A,0),20),""),"")</f>
        <v/>
      </c>
      <c r="X250">
        <f>IFERROR(IF(ISNUMBER(INDEX(SPPR!$E:$Z,MATCH($A250,SPPR!$A:$A,0),21)),$C250*INDEX(SPPR!$E:$Z,MATCH($A250,SPPR!$A:$A,0),21),""),"")</f>
        <v/>
      </c>
      <c r="Y250">
        <f>IFERROR(IF(ISNUMBER(INDEX(SPPR!$E:$Z,MATCH($A250,SPPR!$A:$A,0),22)),$C250*INDEX(SPPR!$E:$Z,MATCH($A250,SPPR!$A:$A,0),22),""),"")</f>
        <v/>
      </c>
    </row>
    <row r="251">
      <c r="A251" t="inlineStr">
        <is>
          <t>Pomadasys argenteus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IFERROR(IF(ISNUMBER(INDEX(SPPR!$E:$Z,MATCH($A251,SPPR!$A:$A,0),1)),$C251*INDEX(SPPR!$E:$Z,MATCH($A251,SPPR!$A:$A,0),1),""),"")</f>
        <v/>
      </c>
      <c r="E251">
        <f>IFERROR(IF(ISNUMBER(INDEX(SPPR!$E:$Z,MATCH($A251,SPPR!$A:$A,0),2)),$C251*INDEX(SPPR!$E:$Z,MATCH($A251,SPPR!$A:$A,0),2),""),"")</f>
        <v/>
      </c>
      <c r="F251">
        <f>IFERROR(IF(ISNUMBER(INDEX(SPPR!$E:$Z,MATCH($A251,SPPR!$A:$A,0),3)),$C251*INDEX(SPPR!$E:$Z,MATCH($A251,SPPR!$A:$A,0),3),""),"")</f>
        <v/>
      </c>
      <c r="G251">
        <f>IFERROR(IF(ISNUMBER(INDEX(SPPR!$E:$Z,MATCH($A251,SPPR!$A:$A,0),4)),$C251*INDEX(SPPR!$E:$Z,MATCH($A251,SPPR!$A:$A,0),4),""),"")</f>
        <v/>
      </c>
      <c r="H251">
        <f>IFERROR(IF(ISNUMBER(INDEX(SPPR!$E:$Z,MATCH($A251,SPPR!$A:$A,0),5)),$C251*INDEX(SPPR!$E:$Z,MATCH($A251,SPPR!$A:$A,0),5),""),"")</f>
        <v/>
      </c>
      <c r="I251">
        <f>IFERROR(IF(ISNUMBER(INDEX(SPPR!$E:$Z,MATCH($A251,SPPR!$A:$A,0),6)),$C251*INDEX(SPPR!$E:$Z,MATCH($A251,SPPR!$A:$A,0),6),""),"")</f>
        <v/>
      </c>
      <c r="J251">
        <f>IFERROR(IF(ISNUMBER(INDEX(SPPR!$E:$Z,MATCH($A251,SPPR!$A:$A,0),7)),$C251*INDEX(SPPR!$E:$Z,MATCH($A251,SPPR!$A:$A,0),7),""),"")</f>
        <v/>
      </c>
      <c r="K251">
        <f>IFERROR(IF(ISNUMBER(INDEX(SPPR!$E:$Z,MATCH($A251,SPPR!$A:$A,0),8)),$C251*INDEX(SPPR!$E:$Z,MATCH($A251,SPPR!$A:$A,0),8),""),"")</f>
        <v/>
      </c>
      <c r="L251">
        <f>IFERROR(IF(ISNUMBER(INDEX(SPPR!$E:$Z,MATCH($A251,SPPR!$A:$A,0),9)),$C251*INDEX(SPPR!$E:$Z,MATCH($A251,SPPR!$A:$A,0),9),""),"")</f>
        <v/>
      </c>
      <c r="M251">
        <f>IFERROR(IF(ISNUMBER(INDEX(SPPR!$E:$Z,MATCH($A251,SPPR!$A:$A,0),10)),$C251*INDEX(SPPR!$E:$Z,MATCH($A251,SPPR!$A:$A,0),10),""),"")</f>
        <v/>
      </c>
      <c r="N251">
        <f>IFERROR(IF(ISNUMBER(INDEX(SPPR!$E:$Z,MATCH($A251,SPPR!$A:$A,0),11)),$C251*INDEX(SPPR!$E:$Z,MATCH($A251,SPPR!$A:$A,0),11),""),"")</f>
        <v/>
      </c>
      <c r="O251">
        <f>IFERROR(IF(ISNUMBER(INDEX(SPPR!$E:$Z,MATCH($A251,SPPR!$A:$A,0),12)),$C251*INDEX(SPPR!$E:$Z,MATCH($A251,SPPR!$A:$A,0),12),""),"")</f>
        <v/>
      </c>
      <c r="P251">
        <f>IFERROR(IF(ISNUMBER(INDEX(SPPR!$E:$Z,MATCH($A251,SPPR!$A:$A,0),13)),$C251*INDEX(SPPR!$E:$Z,MATCH($A251,SPPR!$A:$A,0),13),""),"")</f>
        <v/>
      </c>
      <c r="Q251">
        <f>IFERROR(IF(ISNUMBER(INDEX(SPPR!$E:$Z,MATCH($A251,SPPR!$A:$A,0),14)),$C251*INDEX(SPPR!$E:$Z,MATCH($A251,SPPR!$A:$A,0),14),""),"")</f>
        <v/>
      </c>
      <c r="R251">
        <f>IFERROR(IF(ISNUMBER(INDEX(SPPR!$E:$Z,MATCH($A251,SPPR!$A:$A,0),15)),$C251*INDEX(SPPR!$E:$Z,MATCH($A251,SPPR!$A:$A,0),15),""),"")</f>
        <v/>
      </c>
      <c r="S251">
        <f>IFERROR(IF(ISNUMBER(INDEX(SPPR!$E:$Z,MATCH($A251,SPPR!$A:$A,0),16)),$C251*INDEX(SPPR!$E:$Z,MATCH($A251,SPPR!$A:$A,0),16),""),"")</f>
        <v/>
      </c>
      <c r="T251">
        <f>IFERROR(IF(ISNUMBER(INDEX(SPPR!$E:$Z,MATCH($A251,SPPR!$A:$A,0),17)),$C251*INDEX(SPPR!$E:$Z,MATCH($A251,SPPR!$A:$A,0),17),""),"")</f>
        <v/>
      </c>
      <c r="U251">
        <f>IFERROR(IF(ISNUMBER(INDEX(SPPR!$E:$Z,MATCH($A251,SPPR!$A:$A,0),18)),$C251*INDEX(SPPR!$E:$Z,MATCH($A251,SPPR!$A:$A,0),18),""),"")</f>
        <v/>
      </c>
      <c r="V251">
        <f>IFERROR(IF(ISNUMBER(INDEX(SPPR!$E:$Z,MATCH($A251,SPPR!$A:$A,0),19)),$C251*INDEX(SPPR!$E:$Z,MATCH($A251,SPPR!$A:$A,0),19),""),"")</f>
        <v/>
      </c>
      <c r="W251">
        <f>IFERROR(IF(ISNUMBER(INDEX(SPPR!$E:$Z,MATCH($A251,SPPR!$A:$A,0),20)),$C251*INDEX(SPPR!$E:$Z,MATCH($A251,SPPR!$A:$A,0),20),""),"")</f>
        <v/>
      </c>
      <c r="X251">
        <f>IFERROR(IF(ISNUMBER(INDEX(SPPR!$E:$Z,MATCH($A251,SPPR!$A:$A,0),21)),$C251*INDEX(SPPR!$E:$Z,MATCH($A251,SPPR!$A:$A,0),21),""),"")</f>
        <v/>
      </c>
      <c r="Y251">
        <f>IFERROR(IF(ISNUMBER(INDEX(SPPR!$E:$Z,MATCH($A251,SPPR!$A:$A,0),22)),$C251*INDEX(SPPR!$E:$Z,MATCH($A251,SPPR!$A:$A,0),22),""),"")</f>
        <v/>
      </c>
    </row>
    <row r="252">
      <c r="A252" t="inlineStr">
        <is>
          <t>Seriola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IFERROR(IF(ISNUMBER(INDEX(SPPR!$E:$Z,MATCH($A252,SPPR!$A:$A,0),1)),$C252*INDEX(SPPR!$E:$Z,MATCH($A252,SPPR!$A:$A,0),1),""),"")</f>
        <v/>
      </c>
      <c r="E252">
        <f>IFERROR(IF(ISNUMBER(INDEX(SPPR!$E:$Z,MATCH($A252,SPPR!$A:$A,0),2)),$C252*INDEX(SPPR!$E:$Z,MATCH($A252,SPPR!$A:$A,0),2),""),"")</f>
        <v/>
      </c>
      <c r="F252">
        <f>IFERROR(IF(ISNUMBER(INDEX(SPPR!$E:$Z,MATCH($A252,SPPR!$A:$A,0),3)),$C252*INDEX(SPPR!$E:$Z,MATCH($A252,SPPR!$A:$A,0),3),""),"")</f>
        <v/>
      </c>
      <c r="G252">
        <f>IFERROR(IF(ISNUMBER(INDEX(SPPR!$E:$Z,MATCH($A252,SPPR!$A:$A,0),4)),$C252*INDEX(SPPR!$E:$Z,MATCH($A252,SPPR!$A:$A,0),4),""),"")</f>
        <v/>
      </c>
      <c r="H252">
        <f>IFERROR(IF(ISNUMBER(INDEX(SPPR!$E:$Z,MATCH($A252,SPPR!$A:$A,0),5)),$C252*INDEX(SPPR!$E:$Z,MATCH($A252,SPPR!$A:$A,0),5),""),"")</f>
        <v/>
      </c>
      <c r="I252">
        <f>IFERROR(IF(ISNUMBER(INDEX(SPPR!$E:$Z,MATCH($A252,SPPR!$A:$A,0),6)),$C252*INDEX(SPPR!$E:$Z,MATCH($A252,SPPR!$A:$A,0),6),""),"")</f>
        <v/>
      </c>
      <c r="J252">
        <f>IFERROR(IF(ISNUMBER(INDEX(SPPR!$E:$Z,MATCH($A252,SPPR!$A:$A,0),7)),$C252*INDEX(SPPR!$E:$Z,MATCH($A252,SPPR!$A:$A,0),7),""),"")</f>
        <v/>
      </c>
      <c r="K252">
        <f>IFERROR(IF(ISNUMBER(INDEX(SPPR!$E:$Z,MATCH($A252,SPPR!$A:$A,0),8)),$C252*INDEX(SPPR!$E:$Z,MATCH($A252,SPPR!$A:$A,0),8),""),"")</f>
        <v/>
      </c>
      <c r="L252">
        <f>IFERROR(IF(ISNUMBER(INDEX(SPPR!$E:$Z,MATCH($A252,SPPR!$A:$A,0),9)),$C252*INDEX(SPPR!$E:$Z,MATCH($A252,SPPR!$A:$A,0),9),""),"")</f>
        <v/>
      </c>
      <c r="M252">
        <f>IFERROR(IF(ISNUMBER(INDEX(SPPR!$E:$Z,MATCH($A252,SPPR!$A:$A,0),10)),$C252*INDEX(SPPR!$E:$Z,MATCH($A252,SPPR!$A:$A,0),10),""),"")</f>
        <v/>
      </c>
      <c r="N252">
        <f>IFERROR(IF(ISNUMBER(INDEX(SPPR!$E:$Z,MATCH($A252,SPPR!$A:$A,0),11)),$C252*INDEX(SPPR!$E:$Z,MATCH($A252,SPPR!$A:$A,0),11),""),"")</f>
        <v/>
      </c>
      <c r="O252">
        <f>IFERROR(IF(ISNUMBER(INDEX(SPPR!$E:$Z,MATCH($A252,SPPR!$A:$A,0),12)),$C252*INDEX(SPPR!$E:$Z,MATCH($A252,SPPR!$A:$A,0),12),""),"")</f>
        <v/>
      </c>
      <c r="P252">
        <f>IFERROR(IF(ISNUMBER(INDEX(SPPR!$E:$Z,MATCH($A252,SPPR!$A:$A,0),13)),$C252*INDEX(SPPR!$E:$Z,MATCH($A252,SPPR!$A:$A,0),13),""),"")</f>
        <v/>
      </c>
      <c r="Q252">
        <f>IFERROR(IF(ISNUMBER(INDEX(SPPR!$E:$Z,MATCH($A252,SPPR!$A:$A,0),14)),$C252*INDEX(SPPR!$E:$Z,MATCH($A252,SPPR!$A:$A,0),14),""),"")</f>
        <v/>
      </c>
      <c r="R252">
        <f>IFERROR(IF(ISNUMBER(INDEX(SPPR!$E:$Z,MATCH($A252,SPPR!$A:$A,0),15)),$C252*INDEX(SPPR!$E:$Z,MATCH($A252,SPPR!$A:$A,0),15),""),"")</f>
        <v/>
      </c>
      <c r="S252">
        <f>IFERROR(IF(ISNUMBER(INDEX(SPPR!$E:$Z,MATCH($A252,SPPR!$A:$A,0),16)),$C252*INDEX(SPPR!$E:$Z,MATCH($A252,SPPR!$A:$A,0),16),""),"")</f>
        <v/>
      </c>
      <c r="T252">
        <f>IFERROR(IF(ISNUMBER(INDEX(SPPR!$E:$Z,MATCH($A252,SPPR!$A:$A,0),17)),$C252*INDEX(SPPR!$E:$Z,MATCH($A252,SPPR!$A:$A,0),17),""),"")</f>
        <v/>
      </c>
      <c r="U252">
        <f>IFERROR(IF(ISNUMBER(INDEX(SPPR!$E:$Z,MATCH($A252,SPPR!$A:$A,0),18)),$C252*INDEX(SPPR!$E:$Z,MATCH($A252,SPPR!$A:$A,0),18),""),"")</f>
        <v/>
      </c>
      <c r="V252">
        <f>IFERROR(IF(ISNUMBER(INDEX(SPPR!$E:$Z,MATCH($A252,SPPR!$A:$A,0),19)),$C252*INDEX(SPPR!$E:$Z,MATCH($A252,SPPR!$A:$A,0),19),""),"")</f>
        <v/>
      </c>
      <c r="W252">
        <f>IFERROR(IF(ISNUMBER(INDEX(SPPR!$E:$Z,MATCH($A252,SPPR!$A:$A,0),20)),$C252*INDEX(SPPR!$E:$Z,MATCH($A252,SPPR!$A:$A,0),20),""),"")</f>
        <v/>
      </c>
      <c r="X252">
        <f>IFERROR(IF(ISNUMBER(INDEX(SPPR!$E:$Z,MATCH($A252,SPPR!$A:$A,0),21)),$C252*INDEX(SPPR!$E:$Z,MATCH($A252,SPPR!$A:$A,0),21),""),"")</f>
        <v/>
      </c>
      <c r="Y252">
        <f>IFERROR(IF(ISNUMBER(INDEX(SPPR!$E:$Z,MATCH($A252,SPPR!$A:$A,0),22)),$C252*INDEX(SPPR!$E:$Z,MATCH($A252,SPPR!$A:$A,0),22),""),"")</f>
        <v/>
      </c>
    </row>
    <row r="253">
      <c r="A253" t="inlineStr">
        <is>
          <t>Sphyrnidae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IFERROR(IF(ISNUMBER(INDEX(SPPR!$E:$Z,MATCH($A253,SPPR!$A:$A,0),1)),$C253*INDEX(SPPR!$E:$Z,MATCH($A253,SPPR!$A:$A,0),1),""),"")</f>
        <v/>
      </c>
      <c r="E253">
        <f>IFERROR(IF(ISNUMBER(INDEX(SPPR!$E:$Z,MATCH($A253,SPPR!$A:$A,0),2)),$C253*INDEX(SPPR!$E:$Z,MATCH($A253,SPPR!$A:$A,0),2),""),"")</f>
        <v/>
      </c>
      <c r="F253">
        <f>IFERROR(IF(ISNUMBER(INDEX(SPPR!$E:$Z,MATCH($A253,SPPR!$A:$A,0),3)),$C253*INDEX(SPPR!$E:$Z,MATCH($A253,SPPR!$A:$A,0),3),""),"")</f>
        <v/>
      </c>
      <c r="G253">
        <f>IFERROR(IF(ISNUMBER(INDEX(SPPR!$E:$Z,MATCH($A253,SPPR!$A:$A,0),4)),$C253*INDEX(SPPR!$E:$Z,MATCH($A253,SPPR!$A:$A,0),4),""),"")</f>
        <v/>
      </c>
      <c r="H253">
        <f>IFERROR(IF(ISNUMBER(INDEX(SPPR!$E:$Z,MATCH($A253,SPPR!$A:$A,0),5)),$C253*INDEX(SPPR!$E:$Z,MATCH($A253,SPPR!$A:$A,0),5),""),"")</f>
        <v/>
      </c>
      <c r="I253">
        <f>IFERROR(IF(ISNUMBER(INDEX(SPPR!$E:$Z,MATCH($A253,SPPR!$A:$A,0),6)),$C253*INDEX(SPPR!$E:$Z,MATCH($A253,SPPR!$A:$A,0),6),""),"")</f>
        <v/>
      </c>
      <c r="J253">
        <f>IFERROR(IF(ISNUMBER(INDEX(SPPR!$E:$Z,MATCH($A253,SPPR!$A:$A,0),7)),$C253*INDEX(SPPR!$E:$Z,MATCH($A253,SPPR!$A:$A,0),7),""),"")</f>
        <v/>
      </c>
      <c r="K253">
        <f>IFERROR(IF(ISNUMBER(INDEX(SPPR!$E:$Z,MATCH($A253,SPPR!$A:$A,0),8)),$C253*INDEX(SPPR!$E:$Z,MATCH($A253,SPPR!$A:$A,0),8),""),"")</f>
        <v/>
      </c>
      <c r="L253">
        <f>IFERROR(IF(ISNUMBER(INDEX(SPPR!$E:$Z,MATCH($A253,SPPR!$A:$A,0),9)),$C253*INDEX(SPPR!$E:$Z,MATCH($A253,SPPR!$A:$A,0),9),""),"")</f>
        <v/>
      </c>
      <c r="M253">
        <f>IFERROR(IF(ISNUMBER(INDEX(SPPR!$E:$Z,MATCH($A253,SPPR!$A:$A,0),10)),$C253*INDEX(SPPR!$E:$Z,MATCH($A253,SPPR!$A:$A,0),10),""),"")</f>
        <v/>
      </c>
      <c r="N253">
        <f>IFERROR(IF(ISNUMBER(INDEX(SPPR!$E:$Z,MATCH($A253,SPPR!$A:$A,0),11)),$C253*INDEX(SPPR!$E:$Z,MATCH($A253,SPPR!$A:$A,0),11),""),"")</f>
        <v/>
      </c>
      <c r="O253">
        <f>IFERROR(IF(ISNUMBER(INDEX(SPPR!$E:$Z,MATCH($A253,SPPR!$A:$A,0),12)),$C253*INDEX(SPPR!$E:$Z,MATCH($A253,SPPR!$A:$A,0),12),""),"")</f>
        <v/>
      </c>
      <c r="P253">
        <f>IFERROR(IF(ISNUMBER(INDEX(SPPR!$E:$Z,MATCH($A253,SPPR!$A:$A,0),13)),$C253*INDEX(SPPR!$E:$Z,MATCH($A253,SPPR!$A:$A,0),13),""),"")</f>
        <v/>
      </c>
      <c r="Q253">
        <f>IFERROR(IF(ISNUMBER(INDEX(SPPR!$E:$Z,MATCH($A253,SPPR!$A:$A,0),14)),$C253*INDEX(SPPR!$E:$Z,MATCH($A253,SPPR!$A:$A,0),14),""),"")</f>
        <v/>
      </c>
      <c r="R253">
        <f>IFERROR(IF(ISNUMBER(INDEX(SPPR!$E:$Z,MATCH($A253,SPPR!$A:$A,0),15)),$C253*INDEX(SPPR!$E:$Z,MATCH($A253,SPPR!$A:$A,0),15),""),"")</f>
        <v/>
      </c>
      <c r="S253">
        <f>IFERROR(IF(ISNUMBER(INDEX(SPPR!$E:$Z,MATCH($A253,SPPR!$A:$A,0),16)),$C253*INDEX(SPPR!$E:$Z,MATCH($A253,SPPR!$A:$A,0),16),""),"")</f>
        <v/>
      </c>
      <c r="T253">
        <f>IFERROR(IF(ISNUMBER(INDEX(SPPR!$E:$Z,MATCH($A253,SPPR!$A:$A,0),17)),$C253*INDEX(SPPR!$E:$Z,MATCH($A253,SPPR!$A:$A,0),17),""),"")</f>
        <v/>
      </c>
      <c r="U253">
        <f>IFERROR(IF(ISNUMBER(INDEX(SPPR!$E:$Z,MATCH($A253,SPPR!$A:$A,0),18)),$C253*INDEX(SPPR!$E:$Z,MATCH($A253,SPPR!$A:$A,0),18),""),"")</f>
        <v/>
      </c>
      <c r="V253">
        <f>IFERROR(IF(ISNUMBER(INDEX(SPPR!$E:$Z,MATCH($A253,SPPR!$A:$A,0),19)),$C253*INDEX(SPPR!$E:$Z,MATCH($A253,SPPR!$A:$A,0),19),""),"")</f>
        <v/>
      </c>
      <c r="W253">
        <f>IFERROR(IF(ISNUMBER(INDEX(SPPR!$E:$Z,MATCH($A253,SPPR!$A:$A,0),20)),$C253*INDEX(SPPR!$E:$Z,MATCH($A253,SPPR!$A:$A,0),20),""),"")</f>
        <v/>
      </c>
      <c r="X253">
        <f>IFERROR(IF(ISNUMBER(INDEX(SPPR!$E:$Z,MATCH($A253,SPPR!$A:$A,0),21)),$C253*INDEX(SPPR!$E:$Z,MATCH($A253,SPPR!$A:$A,0),21),""),"")</f>
        <v/>
      </c>
      <c r="Y253">
        <f>IFERROR(IF(ISNUMBER(INDEX(SPPR!$E:$Z,MATCH($A253,SPPR!$A:$A,0),22)),$C253*INDEX(SPPR!$E:$Z,MATCH($A253,SPPR!$A:$A,0),22),""),"")</f>
        <v/>
      </c>
    </row>
    <row r="254">
      <c r="A254" t="inlineStr">
        <is>
          <t>Sphyrna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IFERROR(IF(ISNUMBER(INDEX(SPPR!$E:$Z,MATCH($A254,SPPR!$A:$A,0),1)),$C254*INDEX(SPPR!$E:$Z,MATCH($A254,SPPR!$A:$A,0),1),""),"")</f>
        <v/>
      </c>
      <c r="E254">
        <f>IFERROR(IF(ISNUMBER(INDEX(SPPR!$E:$Z,MATCH($A254,SPPR!$A:$A,0),2)),$C254*INDEX(SPPR!$E:$Z,MATCH($A254,SPPR!$A:$A,0),2),""),"")</f>
        <v/>
      </c>
      <c r="F254">
        <f>IFERROR(IF(ISNUMBER(INDEX(SPPR!$E:$Z,MATCH($A254,SPPR!$A:$A,0),3)),$C254*INDEX(SPPR!$E:$Z,MATCH($A254,SPPR!$A:$A,0),3),""),"")</f>
        <v/>
      </c>
      <c r="G254">
        <f>IFERROR(IF(ISNUMBER(INDEX(SPPR!$E:$Z,MATCH($A254,SPPR!$A:$A,0),4)),$C254*INDEX(SPPR!$E:$Z,MATCH($A254,SPPR!$A:$A,0),4),""),"")</f>
        <v/>
      </c>
      <c r="H254">
        <f>IFERROR(IF(ISNUMBER(INDEX(SPPR!$E:$Z,MATCH($A254,SPPR!$A:$A,0),5)),$C254*INDEX(SPPR!$E:$Z,MATCH($A254,SPPR!$A:$A,0),5),""),"")</f>
        <v/>
      </c>
      <c r="I254">
        <f>IFERROR(IF(ISNUMBER(INDEX(SPPR!$E:$Z,MATCH($A254,SPPR!$A:$A,0),6)),$C254*INDEX(SPPR!$E:$Z,MATCH($A254,SPPR!$A:$A,0),6),""),"")</f>
        <v/>
      </c>
      <c r="J254">
        <f>IFERROR(IF(ISNUMBER(INDEX(SPPR!$E:$Z,MATCH($A254,SPPR!$A:$A,0),7)),$C254*INDEX(SPPR!$E:$Z,MATCH($A254,SPPR!$A:$A,0),7),""),"")</f>
        <v/>
      </c>
      <c r="K254">
        <f>IFERROR(IF(ISNUMBER(INDEX(SPPR!$E:$Z,MATCH($A254,SPPR!$A:$A,0),8)),$C254*INDEX(SPPR!$E:$Z,MATCH($A254,SPPR!$A:$A,0),8),""),"")</f>
        <v/>
      </c>
      <c r="L254">
        <f>IFERROR(IF(ISNUMBER(INDEX(SPPR!$E:$Z,MATCH($A254,SPPR!$A:$A,0),9)),$C254*INDEX(SPPR!$E:$Z,MATCH($A254,SPPR!$A:$A,0),9),""),"")</f>
        <v/>
      </c>
      <c r="M254">
        <f>IFERROR(IF(ISNUMBER(INDEX(SPPR!$E:$Z,MATCH($A254,SPPR!$A:$A,0),10)),$C254*INDEX(SPPR!$E:$Z,MATCH($A254,SPPR!$A:$A,0),10),""),"")</f>
        <v/>
      </c>
      <c r="N254">
        <f>IFERROR(IF(ISNUMBER(INDEX(SPPR!$E:$Z,MATCH($A254,SPPR!$A:$A,0),11)),$C254*INDEX(SPPR!$E:$Z,MATCH($A254,SPPR!$A:$A,0),11),""),"")</f>
        <v/>
      </c>
      <c r="O254">
        <f>IFERROR(IF(ISNUMBER(INDEX(SPPR!$E:$Z,MATCH($A254,SPPR!$A:$A,0),12)),$C254*INDEX(SPPR!$E:$Z,MATCH($A254,SPPR!$A:$A,0),12),""),"")</f>
        <v/>
      </c>
      <c r="P254">
        <f>IFERROR(IF(ISNUMBER(INDEX(SPPR!$E:$Z,MATCH($A254,SPPR!$A:$A,0),13)),$C254*INDEX(SPPR!$E:$Z,MATCH($A254,SPPR!$A:$A,0),13),""),"")</f>
        <v/>
      </c>
      <c r="Q254">
        <f>IFERROR(IF(ISNUMBER(INDEX(SPPR!$E:$Z,MATCH($A254,SPPR!$A:$A,0),14)),$C254*INDEX(SPPR!$E:$Z,MATCH($A254,SPPR!$A:$A,0),14),""),"")</f>
        <v/>
      </c>
      <c r="R254">
        <f>IFERROR(IF(ISNUMBER(INDEX(SPPR!$E:$Z,MATCH($A254,SPPR!$A:$A,0),15)),$C254*INDEX(SPPR!$E:$Z,MATCH($A254,SPPR!$A:$A,0),15),""),"")</f>
        <v/>
      </c>
      <c r="S254">
        <f>IFERROR(IF(ISNUMBER(INDEX(SPPR!$E:$Z,MATCH($A254,SPPR!$A:$A,0),16)),$C254*INDEX(SPPR!$E:$Z,MATCH($A254,SPPR!$A:$A,0),16),""),"")</f>
        <v/>
      </c>
      <c r="T254">
        <f>IFERROR(IF(ISNUMBER(INDEX(SPPR!$E:$Z,MATCH($A254,SPPR!$A:$A,0),17)),$C254*INDEX(SPPR!$E:$Z,MATCH($A254,SPPR!$A:$A,0),17),""),"")</f>
        <v/>
      </c>
      <c r="U254">
        <f>IFERROR(IF(ISNUMBER(INDEX(SPPR!$E:$Z,MATCH($A254,SPPR!$A:$A,0),18)),$C254*INDEX(SPPR!$E:$Z,MATCH($A254,SPPR!$A:$A,0),18),""),"")</f>
        <v/>
      </c>
      <c r="V254">
        <f>IFERROR(IF(ISNUMBER(INDEX(SPPR!$E:$Z,MATCH($A254,SPPR!$A:$A,0),19)),$C254*INDEX(SPPR!$E:$Z,MATCH($A254,SPPR!$A:$A,0),19),""),"")</f>
        <v/>
      </c>
      <c r="W254">
        <f>IFERROR(IF(ISNUMBER(INDEX(SPPR!$E:$Z,MATCH($A254,SPPR!$A:$A,0),20)),$C254*INDEX(SPPR!$E:$Z,MATCH($A254,SPPR!$A:$A,0),20),""),"")</f>
        <v/>
      </c>
      <c r="X254">
        <f>IFERROR(IF(ISNUMBER(INDEX(SPPR!$E:$Z,MATCH($A254,SPPR!$A:$A,0),21)),$C254*INDEX(SPPR!$E:$Z,MATCH($A254,SPPR!$A:$A,0),21),""),"")</f>
        <v/>
      </c>
      <c r="Y254">
        <f>IFERROR(IF(ISNUMBER(INDEX(SPPR!$E:$Z,MATCH($A254,SPPR!$A:$A,0),22)),$C254*INDEX(SPPR!$E:$Z,MATCH($A254,SPPR!$A:$A,0),22),""),"")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  <c r="AC4" s="4" t="inlineStr">
        <is>
          <t>SPPR_1995_TEmean_catch</t>
        </is>
      </c>
      <c r="AD4" s="4" t="inlineStr">
        <is>
          <t>Ulanowicz_globalTEmean_catch</t>
        </is>
      </c>
    </row>
    <row r="5">
      <c r="A5" t="n">
        <v>1</v>
      </c>
      <c r="B5" t="inlineStr">
        <is>
          <t>M. mammals</t>
        </is>
      </c>
      <c r="C5" t="inlineStr">
        <is>
          <t>Regular</t>
        </is>
      </c>
      <c r="D5" t="n">
        <v>4.883427172745773</v>
      </c>
      <c r="E5" t="n">
        <v>0.001666666666666667</v>
      </c>
      <c r="F5" t="n">
        <v>0</v>
      </c>
      <c r="G5" t="n">
        <v>0.025</v>
      </c>
      <c r="H5" t="n">
        <v>0</v>
      </c>
      <c r="I5" t="n">
        <v>92.758633</v>
      </c>
      <c r="J5" t="n">
        <v>6838.753212</v>
      </c>
      <c r="K5" t="n">
        <v>1324.925759</v>
      </c>
      <c r="L5" t="n">
        <v>3051.529363</v>
      </c>
      <c r="M5" t="n">
        <v>0</v>
      </c>
      <c r="N5" t="n">
        <v>233.114929</v>
      </c>
      <c r="O5" t="n">
        <v>0</v>
      </c>
      <c r="P5" t="n">
        <v>0</v>
      </c>
      <c r="Q5" t="n">
        <v>0</v>
      </c>
      <c r="R5" t="n">
        <v>0</v>
      </c>
      <c r="S5" t="n">
        <v>110000.830616</v>
      </c>
      <c r="T5" t="n">
        <v>38861.876391</v>
      </c>
      <c r="AA5" t="n">
        <v>117114.611469</v>
      </c>
      <c r="AB5" t="n">
        <v>0</v>
      </c>
      <c r="AC5" t="n">
        <v>301.687856</v>
      </c>
      <c r="AD5" t="n">
        <v>487.371073</v>
      </c>
    </row>
    <row r="6">
      <c r="A6" t="n">
        <v>2</v>
      </c>
      <c r="B6" t="inlineStr">
        <is>
          <t>Sharks</t>
        </is>
      </c>
      <c r="C6" t="inlineStr">
        <is>
          <t>Regular</t>
        </is>
      </c>
      <c r="D6" t="n">
        <v>4.393943445131862</v>
      </c>
      <c r="E6" t="n">
        <v>0.2000000180952398</v>
      </c>
      <c r="F6" t="n">
        <v>0.952381</v>
      </c>
      <c r="G6" t="n">
        <v>0.002</v>
      </c>
      <c r="H6" t="n">
        <v>0.008</v>
      </c>
      <c r="I6" t="n">
        <v>92.758633</v>
      </c>
      <c r="J6" t="n">
        <v>2211.896778</v>
      </c>
      <c r="K6" t="n">
        <v>528.557699</v>
      </c>
      <c r="L6" t="n">
        <v>1694.662427</v>
      </c>
      <c r="M6" t="n">
        <v>829.165832</v>
      </c>
      <c r="N6" t="n">
        <v>829.165832</v>
      </c>
      <c r="O6" t="n">
        <v>789.681785</v>
      </c>
      <c r="P6" t="n">
        <v>2016.586739</v>
      </c>
      <c r="Q6" t="n">
        <v>2016.586739</v>
      </c>
      <c r="R6" t="n">
        <v>2128.697228</v>
      </c>
      <c r="S6" t="n">
        <v>561.286115</v>
      </c>
      <c r="T6" t="n">
        <v>207.956274</v>
      </c>
      <c r="AA6" t="n">
        <v>606.9739060000001</v>
      </c>
      <c r="AB6" t="n">
        <v>2393.658993</v>
      </c>
      <c r="AC6" t="n">
        <v>145.413381</v>
      </c>
      <c r="AD6" t="n">
        <v>289.661473</v>
      </c>
    </row>
    <row r="7">
      <c r="A7" t="n">
        <v>3</v>
      </c>
      <c r="B7" t="inlineStr">
        <is>
          <t>Lg. piscivores</t>
        </is>
      </c>
      <c r="C7" t="inlineStr">
        <is>
          <t>Regular</t>
        </is>
      </c>
      <c r="D7" t="n">
        <v>3.849934064178303</v>
      </c>
      <c r="E7" t="n">
        <v>0.2</v>
      </c>
      <c r="F7" t="n">
        <v>0.9287036</v>
      </c>
      <c r="G7" t="n">
        <v>0.045</v>
      </c>
      <c r="H7" t="n">
        <v>0.176</v>
      </c>
      <c r="I7" t="n">
        <v>92.758633</v>
      </c>
      <c r="J7" t="n">
        <v>629.8141419999999</v>
      </c>
      <c r="K7" t="n">
        <v>190.080993</v>
      </c>
      <c r="L7" t="n">
        <v>480.632956</v>
      </c>
      <c r="M7" t="n">
        <v>315.097689</v>
      </c>
      <c r="N7" t="n">
        <v>315.097689</v>
      </c>
      <c r="O7" t="n">
        <v>292.632358</v>
      </c>
      <c r="P7" t="n">
        <v>806.383997</v>
      </c>
      <c r="Q7" t="n">
        <v>806.383997</v>
      </c>
      <c r="R7" t="n">
        <v>851.766221</v>
      </c>
      <c r="S7" t="n">
        <v>204.799662</v>
      </c>
      <c r="T7" t="n">
        <v>89.620936</v>
      </c>
      <c r="AA7" t="n">
        <v>213.690011</v>
      </c>
      <c r="AB7" t="n">
        <v>962.931199</v>
      </c>
      <c r="AC7" t="n">
        <v>64.546074</v>
      </c>
      <c r="AD7" t="n">
        <v>110.616316</v>
      </c>
    </row>
    <row r="8">
      <c r="A8" t="n">
        <v>4</v>
      </c>
      <c r="B8" t="inlineStr">
        <is>
          <t>Grouper/snapper</t>
        </is>
      </c>
      <c r="C8" t="inlineStr">
        <is>
          <t>Regular</t>
        </is>
      </c>
      <c r="D8" t="n">
        <v>3.907286742396404</v>
      </c>
      <c r="E8" t="n">
        <v>0.2000000161702141</v>
      </c>
      <c r="F8" t="n">
        <v>0.883462369</v>
      </c>
      <c r="G8" t="n">
        <v>0.044</v>
      </c>
      <c r="H8" t="n">
        <v>0.171</v>
      </c>
      <c r="I8" t="n">
        <v>92.758633</v>
      </c>
      <c r="J8" t="n">
        <v>729.665396</v>
      </c>
      <c r="K8" t="n">
        <v>214.274848</v>
      </c>
      <c r="L8" t="n">
        <v>601.521613</v>
      </c>
      <c r="M8" t="n">
        <v>458.291515</v>
      </c>
      <c r="N8" t="n">
        <v>458.291515</v>
      </c>
      <c r="O8" t="n">
        <v>404.883308</v>
      </c>
      <c r="P8" t="n">
        <v>1297.204135</v>
      </c>
      <c r="Q8" t="n">
        <v>1297.204135</v>
      </c>
      <c r="R8" t="n">
        <v>1373.024947</v>
      </c>
      <c r="S8" t="n">
        <v>262.162033</v>
      </c>
      <c r="T8" t="n">
        <v>111.742313</v>
      </c>
      <c r="AA8" t="n">
        <v>273.908931</v>
      </c>
      <c r="AB8" t="n">
        <v>1584.887607</v>
      </c>
      <c r="AC8" t="n">
        <v>70.98925199999999</v>
      </c>
      <c r="AD8" t="n">
        <v>131.686727</v>
      </c>
    </row>
    <row r="9">
      <c r="A9" t="n">
        <v>5</v>
      </c>
      <c r="B9" t="inlineStr">
        <is>
          <t>Tuna</t>
        </is>
      </c>
      <c r="C9" t="inlineStr">
        <is>
          <t>Regular</t>
        </is>
      </c>
      <c r="D9" t="n">
        <v>4.134965175674147</v>
      </c>
      <c r="E9" t="n">
        <v>0.2</v>
      </c>
      <c r="F9" t="n">
        <v>0.95</v>
      </c>
      <c r="G9" t="n">
        <v>0.372982442</v>
      </c>
      <c r="H9" t="n">
        <v>0.121</v>
      </c>
      <c r="I9" t="n">
        <v>92.758633</v>
      </c>
      <c r="J9" t="n">
        <v>1217.891849</v>
      </c>
      <c r="K9" t="n">
        <v>325.165267</v>
      </c>
      <c r="L9" t="n">
        <v>703.930824</v>
      </c>
      <c r="M9" t="n">
        <v>327.693492</v>
      </c>
      <c r="N9" t="n">
        <v>327.693492</v>
      </c>
      <c r="O9" t="n">
        <v>311.308817</v>
      </c>
      <c r="P9" t="n">
        <v>675.870038</v>
      </c>
      <c r="Q9" t="n">
        <v>675.870038</v>
      </c>
      <c r="R9" t="n">
        <v>710.633419</v>
      </c>
      <c r="S9" t="n">
        <v>254.942405</v>
      </c>
      <c r="T9" t="n">
        <v>107.862693</v>
      </c>
      <c r="AA9" t="n">
        <v>271.503704</v>
      </c>
      <c r="AB9" t="n">
        <v>791.598393</v>
      </c>
      <c r="AC9" t="n">
        <v>98.86518</v>
      </c>
      <c r="AD9" t="n">
        <v>153.001145</v>
      </c>
    </row>
    <row r="10">
      <c r="A10" t="n">
        <v>6</v>
      </c>
      <c r="B10" t="inlineStr">
        <is>
          <t>Med.dem.pisc.</t>
        </is>
      </c>
      <c r="C10" t="inlineStr">
        <is>
          <t>Regular</t>
        </is>
      </c>
      <c r="D10" t="n">
        <v>3.379868264175476</v>
      </c>
      <c r="E10" t="n">
        <v>0.2</v>
      </c>
      <c r="F10" t="n">
        <v>0.986648262</v>
      </c>
      <c r="G10" t="n">
        <v>0.164</v>
      </c>
      <c r="H10" t="n">
        <v>0.64</v>
      </c>
      <c r="I10" t="n">
        <v>92.758633</v>
      </c>
      <c r="J10" t="n">
        <v>213.954708</v>
      </c>
      <c r="K10" t="n">
        <v>78.922014</v>
      </c>
      <c r="L10" t="n">
        <v>192.983472</v>
      </c>
      <c r="M10" t="n">
        <v>158.091504</v>
      </c>
      <c r="N10" t="n">
        <v>158.091504</v>
      </c>
      <c r="O10" t="n">
        <v>155.980707</v>
      </c>
      <c r="P10" t="n">
        <v>445.224589</v>
      </c>
      <c r="Q10" t="n">
        <v>445.224589</v>
      </c>
      <c r="R10" t="n">
        <v>471.516338</v>
      </c>
      <c r="S10" t="n">
        <v>104.595857</v>
      </c>
      <c r="T10" t="n">
        <v>51.592439</v>
      </c>
      <c r="AA10" t="n">
        <v>108.487387</v>
      </c>
      <c r="AB10" t="n">
        <v>535.009173</v>
      </c>
      <c r="AC10" t="n">
        <v>32.114569</v>
      </c>
      <c r="AD10" t="n">
        <v>52.467555</v>
      </c>
    </row>
    <row r="11">
      <c r="A11" t="n">
        <v>7</v>
      </c>
      <c r="B11" t="inlineStr">
        <is>
          <t>Scomberomorus</t>
        </is>
      </c>
      <c r="C11" t="inlineStr">
        <is>
          <t>Regular</t>
        </is>
      </c>
      <c r="D11" t="n">
        <v>3.909854005314036</v>
      </c>
      <c r="E11" t="n">
        <v>0.2</v>
      </c>
      <c r="F11" t="n">
        <v>0.95</v>
      </c>
      <c r="G11" t="n">
        <v>0.286140352</v>
      </c>
      <c r="H11" t="n">
        <v>0.127</v>
      </c>
      <c r="I11" t="n">
        <v>92.758633</v>
      </c>
      <c r="J11" t="n">
        <v>729.447588</v>
      </c>
      <c r="K11" t="n">
        <v>214.222773</v>
      </c>
      <c r="L11" t="n">
        <v>444.290446</v>
      </c>
      <c r="M11" t="n">
        <v>234.170666</v>
      </c>
      <c r="N11" t="n">
        <v>234.170666</v>
      </c>
      <c r="O11" t="n">
        <v>222.462132</v>
      </c>
      <c r="P11" t="n">
        <v>510.434635</v>
      </c>
      <c r="Q11" t="n">
        <v>510.434635</v>
      </c>
      <c r="R11" t="n">
        <v>537.808771</v>
      </c>
      <c r="S11" t="n">
        <v>191.217924</v>
      </c>
      <c r="T11" t="n">
        <v>85.80764499999999</v>
      </c>
      <c r="AA11" t="n">
        <v>201.393966</v>
      </c>
      <c r="AB11" t="n">
        <v>601.019559</v>
      </c>
      <c r="AC11" t="n">
        <v>70.97555</v>
      </c>
      <c r="AD11" t="n">
        <v>108.592819</v>
      </c>
    </row>
    <row r="12">
      <c r="A12" t="n">
        <v>8</v>
      </c>
      <c r="B12" t="inlineStr">
        <is>
          <t>Juv. sharks</t>
        </is>
      </c>
      <c r="C12" t="inlineStr">
        <is>
          <t>Regular</t>
        </is>
      </c>
      <c r="D12" t="n">
        <v>3.736979916897507</v>
      </c>
      <c r="E12" t="n">
        <v>0.25</v>
      </c>
      <c r="F12" t="n">
        <v>0.8</v>
      </c>
      <c r="G12" t="n">
        <v>0.0466228053</v>
      </c>
      <c r="H12" t="n">
        <v>0</v>
      </c>
      <c r="I12" t="n">
        <v>92.758633</v>
      </c>
      <c r="J12" t="n">
        <v>487.433967</v>
      </c>
      <c r="K12" t="n">
        <v>154.286577</v>
      </c>
      <c r="L12" t="n">
        <v>266.73141</v>
      </c>
      <c r="M12" t="n">
        <v>121.806087</v>
      </c>
      <c r="N12" t="n">
        <v>121.806087</v>
      </c>
      <c r="O12" t="n">
        <v>97.444869</v>
      </c>
      <c r="P12" t="n">
        <v>198.085741</v>
      </c>
      <c r="Q12" t="n">
        <v>198.085741</v>
      </c>
      <c r="R12" t="n">
        <v>206.863554</v>
      </c>
      <c r="S12" t="n">
        <v>100.321149</v>
      </c>
      <c r="T12" t="n">
        <v>48.205704</v>
      </c>
      <c r="AA12" t="n">
        <v>105.759197</v>
      </c>
      <c r="AB12" t="n">
        <v>219.600264</v>
      </c>
      <c r="AC12" t="n">
        <v>54.690192</v>
      </c>
      <c r="AD12" t="n">
        <v>74.92014</v>
      </c>
    </row>
    <row r="13">
      <c r="A13" t="n">
        <v>9</v>
      </c>
      <c r="B13" t="inlineStr">
        <is>
          <t>Juv.Lg.Pisciv.</t>
        </is>
      </c>
      <c r="C13" t="inlineStr">
        <is>
          <t>Regular</t>
        </is>
      </c>
      <c r="D13" t="n">
        <v>3.736979916897508</v>
      </c>
      <c r="E13" t="n">
        <v>0.25</v>
      </c>
      <c r="F13" t="n">
        <v>0.8</v>
      </c>
      <c r="G13" t="n">
        <v>0.0466228053</v>
      </c>
      <c r="H13" t="n">
        <v>0</v>
      </c>
      <c r="I13" t="n">
        <v>92.758633</v>
      </c>
      <c r="J13" t="n">
        <v>487.433967</v>
      </c>
      <c r="K13" t="n">
        <v>154.286577</v>
      </c>
      <c r="L13" t="n">
        <v>266.73141</v>
      </c>
      <c r="M13" t="n">
        <v>121.806087</v>
      </c>
      <c r="N13" t="n">
        <v>121.806087</v>
      </c>
      <c r="O13" t="n">
        <v>97.444869</v>
      </c>
      <c r="P13" t="n">
        <v>198.085741</v>
      </c>
      <c r="Q13" t="n">
        <v>198.085741</v>
      </c>
      <c r="R13" t="n">
        <v>206.863554</v>
      </c>
      <c r="S13" t="n">
        <v>100.321149</v>
      </c>
      <c r="T13" t="n">
        <v>48.205704</v>
      </c>
      <c r="AA13" t="n">
        <v>104.980272</v>
      </c>
      <c r="AB13" t="n">
        <v>226.738162</v>
      </c>
      <c r="AC13" t="n">
        <v>54.690192</v>
      </c>
      <c r="AD13" t="n">
        <v>74.92014</v>
      </c>
    </row>
    <row r="14">
      <c r="A14" t="n">
        <v>10</v>
      </c>
      <c r="B14" t="inlineStr">
        <is>
          <t>Juv. groupers</t>
        </is>
      </c>
      <c r="C14" t="inlineStr">
        <is>
          <t>Regular</t>
        </is>
      </c>
      <c r="D14" t="n">
        <v>3.758987880886426</v>
      </c>
      <c r="E14" t="n">
        <v>0.25</v>
      </c>
      <c r="F14" t="n">
        <v>0.8</v>
      </c>
      <c r="G14" t="n">
        <v>0.0466228053</v>
      </c>
      <c r="H14" t="n">
        <v>0</v>
      </c>
      <c r="I14" t="n">
        <v>92.758633</v>
      </c>
      <c r="J14" t="n">
        <v>519.3410260000001</v>
      </c>
      <c r="K14" t="n">
        <v>162.460157</v>
      </c>
      <c r="L14" t="n">
        <v>367.045444</v>
      </c>
      <c r="M14" t="n">
        <v>194.544766</v>
      </c>
      <c r="N14" t="n">
        <v>194.544766</v>
      </c>
      <c r="O14" t="n">
        <v>155.635813</v>
      </c>
      <c r="P14" t="n">
        <v>442.433474</v>
      </c>
      <c r="Q14" t="n">
        <v>442.433474</v>
      </c>
      <c r="R14" t="n">
        <v>466.085322</v>
      </c>
      <c r="S14" t="n">
        <v>127.089153</v>
      </c>
      <c r="T14" t="n">
        <v>58.01819</v>
      </c>
      <c r="AA14" t="n">
        <v>133.895493</v>
      </c>
      <c r="AB14" t="n">
        <v>507.873037</v>
      </c>
      <c r="AC14" t="n">
        <v>56.978863</v>
      </c>
      <c r="AD14" t="n">
        <v>92.62658399999999</v>
      </c>
    </row>
    <row r="15">
      <c r="A15" t="n">
        <v>11</v>
      </c>
      <c r="B15" t="inlineStr">
        <is>
          <t>Scad</t>
        </is>
      </c>
      <c r="C15" t="inlineStr">
        <is>
          <t>Regular</t>
        </is>
      </c>
      <c r="D15" t="n">
        <v>3.527693905817174</v>
      </c>
      <c r="E15" t="n">
        <v>0.25</v>
      </c>
      <c r="F15" t="n">
        <v>0.95</v>
      </c>
      <c r="G15" t="n">
        <v>0.8135882</v>
      </c>
      <c r="H15" t="n">
        <v>1.006</v>
      </c>
      <c r="I15" t="n">
        <v>92.758633</v>
      </c>
      <c r="J15" t="n">
        <v>301.410165</v>
      </c>
      <c r="K15" t="n">
        <v>104.320796</v>
      </c>
      <c r="L15" t="n">
        <v>168.748505</v>
      </c>
      <c r="M15" t="n">
        <v>90.39104399999999</v>
      </c>
      <c r="N15" t="n">
        <v>90.39104399999999</v>
      </c>
      <c r="O15" t="n">
        <v>85.87149100000001</v>
      </c>
      <c r="P15" t="n">
        <v>191.130934</v>
      </c>
      <c r="Q15" t="n">
        <v>191.130934</v>
      </c>
      <c r="R15" t="n">
        <v>201.174951</v>
      </c>
      <c r="S15" t="n">
        <v>76.25161799999999</v>
      </c>
      <c r="T15" t="n">
        <v>39.003755</v>
      </c>
      <c r="AA15" t="n">
        <v>79.580185</v>
      </c>
      <c r="AB15" t="n">
        <v>220.35084</v>
      </c>
      <c r="AC15" t="n">
        <v>40.080591</v>
      </c>
      <c r="AD15" t="n">
        <v>53.018386</v>
      </c>
    </row>
    <row r="16">
      <c r="A16" t="n">
        <v>12</v>
      </c>
      <c r="B16" t="inlineStr">
        <is>
          <t>Cephalopods</t>
        </is>
      </c>
      <c r="C16" t="inlineStr">
        <is>
          <t>Regular</t>
        </is>
      </c>
      <c r="D16" t="n">
        <v>3.381152128441404</v>
      </c>
      <c r="E16" t="n">
        <v>0.2</v>
      </c>
      <c r="F16" t="n">
        <v>0.970985234</v>
      </c>
      <c r="G16" t="n">
        <v>0.35</v>
      </c>
      <c r="H16" t="n">
        <v>1.37</v>
      </c>
      <c r="I16" t="n">
        <v>92.758633</v>
      </c>
      <c r="J16" t="n">
        <v>207.108363</v>
      </c>
      <c r="K16" t="n">
        <v>76.859779</v>
      </c>
      <c r="L16" t="n">
        <v>153.276012</v>
      </c>
      <c r="M16" t="n">
        <v>121.77284</v>
      </c>
      <c r="N16" t="n">
        <v>121.77284</v>
      </c>
      <c r="O16" t="n">
        <v>118.23963</v>
      </c>
      <c r="P16" t="n">
        <v>349.557692</v>
      </c>
      <c r="Q16" t="n">
        <v>349.557692</v>
      </c>
      <c r="R16" t="n">
        <v>370.254323</v>
      </c>
      <c r="S16" t="n">
        <v>98.097358</v>
      </c>
      <c r="T16" t="n">
        <v>49.643681</v>
      </c>
      <c r="AA16" t="n">
        <v>100.957994</v>
      </c>
      <c r="AB16" t="n">
        <v>407.059034</v>
      </c>
      <c r="AC16" t="n">
        <v>31.446324</v>
      </c>
      <c r="AD16" t="n">
        <v>45.753688</v>
      </c>
    </row>
    <row r="17">
      <c r="A17" t="n">
        <v>13</v>
      </c>
      <c r="B17" t="inlineStr">
        <is>
          <t>Sm.dem.pisc.</t>
        </is>
      </c>
      <c r="C17" t="inlineStr">
        <is>
          <t>Regular</t>
        </is>
      </c>
      <c r="D17" t="n">
        <v>3.344092797783933</v>
      </c>
      <c r="E17" t="n">
        <v>0.25</v>
      </c>
      <c r="F17" t="n">
        <v>0.980281353</v>
      </c>
      <c r="G17" t="n">
        <v>0.162</v>
      </c>
      <c r="H17" t="n">
        <v>0.635</v>
      </c>
      <c r="I17" t="n">
        <v>92.758633</v>
      </c>
      <c r="J17" t="n">
        <v>197.409669</v>
      </c>
      <c r="K17" t="n">
        <v>73.916488</v>
      </c>
      <c r="L17" t="n">
        <v>154.823545</v>
      </c>
      <c r="M17" t="n">
        <v>115.690597</v>
      </c>
      <c r="N17" t="n">
        <v>115.690597</v>
      </c>
      <c r="O17" t="n">
        <v>113.409335</v>
      </c>
      <c r="P17" t="n">
        <v>329.659655</v>
      </c>
      <c r="Q17" t="n">
        <v>329.659655</v>
      </c>
      <c r="R17" t="n">
        <v>349.391819</v>
      </c>
      <c r="S17" t="n">
        <v>73.656982</v>
      </c>
      <c r="T17" t="n">
        <v>38.008692</v>
      </c>
      <c r="AA17" t="n">
        <v>76.063031</v>
      </c>
      <c r="AB17" t="n">
        <v>403.967718</v>
      </c>
      <c r="AC17" t="n">
        <v>30.486142</v>
      </c>
      <c r="AD17" t="n">
        <v>45.747918</v>
      </c>
    </row>
    <row r="18">
      <c r="A18" t="n">
        <v>14</v>
      </c>
      <c r="B18" t="inlineStr">
        <is>
          <t>Med.dem.benth.</t>
        </is>
      </c>
      <c r="C18" t="inlineStr">
        <is>
          <t>Regular</t>
        </is>
      </c>
      <c r="D18" t="n">
        <v>3.502054016620499</v>
      </c>
      <c r="E18" t="n">
        <v>0.2</v>
      </c>
      <c r="F18" t="n">
        <v>0.8951389</v>
      </c>
      <c r="G18" t="n">
        <v>0.07199999999999999</v>
      </c>
      <c r="H18" t="n">
        <v>0.281</v>
      </c>
      <c r="I18" t="n">
        <v>92.758633</v>
      </c>
      <c r="J18" t="n">
        <v>274.243815</v>
      </c>
      <c r="K18" t="n">
        <v>96.59934699999999</v>
      </c>
      <c r="L18" t="n">
        <v>166.63869</v>
      </c>
      <c r="M18" t="n">
        <v>215.944796</v>
      </c>
      <c r="N18" t="n">
        <v>215.944796</v>
      </c>
      <c r="O18" t="n">
        <v>193.300587</v>
      </c>
      <c r="P18" t="n">
        <v>664.022909</v>
      </c>
      <c r="Q18" t="n">
        <v>664.022909</v>
      </c>
      <c r="R18" t="n">
        <v>702.550582</v>
      </c>
      <c r="S18" t="n">
        <v>105.870272</v>
      </c>
      <c r="T18" t="n">
        <v>53.740614</v>
      </c>
      <c r="AA18" t="n">
        <v>108.869834</v>
      </c>
      <c r="AB18" t="n">
        <v>799.677877</v>
      </c>
      <c r="AC18" t="n">
        <v>37.70608</v>
      </c>
      <c r="AD18" t="n">
        <v>51.4265</v>
      </c>
    </row>
    <row r="19">
      <c r="A19" t="n">
        <v>15</v>
      </c>
      <c r="B19" t="inlineStr">
        <is>
          <t>Rays</t>
        </is>
      </c>
      <c r="C19" t="inlineStr">
        <is>
          <t>Regular</t>
        </is>
      </c>
      <c r="D19" t="n">
        <v>3.389362880886426</v>
      </c>
      <c r="E19" t="n">
        <v>0.2000000180952397</v>
      </c>
      <c r="F19" t="n">
        <v>0.952381</v>
      </c>
      <c r="G19" t="n">
        <v>0.007</v>
      </c>
      <c r="H19" t="n">
        <v>0.028</v>
      </c>
      <c r="I19" t="n">
        <v>92.758633</v>
      </c>
      <c r="J19" t="n">
        <v>212.350179</v>
      </c>
      <c r="K19" t="n">
        <v>78.43981700000001</v>
      </c>
      <c r="L19" t="n">
        <v>150.198585</v>
      </c>
      <c r="M19" t="n">
        <v>190.421399</v>
      </c>
      <c r="N19" t="n">
        <v>190.421399</v>
      </c>
      <c r="O19" t="n">
        <v>181.353722</v>
      </c>
      <c r="P19" t="n">
        <v>590.0073</v>
      </c>
      <c r="Q19" t="n">
        <v>590.0073</v>
      </c>
      <c r="R19" t="n">
        <v>624.45599</v>
      </c>
      <c r="S19" t="n">
        <v>98.99208</v>
      </c>
      <c r="T19" t="n">
        <v>50.910468</v>
      </c>
      <c r="AA19" t="n">
        <v>103.810463</v>
      </c>
      <c r="AB19" t="n">
        <v>714.522996</v>
      </c>
      <c r="AC19" t="n">
        <v>31.958644</v>
      </c>
      <c r="AD19" t="n">
        <v>47.110524</v>
      </c>
    </row>
    <row r="20">
      <c r="A20" t="n">
        <v>16</v>
      </c>
      <c r="B20" t="inlineStr">
        <is>
          <t>Flatfish</t>
        </is>
      </c>
      <c r="C20" t="inlineStr">
        <is>
          <t>Regular</t>
        </is>
      </c>
      <c r="D20" t="n">
        <v>3.354459833795014</v>
      </c>
      <c r="E20" t="n">
        <v>0.25</v>
      </c>
      <c r="F20" t="n">
        <v>0.9625</v>
      </c>
      <c r="G20" t="n">
        <v>0.006</v>
      </c>
      <c r="H20" t="n">
        <v>0.022</v>
      </c>
      <c r="I20" t="n">
        <v>92.758633</v>
      </c>
      <c r="J20" t="n">
        <v>198.898533</v>
      </c>
      <c r="K20" t="n">
        <v>74.370034</v>
      </c>
      <c r="L20" t="n">
        <v>143.388298</v>
      </c>
      <c r="M20" t="n">
        <v>137.630101</v>
      </c>
      <c r="N20" t="n">
        <v>137.630101</v>
      </c>
      <c r="O20" t="n">
        <v>132.468972</v>
      </c>
      <c r="P20" t="n">
        <v>418.824939</v>
      </c>
      <c r="Q20" t="n">
        <v>418.824939</v>
      </c>
      <c r="R20" t="n">
        <v>443.184514</v>
      </c>
      <c r="S20" t="n">
        <v>74.286663</v>
      </c>
      <c r="T20" t="n">
        <v>38.351856</v>
      </c>
      <c r="AA20" t="n">
        <v>77.14257600000001</v>
      </c>
      <c r="AB20" t="n">
        <v>501.55581</v>
      </c>
      <c r="AC20" t="n">
        <v>30.634607</v>
      </c>
      <c r="AD20" t="n">
        <v>45.33149</v>
      </c>
    </row>
    <row r="21">
      <c r="A21" t="n">
        <v>17</v>
      </c>
      <c r="B21" t="inlineStr">
        <is>
          <t>Sm.dem.benth.</t>
        </is>
      </c>
      <c r="C21" t="inlineStr">
        <is>
          <t>Regular</t>
        </is>
      </c>
      <c r="D21" t="n">
        <v>3.186592797783933</v>
      </c>
      <c r="E21" t="n">
        <v>0.25</v>
      </c>
      <c r="F21" t="n">
        <v>0.8427242</v>
      </c>
      <c r="G21" t="n">
        <v>0.191</v>
      </c>
      <c r="H21" t="n">
        <v>0.749</v>
      </c>
      <c r="I21" t="n">
        <v>92.758633</v>
      </c>
      <c r="J21" t="n">
        <v>135.946622</v>
      </c>
      <c r="K21" t="n">
        <v>54.557109</v>
      </c>
      <c r="L21" t="n">
        <v>104.458273</v>
      </c>
      <c r="M21" t="n">
        <v>106.771533</v>
      </c>
      <c r="N21" t="n">
        <v>106.771533</v>
      </c>
      <c r="O21" t="n">
        <v>89.978955</v>
      </c>
      <c r="P21" t="n">
        <v>308.045854</v>
      </c>
      <c r="Q21" t="n">
        <v>308.045854</v>
      </c>
      <c r="R21" t="n">
        <v>325.959633</v>
      </c>
      <c r="S21" t="n">
        <v>56.685005</v>
      </c>
      <c r="T21" t="n">
        <v>30.438514</v>
      </c>
      <c r="AA21" t="n">
        <v>58.087916</v>
      </c>
      <c r="AB21" t="n">
        <v>369.109424</v>
      </c>
      <c r="AC21" t="n">
        <v>23.952956</v>
      </c>
      <c r="AD21" t="n">
        <v>34.558123</v>
      </c>
    </row>
    <row r="22">
      <c r="A22" t="n">
        <v>18</v>
      </c>
      <c r="B22" t="inlineStr">
        <is>
          <t>Jellyfish</t>
        </is>
      </c>
      <c r="C22" t="inlineStr">
        <is>
          <t>Regular</t>
        </is>
      </c>
      <c r="D22" t="n">
        <v>3.052631578947368</v>
      </c>
      <c r="E22" t="n">
        <v>0.25</v>
      </c>
      <c r="F22" t="n">
        <v>0</v>
      </c>
      <c r="G22" t="n">
        <v>1</v>
      </c>
      <c r="H22" t="n">
        <v>0</v>
      </c>
      <c r="I22" t="n">
        <v>92.758633</v>
      </c>
      <c r="J22" t="n">
        <v>100</v>
      </c>
      <c r="K22" t="n">
        <v>42.488496</v>
      </c>
      <c r="L22" t="n">
        <v>40.364071</v>
      </c>
      <c r="M22" t="n">
        <v>0</v>
      </c>
      <c r="N22" t="n">
        <v>5.855218</v>
      </c>
      <c r="O22" t="n">
        <v>0</v>
      </c>
      <c r="P22" t="n">
        <v>0</v>
      </c>
      <c r="Q22" t="n">
        <v>0</v>
      </c>
      <c r="R22" t="n">
        <v>0</v>
      </c>
      <c r="S22" t="n">
        <v>27.992074</v>
      </c>
      <c r="T22" t="n">
        <v>17.312674</v>
      </c>
      <c r="AA22" t="n">
        <v>28.633264</v>
      </c>
      <c r="AB22" t="n">
        <v>0</v>
      </c>
      <c r="AC22" t="n">
        <v>19.639386</v>
      </c>
      <c r="AD22" t="n">
        <v>18.657416</v>
      </c>
    </row>
    <row r="23">
      <c r="A23" t="n">
        <v>19</v>
      </c>
      <c r="B23" t="inlineStr">
        <is>
          <t>Mackerel</t>
        </is>
      </c>
      <c r="C23" t="inlineStr">
        <is>
          <t>Regular</t>
        </is>
      </c>
      <c r="D23" t="n">
        <v>2.947368421052631</v>
      </c>
      <c r="E23" t="n">
        <v>0.25</v>
      </c>
      <c r="F23" t="n">
        <v>0.95</v>
      </c>
      <c r="G23" t="n">
        <v>1.08310151</v>
      </c>
      <c r="H23" t="n">
        <v>0.622</v>
      </c>
      <c r="I23" t="n">
        <v>92.758633</v>
      </c>
      <c r="J23" t="n">
        <v>79.432823</v>
      </c>
      <c r="K23" t="n">
        <v>35.22555</v>
      </c>
      <c r="L23" t="n">
        <v>36.979496</v>
      </c>
      <c r="M23" t="n">
        <v>22.609246</v>
      </c>
      <c r="N23" t="n">
        <v>22.609246</v>
      </c>
      <c r="O23" t="n">
        <v>21.478784</v>
      </c>
      <c r="P23" t="n">
        <v>30.239099</v>
      </c>
      <c r="Q23" t="n">
        <v>30.239099</v>
      </c>
      <c r="R23" t="n">
        <v>31.345103</v>
      </c>
      <c r="S23" t="n">
        <v>25.592867</v>
      </c>
      <c r="T23" t="n">
        <v>15.901406</v>
      </c>
      <c r="AA23" t="n">
        <v>26.679379</v>
      </c>
      <c r="AB23" t="n">
        <v>32.242101</v>
      </c>
      <c r="AC23" t="n">
        <v>16.922772</v>
      </c>
      <c r="AD23" t="n">
        <v>17.234838</v>
      </c>
    </row>
    <row r="24">
      <c r="A24" t="n">
        <v>20</v>
      </c>
      <c r="B24" t="inlineStr">
        <is>
          <t>Sm. pelagics</t>
        </is>
      </c>
      <c r="C24" t="inlineStr">
        <is>
          <t>Regular</t>
        </is>
      </c>
      <c r="D24" t="n">
        <v>2.947368421052631</v>
      </c>
      <c r="E24" t="n">
        <v>0.25</v>
      </c>
      <c r="F24" t="n">
        <v>0.95</v>
      </c>
      <c r="G24" t="n">
        <v>1.18107629</v>
      </c>
      <c r="H24" t="n">
        <v>0.955</v>
      </c>
      <c r="I24" t="n">
        <v>92.758633</v>
      </c>
      <c r="J24" t="n">
        <v>79.432823</v>
      </c>
      <c r="K24" t="n">
        <v>35.22555</v>
      </c>
      <c r="L24" t="n">
        <v>36.979496</v>
      </c>
      <c r="M24" t="n">
        <v>22.609246</v>
      </c>
      <c r="N24" t="n">
        <v>22.609246</v>
      </c>
      <c r="O24" t="n">
        <v>21.478784</v>
      </c>
      <c r="P24" t="n">
        <v>30.239099</v>
      </c>
      <c r="Q24" t="n">
        <v>30.239099</v>
      </c>
      <c r="R24" t="n">
        <v>31.345103</v>
      </c>
      <c r="S24" t="n">
        <v>25.592867</v>
      </c>
      <c r="T24" t="n">
        <v>15.901406</v>
      </c>
      <c r="AA24" t="n">
        <v>26.701358</v>
      </c>
      <c r="AB24" t="n">
        <v>32.392065</v>
      </c>
      <c r="AC24" t="n">
        <v>16.922772</v>
      </c>
      <c r="AD24" t="n">
        <v>17.234838</v>
      </c>
    </row>
    <row r="25">
      <c r="A25" t="n">
        <v>21</v>
      </c>
      <c r="B25" t="inlineStr">
        <is>
          <t>Ponyfishes</t>
        </is>
      </c>
      <c r="C25" t="inlineStr">
        <is>
          <t>Regular</t>
        </is>
      </c>
      <c r="D25" t="n">
        <v>2.783656509695291</v>
      </c>
      <c r="E25" t="n">
        <v>0.25</v>
      </c>
      <c r="F25" t="n">
        <v>0.9717447</v>
      </c>
      <c r="G25" t="n">
        <v>0.123</v>
      </c>
      <c r="H25" t="n">
        <v>0.48</v>
      </c>
      <c r="I25" t="n">
        <v>92.758633</v>
      </c>
      <c r="J25" t="n">
        <v>55.624121</v>
      </c>
      <c r="K25" t="n">
        <v>26.356091</v>
      </c>
      <c r="L25" t="n">
        <v>61.131005</v>
      </c>
      <c r="M25" t="n">
        <v>58.637366</v>
      </c>
      <c r="N25" t="n">
        <v>58.637366</v>
      </c>
      <c r="O25" t="n">
        <v>56.980549</v>
      </c>
      <c r="P25" t="n">
        <v>167.671166</v>
      </c>
      <c r="Q25" t="n">
        <v>167.671166</v>
      </c>
      <c r="R25" t="n">
        <v>176.99785</v>
      </c>
      <c r="S25" t="n">
        <v>35.276744</v>
      </c>
      <c r="T25" t="n">
        <v>19.385003</v>
      </c>
      <c r="AA25" t="n">
        <v>36.372559</v>
      </c>
      <c r="AB25" t="n">
        <v>200.137074</v>
      </c>
      <c r="AC25" t="n">
        <v>13.440773</v>
      </c>
      <c r="AD25" t="n">
        <v>22.381404</v>
      </c>
    </row>
    <row r="26">
      <c r="A26" t="n">
        <v>22</v>
      </c>
      <c r="B26" t="inlineStr">
        <is>
          <t>Crab, lobster</t>
        </is>
      </c>
      <c r="C26" t="inlineStr">
        <is>
          <t>Regular</t>
        </is>
      </c>
      <c r="D26" t="n">
        <v>2.7797783933518</v>
      </c>
      <c r="E26" t="n">
        <v>0.25</v>
      </c>
      <c r="F26" t="n">
        <v>0.8577863570000001</v>
      </c>
      <c r="G26" t="n">
        <v>0.042</v>
      </c>
      <c r="H26" t="n">
        <v>0.245</v>
      </c>
      <c r="I26" t="n">
        <v>92.758633</v>
      </c>
      <c r="J26" t="n">
        <v>55.221127</v>
      </c>
      <c r="K26" t="n">
        <v>26.200528</v>
      </c>
      <c r="L26" t="n">
        <v>80.616586</v>
      </c>
      <c r="M26" t="n">
        <v>96.283275</v>
      </c>
      <c r="N26" t="n">
        <v>96.283275</v>
      </c>
      <c r="O26" t="n">
        <v>82.59048</v>
      </c>
      <c r="P26" t="n">
        <v>295.897518</v>
      </c>
      <c r="Q26" t="n">
        <v>295.897518</v>
      </c>
      <c r="R26" t="n">
        <v>313.590452</v>
      </c>
      <c r="S26" t="n">
        <v>47.292261</v>
      </c>
      <c r="T26" t="n">
        <v>26.133043</v>
      </c>
      <c r="AA26" t="n">
        <v>48.215972</v>
      </c>
      <c r="AB26" t="n">
        <v>354.467589</v>
      </c>
      <c r="AC26" t="n">
        <v>13.377731</v>
      </c>
      <c r="AD26" t="n">
        <v>27.235027</v>
      </c>
    </row>
    <row r="27">
      <c r="A27" t="n">
        <v>23</v>
      </c>
      <c r="B27" t="inlineStr">
        <is>
          <t>O.fish</t>
        </is>
      </c>
      <c r="C27" t="inlineStr">
        <is>
          <t>Regular</t>
        </is>
      </c>
      <c r="D27" t="n">
        <v>2.653047091412742</v>
      </c>
      <c r="E27" t="n">
        <v>0.25</v>
      </c>
      <c r="F27" t="n">
        <v>0.9986537</v>
      </c>
      <c r="G27" t="n">
        <v>0.555</v>
      </c>
      <c r="H27" t="n">
        <v>2.172</v>
      </c>
      <c r="I27" t="n">
        <v>92.758633</v>
      </c>
      <c r="J27" t="n">
        <v>41.788101</v>
      </c>
      <c r="K27" t="n">
        <v>20.881264</v>
      </c>
      <c r="L27" t="n">
        <v>52.028891</v>
      </c>
      <c r="M27" t="n">
        <v>48.21537</v>
      </c>
      <c r="N27" t="n">
        <v>48.21537</v>
      </c>
      <c r="O27" t="n">
        <v>48.150458</v>
      </c>
      <c r="P27" t="n">
        <v>135.960121</v>
      </c>
      <c r="Q27" t="n">
        <v>135.960121</v>
      </c>
      <c r="R27" t="n">
        <v>143.850985</v>
      </c>
      <c r="S27" t="n">
        <v>31.644149</v>
      </c>
      <c r="T27" t="n">
        <v>18.19469</v>
      </c>
      <c r="AA27" t="n">
        <v>32.429472</v>
      </c>
      <c r="AB27" t="n">
        <v>163.410873</v>
      </c>
      <c r="AC27" t="n">
        <v>11.171569</v>
      </c>
      <c r="AD27" t="n">
        <v>19.389776</v>
      </c>
    </row>
    <row r="28">
      <c r="A28" t="n">
        <v>24</v>
      </c>
      <c r="B28" t="inlineStr">
        <is>
          <t>Benthos</t>
        </is>
      </c>
      <c r="C28" t="inlineStr">
        <is>
          <t>Regular</t>
        </is>
      </c>
      <c r="D28" t="n">
        <v>2.559556786703601</v>
      </c>
      <c r="E28" t="n">
        <v>0.25</v>
      </c>
      <c r="F28" t="n">
        <v>0.325606376</v>
      </c>
      <c r="G28" t="n">
        <v>33</v>
      </c>
      <c r="H28" t="n">
        <v>0</v>
      </c>
      <c r="I28" t="n">
        <v>92.758633</v>
      </c>
      <c r="J28" t="n">
        <v>30.493728</v>
      </c>
      <c r="K28" t="n">
        <v>16.156554</v>
      </c>
      <c r="L28" t="n">
        <v>23.735388</v>
      </c>
      <c r="M28" t="n">
        <v>40.29524</v>
      </c>
      <c r="N28" t="n">
        <v>40.29524</v>
      </c>
      <c r="O28" t="n">
        <v>13.120387</v>
      </c>
      <c r="P28" t="n">
        <v>126.575988</v>
      </c>
      <c r="Q28" t="n">
        <v>126.575988</v>
      </c>
      <c r="R28" t="n">
        <v>133.836756</v>
      </c>
      <c r="S28" t="n">
        <v>21.065935</v>
      </c>
      <c r="T28" t="n">
        <v>13.449167</v>
      </c>
      <c r="AA28" t="n">
        <v>21.490914</v>
      </c>
      <c r="AB28" t="n">
        <v>150.538596</v>
      </c>
      <c r="AC28" t="n">
        <v>9.112489</v>
      </c>
      <c r="AD28" t="n">
        <v>11.291188</v>
      </c>
    </row>
    <row r="29">
      <c r="A29" t="n">
        <v>25</v>
      </c>
      <c r="B29" t="inlineStr">
        <is>
          <t>Shrimps</t>
        </is>
      </c>
      <c r="C29" t="inlineStr">
        <is>
          <t>Regular</t>
        </is>
      </c>
      <c r="D29" t="n">
        <v>2.417174515235457</v>
      </c>
      <c r="E29" t="n">
        <v>0.25</v>
      </c>
      <c r="F29" t="n">
        <v>0.95</v>
      </c>
      <c r="G29" t="n">
        <v>1.36021924</v>
      </c>
      <c r="H29" t="n">
        <v>0.901</v>
      </c>
      <c r="I29" t="n">
        <v>92.758633</v>
      </c>
      <c r="J29" t="n">
        <v>24.936879</v>
      </c>
      <c r="K29" t="n">
        <v>13.715732</v>
      </c>
      <c r="L29" t="n">
        <v>39.542201</v>
      </c>
      <c r="M29" t="n">
        <v>39.345557</v>
      </c>
      <c r="N29" t="n">
        <v>39.345557</v>
      </c>
      <c r="O29" t="n">
        <v>37.378279</v>
      </c>
      <c r="P29" t="n">
        <v>110.883242</v>
      </c>
      <c r="Q29" t="n">
        <v>110.883242</v>
      </c>
      <c r="R29" t="n">
        <v>118.086052</v>
      </c>
      <c r="S29" t="n">
        <v>26.876504</v>
      </c>
      <c r="T29" t="n">
        <v>16.79886</v>
      </c>
      <c r="AA29" t="n">
        <v>27.610867</v>
      </c>
      <c r="AB29" t="n">
        <v>134.234083</v>
      </c>
      <c r="AC29" t="n">
        <v>8.001064</v>
      </c>
      <c r="AD29" t="n">
        <v>14.97557</v>
      </c>
    </row>
    <row r="30">
      <c r="A30" t="n">
        <v>26</v>
      </c>
      <c r="B30" t="inlineStr">
        <is>
          <t>Molluscs</t>
        </is>
      </c>
      <c r="C30" t="inlineStr">
        <is>
          <t>Regular</t>
        </is>
      </c>
      <c r="D30" t="n">
        <v>2.210526315789473</v>
      </c>
      <c r="E30" t="n">
        <v>0.25</v>
      </c>
      <c r="F30" t="n">
        <v>0.9</v>
      </c>
      <c r="G30" t="n">
        <v>12.620904</v>
      </c>
      <c r="H30" t="n">
        <v>0.955</v>
      </c>
      <c r="I30" t="n">
        <v>92.758633</v>
      </c>
      <c r="J30" t="n">
        <v>15.848932</v>
      </c>
      <c r="K30" t="n">
        <v>9.483373</v>
      </c>
      <c r="L30" t="n">
        <v>13.28747</v>
      </c>
      <c r="M30" t="n">
        <v>8.760194</v>
      </c>
      <c r="N30" t="n">
        <v>8.760194</v>
      </c>
      <c r="O30" t="n">
        <v>7.884174</v>
      </c>
      <c r="P30" t="n">
        <v>10.549912</v>
      </c>
      <c r="Q30" t="n">
        <v>10.549912</v>
      </c>
      <c r="R30" t="n">
        <v>10.809345</v>
      </c>
      <c r="S30" t="n">
        <v>8.798415</v>
      </c>
      <c r="T30" t="n">
        <v>6.022535</v>
      </c>
      <c r="AA30" t="n">
        <v>8.947789999999999</v>
      </c>
      <c r="AB30" t="n">
        <v>11.156289</v>
      </c>
      <c r="AC30" t="n">
        <v>5.968659</v>
      </c>
      <c r="AD30" t="n">
        <v>7.276791</v>
      </c>
    </row>
    <row r="31">
      <c r="A31" t="n">
        <v>27</v>
      </c>
      <c r="B31" t="inlineStr">
        <is>
          <t>Zooplankton</t>
        </is>
      </c>
      <c r="C31" t="inlineStr">
        <is>
          <t>Regular</t>
        </is>
      </c>
      <c r="D31" t="n">
        <v>2.052631578947368</v>
      </c>
      <c r="E31" t="n">
        <v>0.2083333333333333</v>
      </c>
      <c r="F31" t="n">
        <v>0.77879256</v>
      </c>
      <c r="G31" t="n">
        <v>17.3</v>
      </c>
      <c r="H31" t="n">
        <v>0</v>
      </c>
      <c r="I31" t="n">
        <v>92.758633</v>
      </c>
      <c r="J31" t="n">
        <v>10</v>
      </c>
      <c r="K31" t="n">
        <v>6.51832</v>
      </c>
      <c r="L31" t="n">
        <v>6.192404</v>
      </c>
      <c r="M31" t="n">
        <v>5.855218</v>
      </c>
      <c r="N31" t="n">
        <v>5.855218</v>
      </c>
      <c r="O31" t="n">
        <v>4.56</v>
      </c>
      <c r="P31" t="n">
        <v>7.868651</v>
      </c>
      <c r="Q31" t="n">
        <v>7.868651</v>
      </c>
      <c r="R31" t="n">
        <v>8.160513</v>
      </c>
      <c r="S31" t="n">
        <v>6.998019</v>
      </c>
      <c r="T31" t="n">
        <v>5.410211</v>
      </c>
      <c r="AA31" t="n">
        <v>7.131022</v>
      </c>
      <c r="AB31" t="n">
        <v>8.377865999999999</v>
      </c>
      <c r="AC31" t="n">
        <v>4.431635</v>
      </c>
      <c r="AD31" t="n">
        <v>4.210053</v>
      </c>
    </row>
    <row r="32">
      <c r="A32" t="n">
        <v>28</v>
      </c>
      <c r="B32" t="inlineStr">
        <is>
          <t>Phytoplankton</t>
        </is>
      </c>
      <c r="C32" t="inlineStr">
        <is>
          <t>PP</t>
        </is>
      </c>
      <c r="D32" t="n">
        <v>1</v>
      </c>
      <c r="E32" t="n">
        <v>1</v>
      </c>
      <c r="F32" t="n">
        <v>0.845426261</v>
      </c>
      <c r="G32" t="n">
        <v>18.25</v>
      </c>
      <c r="H32" t="n">
        <v>0</v>
      </c>
      <c r="I32" t="n">
        <v>92.758633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0.845426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AA32" t="n">
        <v>1</v>
      </c>
      <c r="AB32" t="n">
        <v>1</v>
      </c>
      <c r="AC32" t="n">
        <v>1</v>
      </c>
      <c r="AD32" t="n">
        <v>1</v>
      </c>
    </row>
    <row r="33">
      <c r="A33" t="n">
        <v>29</v>
      </c>
      <c r="B33" t="inlineStr">
        <is>
          <t>Detritus</t>
        </is>
      </c>
      <c r="C33" t="inlineStr">
        <is>
          <t>DET</t>
        </is>
      </c>
      <c r="D33" t="n">
        <v>1</v>
      </c>
      <c r="E33" t="n">
        <v>1</v>
      </c>
      <c r="F33" t="n">
        <v>1</v>
      </c>
      <c r="G33" t="n">
        <v>100</v>
      </c>
      <c r="H33" t="n">
        <v>0</v>
      </c>
      <c r="I33" t="n">
        <v>92.758633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0.332439</v>
      </c>
      <c r="Q33" t="n">
        <v>0.332439</v>
      </c>
      <c r="R33" t="n">
        <v>0.66005</v>
      </c>
      <c r="S33" t="n">
        <v>2.580196</v>
      </c>
      <c r="T33" t="n">
        <v>2.883985</v>
      </c>
      <c r="AA33" t="n">
        <v>2.629563</v>
      </c>
      <c r="AB33" t="n">
        <v>0.689138</v>
      </c>
      <c r="AC33" t="n">
        <v>1</v>
      </c>
      <c r="AD33" t="n">
        <v>1</v>
      </c>
    </row>
    <row r="34">
      <c r="A34" t="n">
        <v>30</v>
      </c>
      <c r="B34" t="inlineStr">
        <is>
          <t>diet_import</t>
        </is>
      </c>
      <c r="C34" t="inlineStr">
        <is>
          <t>Import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92.758633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AA34" t="n">
        <v>1</v>
      </c>
      <c r="AB34" t="n">
        <v>1</v>
      </c>
      <c r="AC34" t="n">
        <v>1</v>
      </c>
      <c r="AD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132555323.5818368</v>
      </c>
      <c r="G52" t="n">
        <v>132555323.5818368</v>
      </c>
      <c r="H52" t="n">
        <v>132555323.5818368</v>
      </c>
      <c r="I52" t="n">
        <v>132555323.5818368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131994728.1075392</v>
      </c>
      <c r="G53" t="n">
        <v>131994728.1075392</v>
      </c>
      <c r="H53" t="n">
        <v>131994728.1075392</v>
      </c>
      <c r="I53" t="n">
        <v>131994728.1075392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137172871.5022509</v>
      </c>
      <c r="G54" t="n">
        <v>137172871.5022509</v>
      </c>
      <c r="H54" t="n">
        <v>137172871.5022509</v>
      </c>
      <c r="I54" t="n">
        <v>137172871.5022509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137666064.8819468</v>
      </c>
      <c r="G55" t="n">
        <v>137666064.8819468</v>
      </c>
      <c r="H55" t="n">
        <v>137666064.8819468</v>
      </c>
      <c r="I55" t="n">
        <v>137666064.8819468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141640185.0199795</v>
      </c>
      <c r="G56" t="n">
        <v>141640185.0199795</v>
      </c>
      <c r="H56" t="n">
        <v>141640185.0199795</v>
      </c>
      <c r="I56" t="n">
        <v>141640185.0199795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149744176.2046756</v>
      </c>
      <c r="C57" t="n">
        <v>94668970.1681993</v>
      </c>
      <c r="D57" t="n">
        <v>207121307.8946725</v>
      </c>
      <c r="E57" t="n">
        <v>167798451.0383253</v>
      </c>
      <c r="F57" t="n">
        <v>87544565.67098288</v>
      </c>
      <c r="G57" t="n">
        <v>149744176.2046756</v>
      </c>
      <c r="H57" t="n">
        <v>87544565.67098288</v>
      </c>
      <c r="I57" t="n">
        <v>207121307.8946725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145072337.1404916</v>
      </c>
      <c r="C58" t="n">
        <v>92521194.53274761</v>
      </c>
      <c r="D58" t="n">
        <v>196321931.863068</v>
      </c>
      <c r="E58" t="n">
        <v>167136608.3518763</v>
      </c>
      <c r="F58" t="n">
        <v>82011249.38520388</v>
      </c>
      <c r="G58" t="n">
        <v>145072337.1404916</v>
      </c>
      <c r="H58" t="n">
        <v>82011249.38520388</v>
      </c>
      <c r="I58" t="n">
        <v>196321931.863068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142451162.6157272</v>
      </c>
      <c r="C59" t="n">
        <v>92919213.31806317</v>
      </c>
      <c r="D59" t="n">
        <v>198317487.0905075</v>
      </c>
      <c r="E59" t="n">
        <v>160862586.1506243</v>
      </c>
      <c r="F59" t="n">
        <v>81979906.69908102</v>
      </c>
      <c r="G59" t="n">
        <v>142451162.6157272</v>
      </c>
      <c r="H59" t="n">
        <v>81979906.69908102</v>
      </c>
      <c r="I59" t="n">
        <v>198317487.0905075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140063294.2587951</v>
      </c>
      <c r="C60" t="n">
        <v>89355042.08791374</v>
      </c>
      <c r="D60" t="n">
        <v>190711400.4054454</v>
      </c>
      <c r="E60" t="n">
        <v>156998549.009129</v>
      </c>
      <c r="F60" t="n">
        <v>82224562.67286071</v>
      </c>
      <c r="G60" t="n">
        <v>140063294.2587951</v>
      </c>
      <c r="H60" t="n">
        <v>82224562.67286071</v>
      </c>
      <c r="I60" t="n">
        <v>190711400.4054454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144845712.5177107</v>
      </c>
      <c r="C61" t="n">
        <v>94496922.7339536</v>
      </c>
      <c r="D61" t="n">
        <v>200819830.1210886</v>
      </c>
      <c r="E61" t="n">
        <v>160666864.6859127</v>
      </c>
      <c r="F61" t="n">
        <v>84811049.78443065</v>
      </c>
      <c r="G61" t="n">
        <v>144845712.5177107</v>
      </c>
      <c r="H61" t="n">
        <v>84811049.78443065</v>
      </c>
      <c r="I61" t="n">
        <v>200819830.1210886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140968449.1001042</v>
      </c>
      <c r="C62" t="n">
        <v>93263145.57969804</v>
      </c>
      <c r="D62" t="n">
        <v>194365553.2082389</v>
      </c>
      <c r="E62" t="n">
        <v>158271786.3800717</v>
      </c>
      <c r="F62" t="n">
        <v>83020684.44008546</v>
      </c>
      <c r="G62" t="n">
        <v>140968449.1001042</v>
      </c>
      <c r="H62" t="n">
        <v>83020684.44008546</v>
      </c>
      <c r="I62" t="n">
        <v>194365553.2082389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141931247.0497852</v>
      </c>
      <c r="C63" t="n">
        <v>92092335.31191267</v>
      </c>
      <c r="D63" t="n">
        <v>195481243.279217</v>
      </c>
      <c r="E63" t="n">
        <v>159069572.5957689</v>
      </c>
      <c r="F63" t="n">
        <v>76915527.4032561</v>
      </c>
      <c r="G63" t="n">
        <v>141931247.0497852</v>
      </c>
      <c r="H63" t="n">
        <v>76915527.4032561</v>
      </c>
      <c r="I63" t="n">
        <v>195481243.279217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145746981.6931571</v>
      </c>
      <c r="C64" t="n">
        <v>92434524.761162</v>
      </c>
      <c r="D64" t="n">
        <v>209016889.0371371</v>
      </c>
      <c r="E64" t="n">
        <v>161507312.4489426</v>
      </c>
      <c r="F64" t="n">
        <v>78545975.05697083</v>
      </c>
      <c r="G64" t="n">
        <v>145746981.6931571</v>
      </c>
      <c r="H64" t="n">
        <v>78545975.05697083</v>
      </c>
      <c r="I64" t="n">
        <v>209016889.0371371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148293587.9676952</v>
      </c>
      <c r="C65" t="n">
        <v>96297587.83309039</v>
      </c>
      <c r="D65" t="n">
        <v>203329247.0233118</v>
      </c>
      <c r="E65" t="n">
        <v>164312430.2256382</v>
      </c>
      <c r="F65" t="n">
        <v>78308941.85070704</v>
      </c>
      <c r="G65" t="n">
        <v>148293587.9676952</v>
      </c>
      <c r="H65" t="n">
        <v>78308941.85070704</v>
      </c>
      <c r="I65" t="n">
        <v>203329247.0233118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136455721.0836996</v>
      </c>
      <c r="C66" t="n">
        <v>87122876.60001504</v>
      </c>
      <c r="D66" t="n">
        <v>188200137.7055127</v>
      </c>
      <c r="E66" t="n">
        <v>153359714.3673921</v>
      </c>
      <c r="F66" t="n">
        <v>78025120.48947844</v>
      </c>
      <c r="G66" t="n">
        <v>136455721.0836996</v>
      </c>
      <c r="H66" t="n">
        <v>78025120.48947844</v>
      </c>
      <c r="I66" t="n">
        <v>188200137.7055127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140625129.3071949</v>
      </c>
      <c r="C67" t="n">
        <v>92438088.73397496</v>
      </c>
      <c r="D67" t="n">
        <v>198998176.4236436</v>
      </c>
      <c r="E67" t="n">
        <v>159782137.0115627</v>
      </c>
      <c r="F67" t="n">
        <v>78135017.93439104</v>
      </c>
      <c r="G67" t="n">
        <v>140625129.3071949</v>
      </c>
      <c r="H67" t="n">
        <v>78135017.93439104</v>
      </c>
      <c r="I67" t="n">
        <v>198998176.4236436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137899627.6586194</v>
      </c>
      <c r="C68" t="n">
        <v>89274369.92357747</v>
      </c>
      <c r="D68" t="n">
        <v>188172374.8143918</v>
      </c>
      <c r="E68" t="n">
        <v>156774258.3126073</v>
      </c>
      <c r="F68" t="n">
        <v>84418085.96346171</v>
      </c>
      <c r="G68" t="n">
        <v>137899627.6586194</v>
      </c>
      <c r="H68" t="n">
        <v>84418085.96346171</v>
      </c>
      <c r="I68" t="n">
        <v>188172374.8143918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140780755.2676014</v>
      </c>
      <c r="C69" t="n">
        <v>89264192.03262132</v>
      </c>
      <c r="D69" t="n">
        <v>191280147.0542253</v>
      </c>
      <c r="E69" t="n">
        <v>158863673.5950209</v>
      </c>
      <c r="F69" t="n">
        <v>83102343.16366863</v>
      </c>
      <c r="G69" t="n">
        <v>140780755.2676014</v>
      </c>
      <c r="H69" t="n">
        <v>83102343.16366863</v>
      </c>
      <c r="I69" t="n">
        <v>191280147.0542253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147677638.1109627</v>
      </c>
      <c r="C70" t="n">
        <v>91237645.56954142</v>
      </c>
      <c r="D70" t="n">
        <v>201167108.029716</v>
      </c>
      <c r="E70" t="n">
        <v>161467459.0775603</v>
      </c>
      <c r="F70" t="n">
        <v>81461095.23450199</v>
      </c>
      <c r="G70" t="n">
        <v>147677638.1109627</v>
      </c>
      <c r="H70" t="n">
        <v>81461095.23450199</v>
      </c>
      <c r="I70" t="n">
        <v>201167108.029716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145274743.8516269</v>
      </c>
      <c r="C71" t="n">
        <v>91941584.15526998</v>
      </c>
      <c r="D71" t="n">
        <v>197170951.7923856</v>
      </c>
      <c r="E71" t="n">
        <v>158507676.5187153</v>
      </c>
      <c r="F71" t="n">
        <v>83012747.48312517</v>
      </c>
      <c r="G71" t="n">
        <v>145274743.8516269</v>
      </c>
      <c r="H71" t="n">
        <v>83012747.48312517</v>
      </c>
      <c r="I71" t="n">
        <v>197170951.7923856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144542231.8585456</v>
      </c>
      <c r="C72" t="n">
        <v>90710407.98797539</v>
      </c>
      <c r="D72" t="n">
        <v>194443420.373162</v>
      </c>
      <c r="E72" t="n">
        <v>160769590.3301781</v>
      </c>
      <c r="F72" t="n">
        <v>78960242.42080019</v>
      </c>
      <c r="G72" t="n">
        <v>144542231.8585456</v>
      </c>
      <c r="H72" t="n">
        <v>78960242.42080019</v>
      </c>
      <c r="I72" t="n">
        <v>194443420.373162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149162149.7290492</v>
      </c>
      <c r="C73" t="n">
        <v>91866733.2154571</v>
      </c>
      <c r="D73" t="n">
        <v>204907387.3266961</v>
      </c>
      <c r="E73" t="n">
        <v>158254420.6914846</v>
      </c>
      <c r="F73" t="n">
        <v>76486393.33027695</v>
      </c>
      <c r="G73" t="n">
        <v>149162149.7290492</v>
      </c>
      <c r="H73" t="n">
        <v>76486393.33027695</v>
      </c>
      <c r="I73" t="n">
        <v>204907387.3266961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2026-09-11T15:48:56Z</dcterms:created>
  <dcterms:modified xsi:type="dcterms:W3CDTF">2026-09-11T15:48:57Z</dcterms:modified>
</cp:coreProperties>
</file>